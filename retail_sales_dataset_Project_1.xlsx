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6ef52bebd2c7751a/Desktop/"/>
    </mc:Choice>
  </mc:AlternateContent>
  <xr:revisionPtr revIDLastSave="598" documentId="8_{40B6EBCF-0D58-4AD5-938B-A2D6C6CD1CBC}" xr6:coauthVersionLast="47" xr6:coauthVersionMax="47" xr10:uidLastSave="{BA784666-FAEC-4C42-BD9F-16AFA4758CFC}"/>
  <bookViews>
    <workbookView xWindow="-110" yWindow="-110" windowWidth="22620" windowHeight="13500" tabRatio="878" firstSheet="2" activeTab="5" xr2:uid="{00000000-000D-0000-FFFF-FFFF00000000}"/>
  </bookViews>
  <sheets>
    <sheet name="Retail_Sales_Dataset_Overview" sheetId="7" r:id="rId1"/>
    <sheet name="FILTER_SUM_AVERAGE" sheetId="6" r:id="rId2"/>
    <sheet name="SUM_IF_&amp;_CONDITIONAL_FORMATTING" sheetId="1" r:id="rId3"/>
    <sheet name="VLOOKOUT_CONCATENATE" sheetId="2" r:id="rId4"/>
    <sheet name="Visualization" sheetId="5" r:id="rId5"/>
    <sheet name="Slicers_Pivot_Table" sheetId="15" r:id="rId6"/>
    <sheet name="Slicers_Pivot_Tabler" sheetId="8" r:id="rId7"/>
    <sheet name="Further_Exercises_MAX_FUNCTION" sheetId="3" r:id="rId8"/>
  </sheets>
  <definedNames>
    <definedName name="_xlnm._FilterDatabase" localSheetId="7" hidden="1">Further_Exercises_MAX_FUNCTION!$A$11:$K$11</definedName>
    <definedName name="_xlnm._FilterDatabase" localSheetId="2" hidden="1">'SUM_IF_&amp;_CONDITIONAL_FORMATTING'!$A$11:$W$1011</definedName>
    <definedName name="_xlcn.WorksheetConnection_retail_sales_dataset.xlsxTable11" hidden="1">'SUM_IF_&amp;_CONDITIONAL_FORMATTING'!$A$11:$O$1011</definedName>
    <definedName name="Slicer_Age__category">#N/A</definedName>
    <definedName name="Slicer_Gender">#N/A</definedName>
    <definedName name="Slicer_Product_Category">#N/A</definedName>
  </definedNames>
  <calcPr calcId="191028"/>
  <pivotCaches>
    <pivotCache cacheId="1" r:id="rId9"/>
    <pivotCache cacheId="7" r:id="rId10"/>
    <pivotCache cacheId="23"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 l="1" a="1"/>
  <c r="B12" i="2" s="1"/>
  <c r="B13" i="2" a="1"/>
  <c r="B13" i="2" s="1"/>
  <c r="B14" i="2" a="1"/>
  <c r="B14" i="2" s="1"/>
  <c r="B15" i="2" a="1"/>
  <c r="B15" i="2" s="1"/>
  <c r="B16" i="2" a="1"/>
  <c r="B16" i="2" s="1"/>
  <c r="B17" i="2" a="1"/>
  <c r="B17" i="2" s="1"/>
  <c r="B18" i="2" a="1"/>
  <c r="B18" i="2" s="1"/>
  <c r="B19" i="2" a="1"/>
  <c r="B19" i="2" s="1"/>
  <c r="B20" i="2" a="1"/>
  <c r="B20" i="2" s="1"/>
  <c r="C12" i="2"/>
  <c r="K8" i="6"/>
  <c r="K6" i="6"/>
  <c r="K4" i="6"/>
  <c r="K2" i="6"/>
  <c r="Q12" i="1"/>
  <c r="Q13" i="1"/>
  <c r="Q14" i="1"/>
  <c r="R13" i="1"/>
  <c r="R12" i="1"/>
  <c r="U24" i="1"/>
  <c r="L4" i="1" s="1"/>
  <c r="M2" i="1"/>
  <c r="N2" i="1"/>
  <c r="K3" i="1"/>
  <c r="L3" i="1"/>
  <c r="M3" i="1"/>
  <c r="N3" i="1"/>
  <c r="K4" i="1"/>
  <c r="K5" i="1"/>
  <c r="K6" i="1"/>
  <c r="K7" i="1"/>
  <c r="M7" i="1"/>
  <c r="N7" i="1"/>
  <c r="V24" i="1"/>
  <c r="M4" i="1" s="1"/>
  <c r="W24" i="1"/>
  <c r="N4" i="1" s="1"/>
  <c r="V25" i="1"/>
  <c r="M5" i="1" s="1"/>
  <c r="W25" i="1"/>
  <c r="N5" i="1" s="1"/>
  <c r="V26" i="1"/>
  <c r="M6" i="1" s="1"/>
  <c r="W26" i="1"/>
  <c r="N6" i="1" s="1"/>
  <c r="K10" i="6"/>
  <c r="C15" i="2"/>
  <c r="C14" i="2"/>
  <c r="C13" i="2"/>
  <c r="C16" i="2"/>
  <c r="C17" i="2"/>
  <c r="C18" i="2"/>
  <c r="C19" i="2"/>
  <c r="C20" i="2"/>
  <c r="H12" i="3"/>
  <c r="I12" i="3" s="1"/>
  <c r="H19" i="3"/>
  <c r="I19" i="3" s="1"/>
  <c r="H13" i="3"/>
  <c r="I13" i="3" s="1"/>
  <c r="H14" i="3"/>
  <c r="I14" i="3" s="1"/>
  <c r="H15" i="3"/>
  <c r="I15" i="3" s="1"/>
  <c r="H16" i="3"/>
  <c r="I16" i="3" s="1"/>
  <c r="H17" i="3"/>
  <c r="I17" i="3" s="1"/>
  <c r="H18" i="3"/>
  <c r="I18" i="3" s="1"/>
  <c r="H20" i="3"/>
  <c r="I20" i="3" s="1"/>
  <c r="H21" i="3"/>
  <c r="I21" i="3"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s="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K265" i="1" a="1"/>
  <c r="K265" i="1" s="1"/>
  <c r="K266" i="1" a="1"/>
  <c r="K266" i="1" s="1"/>
  <c r="K267" i="1" a="1"/>
  <c r="K267" i="1" s="1"/>
  <c r="K268" i="1" a="1"/>
  <c r="K268" i="1" s="1"/>
  <c r="K269" i="1" a="1"/>
  <c r="K269" i="1" s="1"/>
  <c r="K270" i="1" a="1"/>
  <c r="K270" i="1" s="1"/>
  <c r="K271" i="1" a="1"/>
  <c r="K271" i="1" s="1"/>
  <c r="K272" i="1" a="1"/>
  <c r="K272" i="1" s="1"/>
  <c r="K273" i="1" a="1"/>
  <c r="K273" i="1" s="1"/>
  <c r="K274" i="1" a="1"/>
  <c r="K274" i="1" s="1"/>
  <c r="K275" i="1" a="1"/>
  <c r="K275" i="1" s="1"/>
  <c r="K276" i="1" a="1"/>
  <c r="K276" i="1" s="1"/>
  <c r="K277" i="1" a="1"/>
  <c r="K277" i="1" s="1"/>
  <c r="K278" i="1" a="1"/>
  <c r="K278" i="1" s="1"/>
  <c r="K279" i="1" a="1"/>
  <c r="K279" i="1" s="1"/>
  <c r="K280" i="1" a="1"/>
  <c r="K280" i="1" s="1"/>
  <c r="K281" i="1" a="1"/>
  <c r="K281" i="1" s="1"/>
  <c r="K282" i="1" a="1"/>
  <c r="K282" i="1" s="1"/>
  <c r="K283" i="1" a="1"/>
  <c r="K283" i="1" s="1"/>
  <c r="K284" i="1" a="1"/>
  <c r="K284" i="1" s="1"/>
  <c r="K285" i="1" a="1"/>
  <c r="K285" i="1" s="1"/>
  <c r="K286" i="1" a="1"/>
  <c r="K286" i="1" s="1"/>
  <c r="K287" i="1" a="1"/>
  <c r="K287" i="1" s="1"/>
  <c r="K288" i="1" a="1"/>
  <c r="K288" i="1" s="1"/>
  <c r="K289" i="1" a="1"/>
  <c r="K289" i="1" s="1"/>
  <c r="K290" i="1" a="1"/>
  <c r="K290" i="1" s="1"/>
  <c r="K291" i="1" a="1"/>
  <c r="K291" i="1" s="1"/>
  <c r="K292" i="1" a="1"/>
  <c r="K292" i="1" s="1"/>
  <c r="K293" i="1" a="1"/>
  <c r="K293" i="1" s="1"/>
  <c r="K294" i="1" a="1"/>
  <c r="K294" i="1" s="1"/>
  <c r="K295" i="1" a="1"/>
  <c r="K295" i="1" s="1"/>
  <c r="K296" i="1" a="1"/>
  <c r="K296" i="1" s="1"/>
  <c r="K297" i="1" a="1"/>
  <c r="K297" i="1" s="1"/>
  <c r="K298" i="1" a="1"/>
  <c r="K298" i="1" s="1"/>
  <c r="K299" i="1" a="1"/>
  <c r="K299" i="1" s="1"/>
  <c r="K300" i="1" a="1"/>
  <c r="K300" i="1" s="1"/>
  <c r="K301" i="1" a="1"/>
  <c r="K301" i="1" s="1"/>
  <c r="K302" i="1" a="1"/>
  <c r="K302" i="1" s="1"/>
  <c r="K303" i="1" a="1"/>
  <c r="K303" i="1" s="1"/>
  <c r="K304" i="1" a="1"/>
  <c r="K304" i="1" s="1"/>
  <c r="K305" i="1" a="1"/>
  <c r="K305" i="1" s="1"/>
  <c r="K306" i="1" a="1"/>
  <c r="K306" i="1" s="1"/>
  <c r="K307" i="1" a="1"/>
  <c r="K307" i="1" s="1"/>
  <c r="K308" i="1" a="1"/>
  <c r="K308" i="1" s="1"/>
  <c r="K309" i="1" a="1"/>
  <c r="K309" i="1" s="1"/>
  <c r="K310" i="1" a="1"/>
  <c r="K310" i="1" s="1"/>
  <c r="K311" i="1" a="1"/>
  <c r="K311" i="1" s="1"/>
  <c r="K312" i="1" a="1"/>
  <c r="K312" i="1" s="1"/>
  <c r="K313" i="1" a="1"/>
  <c r="K313" i="1" s="1"/>
  <c r="K314" i="1" a="1"/>
  <c r="K314" i="1" s="1"/>
  <c r="K315" i="1" a="1"/>
  <c r="K315" i="1" s="1"/>
  <c r="K316" i="1" a="1"/>
  <c r="K316" i="1" s="1"/>
  <c r="K317" i="1" a="1"/>
  <c r="K317" i="1" s="1"/>
  <c r="K318" i="1" a="1"/>
  <c r="K318" i="1" s="1"/>
  <c r="K319" i="1" a="1"/>
  <c r="K319" i="1" s="1"/>
  <c r="K320" i="1" a="1"/>
  <c r="K320" i="1" s="1"/>
  <c r="K321" i="1" a="1"/>
  <c r="K321" i="1" s="1"/>
  <c r="K322" i="1" a="1"/>
  <c r="K322" i="1" s="1"/>
  <c r="K323" i="1" a="1"/>
  <c r="K323" i="1" s="1"/>
  <c r="K324" i="1" a="1"/>
  <c r="K324" i="1" s="1"/>
  <c r="K325" i="1" a="1"/>
  <c r="K325" i="1" s="1"/>
  <c r="K326" i="1" a="1"/>
  <c r="K326" i="1" s="1"/>
  <c r="K327" i="1" a="1"/>
  <c r="K327" i="1" s="1"/>
  <c r="K328" i="1" a="1"/>
  <c r="K328" i="1" s="1"/>
  <c r="K329" i="1" a="1"/>
  <c r="K329" i="1" s="1"/>
  <c r="K330" i="1" a="1"/>
  <c r="K330" i="1" s="1"/>
  <c r="K331" i="1" a="1"/>
  <c r="K331" i="1" s="1"/>
  <c r="K332" i="1" a="1"/>
  <c r="K332" i="1" s="1"/>
  <c r="K333" i="1" a="1"/>
  <c r="K333" i="1" s="1"/>
  <c r="K334" i="1" a="1"/>
  <c r="K334" i="1" s="1"/>
  <c r="K335" i="1" a="1"/>
  <c r="K335" i="1" s="1"/>
  <c r="K336" i="1" a="1"/>
  <c r="K336" i="1" s="1"/>
  <c r="K337" i="1" a="1"/>
  <c r="K337" i="1" s="1"/>
  <c r="K338" i="1" a="1"/>
  <c r="K338" i="1" s="1"/>
  <c r="K339" i="1" a="1"/>
  <c r="K339" i="1" s="1"/>
  <c r="K340" i="1" a="1"/>
  <c r="K340" i="1" s="1"/>
  <c r="K341" i="1" a="1"/>
  <c r="K341" i="1" s="1"/>
  <c r="K342" i="1" a="1"/>
  <c r="K342" i="1" s="1"/>
  <c r="K343" i="1" a="1"/>
  <c r="K343" i="1" s="1"/>
  <c r="K344" i="1" a="1"/>
  <c r="K344" i="1" s="1"/>
  <c r="K345" i="1" a="1"/>
  <c r="K345" i="1" s="1"/>
  <c r="K346" i="1" a="1"/>
  <c r="K346" i="1" s="1"/>
  <c r="K347" i="1" a="1"/>
  <c r="K347" i="1" s="1"/>
  <c r="K348" i="1" a="1"/>
  <c r="K348" i="1" s="1"/>
  <c r="K349" i="1" a="1"/>
  <c r="K349" i="1" s="1"/>
  <c r="K350" i="1" a="1"/>
  <c r="K350" i="1" s="1"/>
  <c r="K351" i="1" a="1"/>
  <c r="K351" i="1" s="1"/>
  <c r="K352" i="1" a="1"/>
  <c r="K352" i="1" s="1"/>
  <c r="K353" i="1" a="1"/>
  <c r="K353" i="1" s="1"/>
  <c r="K354" i="1" a="1"/>
  <c r="K354" i="1" s="1"/>
  <c r="K355" i="1" a="1"/>
  <c r="K355" i="1" s="1"/>
  <c r="K356" i="1" a="1"/>
  <c r="K356" i="1" s="1"/>
  <c r="K357" i="1" a="1"/>
  <c r="K357" i="1" s="1"/>
  <c r="K358" i="1" a="1"/>
  <c r="K358" i="1" s="1"/>
  <c r="K359" i="1" a="1"/>
  <c r="K359" i="1" s="1"/>
  <c r="K360" i="1" a="1"/>
  <c r="K360" i="1" s="1"/>
  <c r="K361" i="1" a="1"/>
  <c r="K361" i="1" s="1"/>
  <c r="K362" i="1" a="1"/>
  <c r="K362" i="1" s="1"/>
  <c r="K363" i="1" a="1"/>
  <c r="K363" i="1" s="1"/>
  <c r="K364" i="1" a="1"/>
  <c r="K364" i="1" s="1"/>
  <c r="K365" i="1" a="1"/>
  <c r="K365" i="1" s="1"/>
  <c r="K366" i="1" a="1"/>
  <c r="K366" i="1" s="1"/>
  <c r="K367" i="1" a="1"/>
  <c r="K367" i="1" s="1"/>
  <c r="K368" i="1" a="1"/>
  <c r="K368" i="1" s="1"/>
  <c r="K369" i="1" a="1"/>
  <c r="K369" i="1" s="1"/>
  <c r="K370" i="1" a="1"/>
  <c r="K370" i="1" s="1"/>
  <c r="K371" i="1" a="1"/>
  <c r="K371" i="1" s="1"/>
  <c r="K372" i="1" a="1"/>
  <c r="K372" i="1" s="1"/>
  <c r="K373" i="1" a="1"/>
  <c r="K373" i="1" s="1"/>
  <c r="K374" i="1" a="1"/>
  <c r="K374" i="1" s="1"/>
  <c r="K375" i="1" a="1"/>
  <c r="K375" i="1" s="1"/>
  <c r="K376" i="1" a="1"/>
  <c r="K376" i="1" s="1"/>
  <c r="K377" i="1" a="1"/>
  <c r="K377" i="1" s="1"/>
  <c r="K378" i="1" a="1"/>
  <c r="K378" i="1" s="1"/>
  <c r="K379" i="1" a="1"/>
  <c r="K379" i="1" s="1"/>
  <c r="K380" i="1" a="1"/>
  <c r="K380" i="1" s="1"/>
  <c r="K381" i="1" a="1"/>
  <c r="K381" i="1" s="1"/>
  <c r="K382" i="1" a="1"/>
  <c r="K382" i="1" s="1"/>
  <c r="K383" i="1" a="1"/>
  <c r="K383" i="1" s="1"/>
  <c r="K384" i="1" a="1"/>
  <c r="K384" i="1" s="1"/>
  <c r="K385" i="1" a="1"/>
  <c r="K385" i="1" s="1"/>
  <c r="K386" i="1" a="1"/>
  <c r="K386" i="1" s="1"/>
  <c r="K387" i="1" a="1"/>
  <c r="K387" i="1" s="1"/>
  <c r="K388" i="1" a="1"/>
  <c r="K388" i="1" s="1"/>
  <c r="K389" i="1" a="1"/>
  <c r="K389" i="1" s="1"/>
  <c r="K390" i="1" a="1"/>
  <c r="K390" i="1" s="1"/>
  <c r="K391" i="1" a="1"/>
  <c r="K391" i="1" s="1"/>
  <c r="K392" i="1" a="1"/>
  <c r="K392" i="1" s="1"/>
  <c r="K393" i="1" a="1"/>
  <c r="K393" i="1" s="1"/>
  <c r="K394" i="1" a="1"/>
  <c r="K394" i="1" s="1"/>
  <c r="K395" i="1" a="1"/>
  <c r="K395" i="1" s="1"/>
  <c r="K396" i="1" a="1"/>
  <c r="K396" i="1" s="1"/>
  <c r="K397" i="1" a="1"/>
  <c r="K397" i="1" s="1"/>
  <c r="K398" i="1" a="1"/>
  <c r="K398" i="1" s="1"/>
  <c r="K399" i="1" a="1"/>
  <c r="K399" i="1" s="1"/>
  <c r="K400" i="1" a="1"/>
  <c r="K400" i="1" s="1"/>
  <c r="K401" i="1" a="1"/>
  <c r="K401" i="1" s="1"/>
  <c r="K402" i="1" a="1"/>
  <c r="K402" i="1" s="1"/>
  <c r="K403" i="1" a="1"/>
  <c r="K403" i="1" s="1"/>
  <c r="K404" i="1" a="1"/>
  <c r="K404" i="1" s="1"/>
  <c r="K405" i="1" a="1"/>
  <c r="K405" i="1" s="1"/>
  <c r="K406" i="1" a="1"/>
  <c r="K406" i="1" s="1"/>
  <c r="K407" i="1" a="1"/>
  <c r="K407" i="1" s="1"/>
  <c r="K408" i="1" a="1"/>
  <c r="K408" i="1" s="1"/>
  <c r="K409" i="1" a="1"/>
  <c r="K409" i="1" s="1"/>
  <c r="K410" i="1" a="1"/>
  <c r="K410" i="1" s="1"/>
  <c r="K411" i="1" a="1"/>
  <c r="K411" i="1" s="1"/>
  <c r="K412" i="1" a="1"/>
  <c r="K412" i="1" s="1"/>
  <c r="K413" i="1" a="1"/>
  <c r="K413" i="1" s="1"/>
  <c r="K414" i="1" a="1"/>
  <c r="K414" i="1" s="1"/>
  <c r="K415" i="1" a="1"/>
  <c r="K415" i="1" s="1"/>
  <c r="K416" i="1" a="1"/>
  <c r="K416" i="1" s="1"/>
  <c r="K417" i="1" a="1"/>
  <c r="K417" i="1" s="1"/>
  <c r="K418" i="1" a="1"/>
  <c r="K418" i="1" s="1"/>
  <c r="K419" i="1" a="1"/>
  <c r="K419" i="1" s="1"/>
  <c r="K420" i="1" a="1"/>
  <c r="K420" i="1" s="1"/>
  <c r="K421" i="1" a="1"/>
  <c r="K421" i="1" s="1"/>
  <c r="K422" i="1" a="1"/>
  <c r="K422" i="1" s="1"/>
  <c r="K423" i="1" a="1"/>
  <c r="K423" i="1" s="1"/>
  <c r="K424" i="1" a="1"/>
  <c r="K424" i="1" s="1"/>
  <c r="K425" i="1" a="1"/>
  <c r="K425" i="1" s="1"/>
  <c r="K426" i="1" a="1"/>
  <c r="K426" i="1" s="1"/>
  <c r="K427" i="1" a="1"/>
  <c r="K427" i="1" s="1"/>
  <c r="K428" i="1" a="1"/>
  <c r="K428" i="1" s="1"/>
  <c r="K429" i="1" a="1"/>
  <c r="K429" i="1" s="1"/>
  <c r="K430" i="1" a="1"/>
  <c r="K430" i="1" s="1"/>
  <c r="K431" i="1" a="1"/>
  <c r="K431" i="1" s="1"/>
  <c r="K432" i="1" a="1"/>
  <c r="K432" i="1" s="1"/>
  <c r="K433" i="1" a="1"/>
  <c r="K433" i="1" s="1"/>
  <c r="K434" i="1" a="1"/>
  <c r="K434" i="1" s="1"/>
  <c r="K435" i="1" a="1"/>
  <c r="K435" i="1" s="1"/>
  <c r="K436" i="1" a="1"/>
  <c r="K436" i="1" s="1"/>
  <c r="K437" i="1" a="1"/>
  <c r="K437" i="1" s="1"/>
  <c r="K438" i="1" a="1"/>
  <c r="K438" i="1" s="1"/>
  <c r="K439" i="1" a="1"/>
  <c r="K439" i="1" s="1"/>
  <c r="K440" i="1" a="1"/>
  <c r="K440" i="1" s="1"/>
  <c r="K441" i="1" a="1"/>
  <c r="K441" i="1" s="1"/>
  <c r="K442" i="1" a="1"/>
  <c r="K442" i="1" s="1"/>
  <c r="K443" i="1" a="1"/>
  <c r="K443" i="1" s="1"/>
  <c r="K444" i="1" a="1"/>
  <c r="K444" i="1" s="1"/>
  <c r="K445" i="1" a="1"/>
  <c r="K445" i="1" s="1"/>
  <c r="K446" i="1" a="1"/>
  <c r="K446" i="1" s="1"/>
  <c r="K447" i="1" a="1"/>
  <c r="K447" i="1" s="1"/>
  <c r="K448" i="1" a="1"/>
  <c r="K448" i="1" s="1"/>
  <c r="K449" i="1" a="1"/>
  <c r="K449" i="1" s="1"/>
  <c r="K450" i="1" a="1"/>
  <c r="K450" i="1" s="1"/>
  <c r="K451" i="1" a="1"/>
  <c r="K451" i="1" s="1"/>
  <c r="K452" i="1" a="1"/>
  <c r="K452" i="1" s="1"/>
  <c r="K453" i="1" a="1"/>
  <c r="K453" i="1" s="1"/>
  <c r="K454" i="1" a="1"/>
  <c r="K454" i="1" s="1"/>
  <c r="K455" i="1" a="1"/>
  <c r="K455" i="1" s="1"/>
  <c r="K456" i="1" a="1"/>
  <c r="K456" i="1" s="1"/>
  <c r="K457" i="1" a="1"/>
  <c r="K457" i="1" s="1"/>
  <c r="K458" i="1" a="1"/>
  <c r="K458" i="1" s="1"/>
  <c r="K459" i="1" a="1"/>
  <c r="K459" i="1" s="1"/>
  <c r="K460" i="1" a="1"/>
  <c r="K460" i="1" s="1"/>
  <c r="K461" i="1" a="1"/>
  <c r="K461" i="1" s="1"/>
  <c r="K462" i="1" a="1"/>
  <c r="K462" i="1" s="1"/>
  <c r="K463" i="1" a="1"/>
  <c r="K463" i="1" s="1"/>
  <c r="K464" i="1" a="1"/>
  <c r="K464" i="1" s="1"/>
  <c r="K465" i="1" a="1"/>
  <c r="K465" i="1" s="1"/>
  <c r="K466" i="1" a="1"/>
  <c r="K466" i="1" s="1"/>
  <c r="K467" i="1" a="1"/>
  <c r="K467" i="1" s="1"/>
  <c r="K468" i="1" a="1"/>
  <c r="K468" i="1" s="1"/>
  <c r="K469" i="1" a="1"/>
  <c r="K469" i="1" s="1"/>
  <c r="K470" i="1" a="1"/>
  <c r="K470" i="1" s="1"/>
  <c r="K471" i="1" a="1"/>
  <c r="K471" i="1" s="1"/>
  <c r="K472" i="1" a="1"/>
  <c r="K472" i="1" s="1"/>
  <c r="K473" i="1" a="1"/>
  <c r="K473" i="1" s="1"/>
  <c r="K474" i="1" a="1"/>
  <c r="K474" i="1" s="1"/>
  <c r="K475" i="1" a="1"/>
  <c r="K475" i="1" s="1"/>
  <c r="K476" i="1" a="1"/>
  <c r="K476" i="1" s="1"/>
  <c r="K477" i="1" a="1"/>
  <c r="K477" i="1" s="1"/>
  <c r="K478" i="1" a="1"/>
  <c r="K478" i="1" s="1"/>
  <c r="K479" i="1" a="1"/>
  <c r="K479" i="1" s="1"/>
  <c r="K480" i="1" a="1"/>
  <c r="K480" i="1" s="1"/>
  <c r="K481" i="1" a="1"/>
  <c r="K481" i="1" s="1"/>
  <c r="K482" i="1" a="1"/>
  <c r="K482" i="1" s="1"/>
  <c r="K483" i="1" a="1"/>
  <c r="K483" i="1" s="1"/>
  <c r="K484" i="1" a="1"/>
  <c r="K484" i="1" s="1"/>
  <c r="K485" i="1" a="1"/>
  <c r="K485" i="1" s="1"/>
  <c r="K486" i="1" a="1"/>
  <c r="K486" i="1" s="1"/>
  <c r="K487" i="1" a="1"/>
  <c r="K487" i="1" s="1"/>
  <c r="K488" i="1" a="1"/>
  <c r="K488" i="1" s="1"/>
  <c r="K489" i="1" a="1"/>
  <c r="K489" i="1" s="1"/>
  <c r="K490" i="1" a="1"/>
  <c r="K490" i="1" s="1"/>
  <c r="K491" i="1" a="1"/>
  <c r="K491" i="1" s="1"/>
  <c r="K492" i="1" a="1"/>
  <c r="K492" i="1" s="1"/>
  <c r="K493" i="1" a="1"/>
  <c r="K493" i="1" s="1"/>
  <c r="K494" i="1" a="1"/>
  <c r="K494" i="1" s="1"/>
  <c r="K495" i="1" a="1"/>
  <c r="K495" i="1" s="1"/>
  <c r="K496" i="1" a="1"/>
  <c r="K496" i="1" s="1"/>
  <c r="K497" i="1" a="1"/>
  <c r="K497" i="1" s="1"/>
  <c r="K498" i="1" a="1"/>
  <c r="K498" i="1" s="1"/>
  <c r="K499" i="1" a="1"/>
  <c r="K499" i="1" s="1"/>
  <c r="K500" i="1" a="1"/>
  <c r="K500" i="1" s="1"/>
  <c r="K501" i="1" a="1"/>
  <c r="K501" i="1" s="1"/>
  <c r="K502" i="1" a="1"/>
  <c r="K502" i="1" s="1"/>
  <c r="K503" i="1" a="1"/>
  <c r="K503" i="1" s="1"/>
  <c r="K504" i="1" a="1"/>
  <c r="K504" i="1" s="1"/>
  <c r="K505" i="1" a="1"/>
  <c r="K505" i="1" s="1"/>
  <c r="K506" i="1" a="1"/>
  <c r="K506" i="1" s="1"/>
  <c r="K507" i="1" a="1"/>
  <c r="K507" i="1" s="1"/>
  <c r="K508" i="1" a="1"/>
  <c r="K508" i="1" s="1"/>
  <c r="K509" i="1" a="1"/>
  <c r="K509" i="1" s="1"/>
  <c r="K510" i="1" a="1"/>
  <c r="K510" i="1" s="1"/>
  <c r="K511" i="1" a="1"/>
  <c r="K511" i="1" s="1"/>
  <c r="K512" i="1" a="1"/>
  <c r="K512" i="1" s="1"/>
  <c r="K513" i="1" a="1"/>
  <c r="K513" i="1" s="1"/>
  <c r="K514" i="1" a="1"/>
  <c r="K514" i="1" s="1"/>
  <c r="K515" i="1" a="1"/>
  <c r="K515" i="1" s="1"/>
  <c r="K516" i="1" a="1"/>
  <c r="K516" i="1" s="1"/>
  <c r="K517" i="1" a="1"/>
  <c r="K517" i="1" s="1"/>
  <c r="K518" i="1" a="1"/>
  <c r="K518" i="1" s="1"/>
  <c r="K519" i="1" a="1"/>
  <c r="K519" i="1" s="1"/>
  <c r="K520" i="1" a="1"/>
  <c r="K520" i="1" s="1"/>
  <c r="K521" i="1" a="1"/>
  <c r="K521" i="1" s="1"/>
  <c r="K522" i="1" a="1"/>
  <c r="K522" i="1" s="1"/>
  <c r="K523" i="1" a="1"/>
  <c r="K523" i="1" s="1"/>
  <c r="K524" i="1" a="1"/>
  <c r="K524" i="1" s="1"/>
  <c r="K525" i="1" a="1"/>
  <c r="K525" i="1" s="1"/>
  <c r="K526" i="1" a="1"/>
  <c r="K526" i="1" s="1"/>
  <c r="K527" i="1" a="1"/>
  <c r="K527" i="1" s="1"/>
  <c r="K528" i="1" a="1"/>
  <c r="K528" i="1" s="1"/>
  <c r="K529" i="1" a="1"/>
  <c r="K529" i="1" s="1"/>
  <c r="K530" i="1" a="1"/>
  <c r="K530" i="1" s="1"/>
  <c r="K531" i="1" a="1"/>
  <c r="K531" i="1" s="1"/>
  <c r="K532" i="1" a="1"/>
  <c r="K532" i="1" s="1"/>
  <c r="K533" i="1" a="1"/>
  <c r="K533" i="1" s="1"/>
  <c r="K534" i="1" a="1"/>
  <c r="K534" i="1" s="1"/>
  <c r="K535" i="1" a="1"/>
  <c r="K535" i="1" s="1"/>
  <c r="K536" i="1" a="1"/>
  <c r="K536" i="1" s="1"/>
  <c r="K537" i="1" a="1"/>
  <c r="K537" i="1" s="1"/>
  <c r="K538" i="1" a="1"/>
  <c r="K538" i="1" s="1"/>
  <c r="K539" i="1" a="1"/>
  <c r="K539" i="1" s="1"/>
  <c r="K540" i="1" a="1"/>
  <c r="K540" i="1" s="1"/>
  <c r="K541" i="1" a="1"/>
  <c r="K541" i="1" s="1"/>
  <c r="K542" i="1" a="1"/>
  <c r="K542" i="1" s="1"/>
  <c r="K543" i="1" a="1"/>
  <c r="K543" i="1" s="1"/>
  <c r="K544" i="1" a="1"/>
  <c r="K544" i="1" s="1"/>
  <c r="K545" i="1" a="1"/>
  <c r="K545" i="1" s="1"/>
  <c r="K546" i="1" a="1"/>
  <c r="K546" i="1" s="1"/>
  <c r="K547" i="1" a="1"/>
  <c r="K547" i="1" s="1"/>
  <c r="K548" i="1" a="1"/>
  <c r="K548" i="1" s="1"/>
  <c r="K549" i="1" a="1"/>
  <c r="K549" i="1" s="1"/>
  <c r="K550" i="1" a="1"/>
  <c r="K550" i="1" s="1"/>
  <c r="K551" i="1" a="1"/>
  <c r="K551" i="1" s="1"/>
  <c r="K552" i="1" a="1"/>
  <c r="K552" i="1" s="1"/>
  <c r="K553" i="1" a="1"/>
  <c r="K553" i="1" s="1"/>
  <c r="K554" i="1" a="1"/>
  <c r="K554" i="1" s="1"/>
  <c r="K555" i="1" a="1"/>
  <c r="K555" i="1" s="1"/>
  <c r="K556" i="1" a="1"/>
  <c r="K556" i="1" s="1"/>
  <c r="K557" i="1" a="1"/>
  <c r="K557" i="1" s="1"/>
  <c r="K558" i="1" a="1"/>
  <c r="K558" i="1" s="1"/>
  <c r="K559" i="1" a="1"/>
  <c r="K559" i="1" s="1"/>
  <c r="K560" i="1" a="1"/>
  <c r="K560" i="1" s="1"/>
  <c r="K561" i="1" a="1"/>
  <c r="K561" i="1" s="1"/>
  <c r="K562" i="1" a="1"/>
  <c r="K562" i="1" s="1"/>
  <c r="K563" i="1" a="1"/>
  <c r="K563" i="1" s="1"/>
  <c r="K564" i="1" a="1"/>
  <c r="K564" i="1" s="1"/>
  <c r="K565" i="1" a="1"/>
  <c r="K565" i="1" s="1"/>
  <c r="K566" i="1" a="1"/>
  <c r="K566" i="1" s="1"/>
  <c r="K567" i="1" a="1"/>
  <c r="K567" i="1" s="1"/>
  <c r="K568" i="1" a="1"/>
  <c r="K568" i="1" s="1"/>
  <c r="K569" i="1" a="1"/>
  <c r="K569" i="1" s="1"/>
  <c r="K570" i="1" a="1"/>
  <c r="K570" i="1" s="1"/>
  <c r="K571" i="1" a="1"/>
  <c r="K571" i="1" s="1"/>
  <c r="K572" i="1" a="1"/>
  <c r="K572" i="1" s="1"/>
  <c r="K573" i="1" a="1"/>
  <c r="K573" i="1" s="1"/>
  <c r="K574" i="1" a="1"/>
  <c r="K574" i="1" s="1"/>
  <c r="K575" i="1" a="1"/>
  <c r="K575" i="1" s="1"/>
  <c r="K576" i="1" a="1"/>
  <c r="K576" i="1" s="1"/>
  <c r="K577" i="1" a="1"/>
  <c r="K577" i="1" s="1"/>
  <c r="K578" i="1" a="1"/>
  <c r="K578" i="1" s="1"/>
  <c r="K579" i="1" a="1"/>
  <c r="K579" i="1" s="1"/>
  <c r="K580" i="1" a="1"/>
  <c r="K580" i="1" s="1"/>
  <c r="K581" i="1" a="1"/>
  <c r="K581" i="1" s="1"/>
  <c r="K582" i="1" a="1"/>
  <c r="K582" i="1" s="1"/>
  <c r="K583" i="1" a="1"/>
  <c r="K583" i="1" s="1"/>
  <c r="K584" i="1" a="1"/>
  <c r="K584" i="1" s="1"/>
  <c r="K585" i="1" a="1"/>
  <c r="K585" i="1" s="1"/>
  <c r="K586" i="1" a="1"/>
  <c r="K586" i="1" s="1"/>
  <c r="K587" i="1" a="1"/>
  <c r="K587" i="1" s="1"/>
  <c r="K588" i="1" a="1"/>
  <c r="K588" i="1" s="1"/>
  <c r="K589" i="1" a="1"/>
  <c r="K589" i="1" s="1"/>
  <c r="K590" i="1" a="1"/>
  <c r="K590" i="1" s="1"/>
  <c r="K591" i="1" a="1"/>
  <c r="K591" i="1" s="1"/>
  <c r="K592" i="1" a="1"/>
  <c r="K592" i="1" s="1"/>
  <c r="K593" i="1" a="1"/>
  <c r="K593" i="1" s="1"/>
  <c r="K594" i="1" a="1"/>
  <c r="K594" i="1" s="1"/>
  <c r="K595" i="1" a="1"/>
  <c r="K595" i="1" s="1"/>
  <c r="K596" i="1" a="1"/>
  <c r="K596" i="1" s="1"/>
  <c r="K597" i="1" a="1"/>
  <c r="K597" i="1" s="1"/>
  <c r="K598" i="1" a="1"/>
  <c r="K598" i="1" s="1"/>
  <c r="K599" i="1" a="1"/>
  <c r="K599" i="1" s="1"/>
  <c r="K600" i="1" a="1"/>
  <c r="K600" i="1" s="1"/>
  <c r="K601" i="1" a="1"/>
  <c r="K601" i="1" s="1"/>
  <c r="K602" i="1" a="1"/>
  <c r="K602" i="1" s="1"/>
  <c r="K603" i="1" a="1"/>
  <c r="K603" i="1" s="1"/>
  <c r="K604" i="1" a="1"/>
  <c r="K604" i="1" s="1"/>
  <c r="K605" i="1" a="1"/>
  <c r="K605" i="1" s="1"/>
  <c r="K606" i="1" a="1"/>
  <c r="K606" i="1" s="1"/>
  <c r="K607" i="1" a="1"/>
  <c r="K607" i="1" s="1"/>
  <c r="K608" i="1" a="1"/>
  <c r="K608" i="1" s="1"/>
  <c r="K609" i="1" a="1"/>
  <c r="K609" i="1" s="1"/>
  <c r="K610" i="1" a="1"/>
  <c r="K610" i="1" s="1"/>
  <c r="K611" i="1" a="1"/>
  <c r="K611" i="1" s="1"/>
  <c r="K612" i="1" a="1"/>
  <c r="K612" i="1" s="1"/>
  <c r="K613" i="1" a="1"/>
  <c r="K613" i="1" s="1"/>
  <c r="K614" i="1" a="1"/>
  <c r="K614" i="1" s="1"/>
  <c r="K615" i="1" a="1"/>
  <c r="K615" i="1" s="1"/>
  <c r="K616" i="1" a="1"/>
  <c r="K616" i="1" s="1"/>
  <c r="K617" i="1" a="1"/>
  <c r="K617" i="1" s="1"/>
  <c r="K618" i="1" a="1"/>
  <c r="K618" i="1" s="1"/>
  <c r="K619" i="1" a="1"/>
  <c r="K619" i="1" s="1"/>
  <c r="K620" i="1" a="1"/>
  <c r="K620" i="1" s="1"/>
  <c r="K621" i="1" a="1"/>
  <c r="K621" i="1" s="1"/>
  <c r="K622" i="1" a="1"/>
  <c r="K622" i="1" s="1"/>
  <c r="K623" i="1" a="1"/>
  <c r="K623" i="1" s="1"/>
  <c r="K624" i="1" a="1"/>
  <c r="K624" i="1" s="1"/>
  <c r="K625" i="1" a="1"/>
  <c r="K625" i="1" s="1"/>
  <c r="K626" i="1" a="1"/>
  <c r="K626" i="1" s="1"/>
  <c r="K627" i="1" a="1"/>
  <c r="K627" i="1" s="1"/>
  <c r="K628" i="1" a="1"/>
  <c r="K628" i="1" s="1"/>
  <c r="K629" i="1" a="1"/>
  <c r="K629" i="1" s="1"/>
  <c r="K630" i="1" a="1"/>
  <c r="K630" i="1" s="1"/>
  <c r="K631" i="1" a="1"/>
  <c r="K631" i="1" s="1"/>
  <c r="K632" i="1" a="1"/>
  <c r="K632" i="1" s="1"/>
  <c r="K633" i="1" a="1"/>
  <c r="K633" i="1" s="1"/>
  <c r="K634" i="1" a="1"/>
  <c r="K634" i="1" s="1"/>
  <c r="K635" i="1" a="1"/>
  <c r="K635" i="1" s="1"/>
  <c r="K636" i="1" a="1"/>
  <c r="K636" i="1" s="1"/>
  <c r="K637" i="1" a="1"/>
  <c r="K637" i="1" s="1"/>
  <c r="K638" i="1" a="1"/>
  <c r="K638" i="1" s="1"/>
  <c r="K639" i="1" a="1"/>
  <c r="K639" i="1" s="1"/>
  <c r="K640" i="1" a="1"/>
  <c r="K640" i="1" s="1"/>
  <c r="K641" i="1" a="1"/>
  <c r="K641" i="1" s="1"/>
  <c r="K642" i="1" a="1"/>
  <c r="K642" i="1" s="1"/>
  <c r="K643" i="1" a="1"/>
  <c r="K643" i="1" s="1"/>
  <c r="K644" i="1" a="1"/>
  <c r="K644" i="1" s="1"/>
  <c r="K645" i="1" a="1"/>
  <c r="K645" i="1" s="1"/>
  <c r="K646" i="1" a="1"/>
  <c r="K646" i="1" s="1"/>
  <c r="K647" i="1" a="1"/>
  <c r="K647" i="1" s="1"/>
  <c r="K648" i="1" a="1"/>
  <c r="K648" i="1" s="1"/>
  <c r="K649" i="1" a="1"/>
  <c r="K649" i="1" s="1"/>
  <c r="K650" i="1" a="1"/>
  <c r="K650" i="1" s="1"/>
  <c r="K651" i="1" a="1"/>
  <c r="K651" i="1" s="1"/>
  <c r="K652" i="1" a="1"/>
  <c r="K652" i="1" s="1"/>
  <c r="K653" i="1" a="1"/>
  <c r="K653" i="1" s="1"/>
  <c r="K654" i="1" a="1"/>
  <c r="K654" i="1" s="1"/>
  <c r="K655" i="1" a="1"/>
  <c r="K655" i="1" s="1"/>
  <c r="K656" i="1" a="1"/>
  <c r="K656" i="1" s="1"/>
  <c r="K657" i="1" a="1"/>
  <c r="K657" i="1" s="1"/>
  <c r="K658" i="1" a="1"/>
  <c r="K658" i="1" s="1"/>
  <c r="K659" i="1" a="1"/>
  <c r="K659" i="1" s="1"/>
  <c r="K660" i="1" a="1"/>
  <c r="K660" i="1" s="1"/>
  <c r="K661" i="1" a="1"/>
  <c r="K661" i="1" s="1"/>
  <c r="K662" i="1" a="1"/>
  <c r="K662" i="1" s="1"/>
  <c r="K663" i="1" a="1"/>
  <c r="K663" i="1" s="1"/>
  <c r="K664" i="1" a="1"/>
  <c r="K664" i="1" s="1"/>
  <c r="K665" i="1" a="1"/>
  <c r="K665" i="1" s="1"/>
  <c r="K666" i="1" a="1"/>
  <c r="K666" i="1" s="1"/>
  <c r="K667" i="1" a="1"/>
  <c r="K667" i="1" s="1"/>
  <c r="K668" i="1" a="1"/>
  <c r="K668" i="1" s="1"/>
  <c r="K669" i="1" a="1"/>
  <c r="K669" i="1" s="1"/>
  <c r="K670" i="1" a="1"/>
  <c r="K670" i="1" s="1"/>
  <c r="K671" i="1" a="1"/>
  <c r="K671" i="1" s="1"/>
  <c r="K672" i="1" a="1"/>
  <c r="K672" i="1" s="1"/>
  <c r="K673" i="1" a="1"/>
  <c r="K673" i="1" s="1"/>
  <c r="K674" i="1" a="1"/>
  <c r="K674" i="1" s="1"/>
  <c r="K675" i="1" a="1"/>
  <c r="K675" i="1" s="1"/>
  <c r="K676" i="1" a="1"/>
  <c r="K676" i="1" s="1"/>
  <c r="K677" i="1" a="1"/>
  <c r="K677" i="1" s="1"/>
  <c r="K678" i="1" a="1"/>
  <c r="K678" i="1" s="1"/>
  <c r="K679" i="1" a="1"/>
  <c r="K679" i="1" s="1"/>
  <c r="K680" i="1" a="1"/>
  <c r="K680" i="1" s="1"/>
  <c r="K681" i="1" a="1"/>
  <c r="K681" i="1" s="1"/>
  <c r="K682" i="1" a="1"/>
  <c r="K682" i="1" s="1"/>
  <c r="K683" i="1" a="1"/>
  <c r="K683" i="1" s="1"/>
  <c r="K684" i="1" a="1"/>
  <c r="K684" i="1" s="1"/>
  <c r="K685" i="1" a="1"/>
  <c r="K685" i="1" s="1"/>
  <c r="K686" i="1" a="1"/>
  <c r="K686" i="1" s="1"/>
  <c r="K687" i="1" a="1"/>
  <c r="K687" i="1" s="1"/>
  <c r="K688" i="1" a="1"/>
  <c r="K688" i="1" s="1"/>
  <c r="K689" i="1" a="1"/>
  <c r="K689" i="1" s="1"/>
  <c r="K690" i="1" a="1"/>
  <c r="K690" i="1" s="1"/>
  <c r="K691" i="1" a="1"/>
  <c r="K691" i="1" s="1"/>
  <c r="K692" i="1" a="1"/>
  <c r="K692" i="1" s="1"/>
  <c r="K693" i="1" a="1"/>
  <c r="K693" i="1" s="1"/>
  <c r="K694" i="1" a="1"/>
  <c r="K694" i="1" s="1"/>
  <c r="K695" i="1" a="1"/>
  <c r="K695" i="1" s="1"/>
  <c r="K696" i="1" a="1"/>
  <c r="K696" i="1" s="1"/>
  <c r="K697" i="1" a="1"/>
  <c r="K697" i="1" s="1"/>
  <c r="K698" i="1" a="1"/>
  <c r="K698" i="1" s="1"/>
  <c r="K699" i="1" a="1"/>
  <c r="K699" i="1" s="1"/>
  <c r="K700" i="1" a="1"/>
  <c r="K700" i="1" s="1"/>
  <c r="K701" i="1" a="1"/>
  <c r="K701" i="1" s="1"/>
  <c r="K702" i="1" a="1"/>
  <c r="K702" i="1" s="1"/>
  <c r="K703" i="1" a="1"/>
  <c r="K703" i="1" s="1"/>
  <c r="K704" i="1" a="1"/>
  <c r="K704" i="1" s="1"/>
  <c r="K705" i="1" a="1"/>
  <c r="K705" i="1" s="1"/>
  <c r="K706" i="1" a="1"/>
  <c r="K706" i="1" s="1"/>
  <c r="K707" i="1" a="1"/>
  <c r="K707" i="1" s="1"/>
  <c r="K708" i="1" a="1"/>
  <c r="K708" i="1" s="1"/>
  <c r="K709" i="1" a="1"/>
  <c r="K709" i="1" s="1"/>
  <c r="K710" i="1" a="1"/>
  <c r="K710" i="1" s="1"/>
  <c r="K711" i="1" a="1"/>
  <c r="K711" i="1" s="1"/>
  <c r="K712" i="1" a="1"/>
  <c r="K712" i="1" s="1"/>
  <c r="K713" i="1" a="1"/>
  <c r="K713" i="1" s="1"/>
  <c r="K714" i="1" a="1"/>
  <c r="K714" i="1" s="1"/>
  <c r="K715" i="1" a="1"/>
  <c r="K715" i="1" s="1"/>
  <c r="K716" i="1" a="1"/>
  <c r="K716" i="1" s="1"/>
  <c r="K717" i="1" a="1"/>
  <c r="K717" i="1" s="1"/>
  <c r="K718" i="1" a="1"/>
  <c r="K718" i="1" s="1"/>
  <c r="K719" i="1" a="1"/>
  <c r="K719" i="1" s="1"/>
  <c r="K720" i="1" a="1"/>
  <c r="K720" i="1" s="1"/>
  <c r="K721" i="1" a="1"/>
  <c r="K721" i="1" s="1"/>
  <c r="K722" i="1" a="1"/>
  <c r="K722" i="1" s="1"/>
  <c r="K723" i="1" a="1"/>
  <c r="K723" i="1" s="1"/>
  <c r="K724" i="1" a="1"/>
  <c r="K724" i="1" s="1"/>
  <c r="K725" i="1" a="1"/>
  <c r="K725" i="1" s="1"/>
  <c r="K726" i="1" a="1"/>
  <c r="K726" i="1" s="1"/>
  <c r="K727" i="1" a="1"/>
  <c r="K727" i="1" s="1"/>
  <c r="K728" i="1" a="1"/>
  <c r="K728" i="1" s="1"/>
  <c r="K729" i="1" a="1"/>
  <c r="K729" i="1" s="1"/>
  <c r="K730" i="1" a="1"/>
  <c r="K730" i="1" s="1"/>
  <c r="K731" i="1" a="1"/>
  <c r="K731" i="1" s="1"/>
  <c r="K732" i="1" a="1"/>
  <c r="K732" i="1" s="1"/>
  <c r="K733" i="1" a="1"/>
  <c r="K733" i="1" s="1"/>
  <c r="K734" i="1" a="1"/>
  <c r="K734" i="1" s="1"/>
  <c r="K735" i="1" a="1"/>
  <c r="K735" i="1" s="1"/>
  <c r="K736" i="1" a="1"/>
  <c r="K736" i="1" s="1"/>
  <c r="K737" i="1" a="1"/>
  <c r="K737" i="1" s="1"/>
  <c r="K738" i="1" a="1"/>
  <c r="K738" i="1" s="1"/>
  <c r="K739" i="1" a="1"/>
  <c r="K739" i="1" s="1"/>
  <c r="K740" i="1" a="1"/>
  <c r="K740" i="1" s="1"/>
  <c r="K741" i="1" a="1"/>
  <c r="K741" i="1" s="1"/>
  <c r="K742" i="1" a="1"/>
  <c r="K742" i="1" s="1"/>
  <c r="K743" i="1" a="1"/>
  <c r="K743" i="1" s="1"/>
  <c r="K744" i="1" a="1"/>
  <c r="K744" i="1" s="1"/>
  <c r="K745" i="1" a="1"/>
  <c r="K745" i="1" s="1"/>
  <c r="K746" i="1" a="1"/>
  <c r="K746" i="1" s="1"/>
  <c r="K747" i="1" a="1"/>
  <c r="K747" i="1" s="1"/>
  <c r="K748" i="1" a="1"/>
  <c r="K748" i="1" s="1"/>
  <c r="K749" i="1" a="1"/>
  <c r="K749" i="1" s="1"/>
  <c r="K750" i="1" a="1"/>
  <c r="K750" i="1" s="1"/>
  <c r="K751" i="1" a="1"/>
  <c r="K751" i="1" s="1"/>
  <c r="K752" i="1" a="1"/>
  <c r="K752" i="1" s="1"/>
  <c r="K753" i="1" a="1"/>
  <c r="K753" i="1" s="1"/>
  <c r="K754" i="1" a="1"/>
  <c r="K754" i="1" s="1"/>
  <c r="K755" i="1" a="1"/>
  <c r="K755" i="1" s="1"/>
  <c r="K756" i="1" a="1"/>
  <c r="K756" i="1" s="1"/>
  <c r="K757" i="1" a="1"/>
  <c r="K757" i="1" s="1"/>
  <c r="K758" i="1" a="1"/>
  <c r="K758" i="1" s="1"/>
  <c r="K759" i="1" a="1"/>
  <c r="K759" i="1" s="1"/>
  <c r="K760" i="1" a="1"/>
  <c r="K760" i="1" s="1"/>
  <c r="K761" i="1" a="1"/>
  <c r="K761" i="1" s="1"/>
  <c r="K762" i="1" a="1"/>
  <c r="K762" i="1" s="1"/>
  <c r="K763" i="1" a="1"/>
  <c r="K763" i="1" s="1"/>
  <c r="K764" i="1" a="1"/>
  <c r="K764" i="1" s="1"/>
  <c r="K765" i="1" a="1"/>
  <c r="K765" i="1" s="1"/>
  <c r="K766" i="1" a="1"/>
  <c r="K766" i="1" s="1"/>
  <c r="K767" i="1" a="1"/>
  <c r="K767" i="1" s="1"/>
  <c r="K768" i="1" a="1"/>
  <c r="K768" i="1" s="1"/>
  <c r="K769" i="1" a="1"/>
  <c r="K769" i="1" s="1"/>
  <c r="K770" i="1" a="1"/>
  <c r="K770" i="1" s="1"/>
  <c r="K771" i="1" a="1"/>
  <c r="K771" i="1" s="1"/>
  <c r="K772" i="1" a="1"/>
  <c r="K772" i="1" s="1"/>
  <c r="K773" i="1" a="1"/>
  <c r="K773" i="1" s="1"/>
  <c r="K774" i="1" a="1"/>
  <c r="K774" i="1" s="1"/>
  <c r="K775" i="1" a="1"/>
  <c r="K775" i="1" s="1"/>
  <c r="K776" i="1" a="1"/>
  <c r="K776" i="1" s="1"/>
  <c r="K777" i="1" a="1"/>
  <c r="K777" i="1" s="1"/>
  <c r="K778" i="1" a="1"/>
  <c r="K778" i="1" s="1"/>
  <c r="K779" i="1" a="1"/>
  <c r="K779" i="1" s="1"/>
  <c r="K780" i="1" a="1"/>
  <c r="K780" i="1" s="1"/>
  <c r="K781" i="1" a="1"/>
  <c r="K781" i="1" s="1"/>
  <c r="K782" i="1" a="1"/>
  <c r="K782" i="1" s="1"/>
  <c r="K783" i="1" a="1"/>
  <c r="K783" i="1" s="1"/>
  <c r="K784" i="1" a="1"/>
  <c r="K784" i="1" s="1"/>
  <c r="K785" i="1" a="1"/>
  <c r="K785" i="1" s="1"/>
  <c r="K786" i="1" a="1"/>
  <c r="K786" i="1" s="1"/>
  <c r="K787" i="1" a="1"/>
  <c r="K787" i="1" s="1"/>
  <c r="K788" i="1" a="1"/>
  <c r="K788" i="1" s="1"/>
  <c r="K789" i="1" a="1"/>
  <c r="K789" i="1" s="1"/>
  <c r="K790" i="1" a="1"/>
  <c r="K790" i="1" s="1"/>
  <c r="K791" i="1" a="1"/>
  <c r="K791" i="1" s="1"/>
  <c r="K792" i="1" a="1"/>
  <c r="K792" i="1" s="1"/>
  <c r="K793" i="1" a="1"/>
  <c r="K793" i="1" s="1"/>
  <c r="K794" i="1" a="1"/>
  <c r="K794" i="1" s="1"/>
  <c r="K795" i="1" a="1"/>
  <c r="K795" i="1" s="1"/>
  <c r="K796" i="1" a="1"/>
  <c r="K796" i="1" s="1"/>
  <c r="K797" i="1" a="1"/>
  <c r="K797" i="1" s="1"/>
  <c r="K798" i="1" a="1"/>
  <c r="K798" i="1" s="1"/>
  <c r="K799" i="1" a="1"/>
  <c r="K799" i="1" s="1"/>
  <c r="K800" i="1" a="1"/>
  <c r="K800" i="1" s="1"/>
  <c r="K801" i="1" a="1"/>
  <c r="K801" i="1" s="1"/>
  <c r="K802" i="1" a="1"/>
  <c r="K802" i="1" s="1"/>
  <c r="K803" i="1" a="1"/>
  <c r="K803" i="1" s="1"/>
  <c r="K804" i="1" a="1"/>
  <c r="K804" i="1" s="1"/>
  <c r="K805" i="1" a="1"/>
  <c r="K805" i="1" s="1"/>
  <c r="K806" i="1" a="1"/>
  <c r="K806" i="1" s="1"/>
  <c r="K807" i="1" a="1"/>
  <c r="K807" i="1" s="1"/>
  <c r="K808" i="1" a="1"/>
  <c r="K808" i="1" s="1"/>
  <c r="K809" i="1" a="1"/>
  <c r="K809" i="1" s="1"/>
  <c r="K810" i="1" a="1"/>
  <c r="K810" i="1" s="1"/>
  <c r="K811" i="1" a="1"/>
  <c r="K811" i="1" s="1"/>
  <c r="K812" i="1" a="1"/>
  <c r="K812" i="1" s="1"/>
  <c r="K813" i="1" a="1"/>
  <c r="K813" i="1" s="1"/>
  <c r="K814" i="1" a="1"/>
  <c r="K814" i="1" s="1"/>
  <c r="K815" i="1" a="1"/>
  <c r="K815" i="1" s="1"/>
  <c r="K816" i="1" a="1"/>
  <c r="K816" i="1" s="1"/>
  <c r="K817" i="1" a="1"/>
  <c r="K817" i="1" s="1"/>
  <c r="K818" i="1" a="1"/>
  <c r="K818" i="1" s="1"/>
  <c r="K819" i="1" a="1"/>
  <c r="K819" i="1" s="1"/>
  <c r="K820" i="1" a="1"/>
  <c r="K820" i="1" s="1"/>
  <c r="K821" i="1" a="1"/>
  <c r="K821" i="1" s="1"/>
  <c r="K822" i="1" a="1"/>
  <c r="K822" i="1" s="1"/>
  <c r="K823" i="1" a="1"/>
  <c r="K823" i="1" s="1"/>
  <c r="K824" i="1" a="1"/>
  <c r="K824" i="1" s="1"/>
  <c r="K825" i="1" a="1"/>
  <c r="K825" i="1" s="1"/>
  <c r="K826" i="1" a="1"/>
  <c r="K826" i="1" s="1"/>
  <c r="K827" i="1" a="1"/>
  <c r="K827" i="1" s="1"/>
  <c r="K828" i="1" a="1"/>
  <c r="K828" i="1" s="1"/>
  <c r="K829" i="1" a="1"/>
  <c r="K829" i="1" s="1"/>
  <c r="K830" i="1" a="1"/>
  <c r="K830" i="1" s="1"/>
  <c r="K831" i="1" a="1"/>
  <c r="K831" i="1" s="1"/>
  <c r="K832" i="1" a="1"/>
  <c r="K832" i="1" s="1"/>
  <c r="K833" i="1" a="1"/>
  <c r="K833" i="1" s="1"/>
  <c r="K834" i="1" a="1"/>
  <c r="K834" i="1" s="1"/>
  <c r="K835" i="1" a="1"/>
  <c r="K835" i="1" s="1"/>
  <c r="K836" i="1" a="1"/>
  <c r="K836" i="1" s="1"/>
  <c r="K837" i="1" a="1"/>
  <c r="K837" i="1" s="1"/>
  <c r="K838" i="1" a="1"/>
  <c r="K838" i="1" s="1"/>
  <c r="K839" i="1" a="1"/>
  <c r="K839" i="1" s="1"/>
  <c r="K840" i="1" a="1"/>
  <c r="K840" i="1" s="1"/>
  <c r="K841" i="1" a="1"/>
  <c r="K841" i="1" s="1"/>
  <c r="K842" i="1" a="1"/>
  <c r="K842" i="1" s="1"/>
  <c r="K843" i="1" a="1"/>
  <c r="K843" i="1" s="1"/>
  <c r="K844" i="1" a="1"/>
  <c r="K844" i="1" s="1"/>
  <c r="K845" i="1" a="1"/>
  <c r="K845" i="1" s="1"/>
  <c r="K846" i="1" a="1"/>
  <c r="K846" i="1" s="1"/>
  <c r="K847" i="1" a="1"/>
  <c r="K847" i="1" s="1"/>
  <c r="K848" i="1" a="1"/>
  <c r="K848" i="1" s="1"/>
  <c r="K849" i="1" a="1"/>
  <c r="K849" i="1" s="1"/>
  <c r="K850" i="1" a="1"/>
  <c r="K850" i="1" s="1"/>
  <c r="K851" i="1" a="1"/>
  <c r="K851" i="1" s="1"/>
  <c r="K852" i="1" a="1"/>
  <c r="K852" i="1" s="1"/>
  <c r="K853" i="1" a="1"/>
  <c r="K853" i="1" s="1"/>
  <c r="K854" i="1" a="1"/>
  <c r="K854" i="1" s="1"/>
  <c r="K855" i="1" a="1"/>
  <c r="K855" i="1" s="1"/>
  <c r="K856" i="1" a="1"/>
  <c r="K856" i="1" s="1"/>
  <c r="K857" i="1" a="1"/>
  <c r="K857" i="1" s="1"/>
  <c r="K858" i="1" a="1"/>
  <c r="K858" i="1" s="1"/>
  <c r="K859" i="1" a="1"/>
  <c r="K859" i="1" s="1"/>
  <c r="K860" i="1" a="1"/>
  <c r="K860" i="1" s="1"/>
  <c r="K861" i="1" a="1"/>
  <c r="K861" i="1" s="1"/>
  <c r="K862" i="1" a="1"/>
  <c r="K862" i="1" s="1"/>
  <c r="K863" i="1" a="1"/>
  <c r="K863" i="1" s="1"/>
  <c r="K864" i="1" a="1"/>
  <c r="K864" i="1" s="1"/>
  <c r="K865" i="1" a="1"/>
  <c r="K865" i="1" s="1"/>
  <c r="K866" i="1" a="1"/>
  <c r="K866" i="1" s="1"/>
  <c r="K867" i="1" a="1"/>
  <c r="K867" i="1" s="1"/>
  <c r="K868" i="1" a="1"/>
  <c r="K868" i="1" s="1"/>
  <c r="K869" i="1" a="1"/>
  <c r="K869" i="1" s="1"/>
  <c r="K870" i="1" a="1"/>
  <c r="K870" i="1" s="1"/>
  <c r="K871" i="1" a="1"/>
  <c r="K871" i="1" s="1"/>
  <c r="K872" i="1" a="1"/>
  <c r="K872" i="1" s="1"/>
  <c r="K873" i="1" a="1"/>
  <c r="K873" i="1" s="1"/>
  <c r="K874" i="1" a="1"/>
  <c r="K874" i="1" s="1"/>
  <c r="K875" i="1" a="1"/>
  <c r="K875" i="1" s="1"/>
  <c r="K876" i="1" a="1"/>
  <c r="K876" i="1" s="1"/>
  <c r="K877" i="1" a="1"/>
  <c r="K877" i="1" s="1"/>
  <c r="K878" i="1" a="1"/>
  <c r="K878" i="1" s="1"/>
  <c r="K879" i="1" a="1"/>
  <c r="K879" i="1" s="1"/>
  <c r="K880" i="1" a="1"/>
  <c r="K880" i="1" s="1"/>
  <c r="K881" i="1" a="1"/>
  <c r="K881" i="1" s="1"/>
  <c r="K882" i="1" a="1"/>
  <c r="K882" i="1" s="1"/>
  <c r="K883" i="1" a="1"/>
  <c r="K883" i="1" s="1"/>
  <c r="K884" i="1" a="1"/>
  <c r="K884" i="1" s="1"/>
  <c r="K885" i="1" a="1"/>
  <c r="K885" i="1" s="1"/>
  <c r="K886" i="1" a="1"/>
  <c r="K886" i="1" s="1"/>
  <c r="K887" i="1" a="1"/>
  <c r="K887" i="1" s="1"/>
  <c r="K888" i="1" a="1"/>
  <c r="K888" i="1" s="1"/>
  <c r="K889" i="1" a="1"/>
  <c r="K889" i="1" s="1"/>
  <c r="K890" i="1" a="1"/>
  <c r="K890" i="1" s="1"/>
  <c r="K891" i="1" a="1"/>
  <c r="K891" i="1" s="1"/>
  <c r="K892" i="1" a="1"/>
  <c r="K892" i="1" s="1"/>
  <c r="K893" i="1" a="1"/>
  <c r="K893" i="1" s="1"/>
  <c r="K894" i="1" a="1"/>
  <c r="K894" i="1" s="1"/>
  <c r="K895" i="1" a="1"/>
  <c r="K895" i="1" s="1"/>
  <c r="K896" i="1" a="1"/>
  <c r="K896" i="1" s="1"/>
  <c r="K897" i="1" a="1"/>
  <c r="K897" i="1" s="1"/>
  <c r="K898" i="1" a="1"/>
  <c r="K898" i="1" s="1"/>
  <c r="K899" i="1" a="1"/>
  <c r="K899" i="1" s="1"/>
  <c r="K900" i="1" a="1"/>
  <c r="K900" i="1" s="1"/>
  <c r="K901" i="1" a="1"/>
  <c r="K901" i="1" s="1"/>
  <c r="K902" i="1" a="1"/>
  <c r="K902" i="1" s="1"/>
  <c r="K903" i="1" a="1"/>
  <c r="K903" i="1" s="1"/>
  <c r="K904" i="1" a="1"/>
  <c r="K904" i="1" s="1"/>
  <c r="K905" i="1" a="1"/>
  <c r="K905" i="1" s="1"/>
  <c r="K906" i="1" a="1"/>
  <c r="K906" i="1" s="1"/>
  <c r="K907" i="1" a="1"/>
  <c r="K907" i="1" s="1"/>
  <c r="K908" i="1" a="1"/>
  <c r="K908" i="1" s="1"/>
  <c r="K909" i="1" a="1"/>
  <c r="K909" i="1" s="1"/>
  <c r="K910" i="1" a="1"/>
  <c r="K910" i="1" s="1"/>
  <c r="K911" i="1" a="1"/>
  <c r="K911" i="1" s="1"/>
  <c r="K912" i="1" a="1"/>
  <c r="K912" i="1" s="1"/>
  <c r="K913" i="1" a="1"/>
  <c r="K913" i="1" s="1"/>
  <c r="K914" i="1" a="1"/>
  <c r="K914" i="1" s="1"/>
  <c r="K915" i="1" a="1"/>
  <c r="K915" i="1" s="1"/>
  <c r="K916" i="1" a="1"/>
  <c r="K916" i="1" s="1"/>
  <c r="K917" i="1" a="1"/>
  <c r="K917" i="1" s="1"/>
  <c r="K918" i="1" a="1"/>
  <c r="K918" i="1" s="1"/>
  <c r="K919" i="1" a="1"/>
  <c r="K919" i="1" s="1"/>
  <c r="K920" i="1" a="1"/>
  <c r="K920" i="1" s="1"/>
  <c r="K921" i="1" a="1"/>
  <c r="K921" i="1" s="1"/>
  <c r="K922" i="1" a="1"/>
  <c r="K922" i="1" s="1"/>
  <c r="K923" i="1" a="1"/>
  <c r="K923" i="1" s="1"/>
  <c r="K924" i="1" a="1"/>
  <c r="K924" i="1" s="1"/>
  <c r="K925" i="1" a="1"/>
  <c r="K925" i="1" s="1"/>
  <c r="K926" i="1" a="1"/>
  <c r="K926" i="1" s="1"/>
  <c r="K927" i="1" a="1"/>
  <c r="K927" i="1" s="1"/>
  <c r="K928" i="1" a="1"/>
  <c r="K928" i="1" s="1"/>
  <c r="K929" i="1" a="1"/>
  <c r="K929" i="1" s="1"/>
  <c r="K930" i="1" a="1"/>
  <c r="K930" i="1" s="1"/>
  <c r="K931" i="1" a="1"/>
  <c r="K931" i="1" s="1"/>
  <c r="K932" i="1" a="1"/>
  <c r="K932" i="1" s="1"/>
  <c r="K933" i="1" a="1"/>
  <c r="K933" i="1" s="1"/>
  <c r="K934" i="1" a="1"/>
  <c r="K934" i="1" s="1"/>
  <c r="K935" i="1" a="1"/>
  <c r="K935" i="1" s="1"/>
  <c r="K936" i="1" a="1"/>
  <c r="K936" i="1" s="1"/>
  <c r="K937" i="1" a="1"/>
  <c r="K937" i="1" s="1"/>
  <c r="K938" i="1" a="1"/>
  <c r="K938" i="1" s="1"/>
  <c r="K939" i="1" a="1"/>
  <c r="K939" i="1" s="1"/>
  <c r="K940" i="1" a="1"/>
  <c r="K940" i="1" s="1"/>
  <c r="K941" i="1" a="1"/>
  <c r="K941" i="1" s="1"/>
  <c r="K942" i="1" a="1"/>
  <c r="K942" i="1" s="1"/>
  <c r="K943" i="1" a="1"/>
  <c r="K943" i="1" s="1"/>
  <c r="K944" i="1" a="1"/>
  <c r="K944" i="1" s="1"/>
  <c r="K945" i="1" a="1"/>
  <c r="K945" i="1" s="1"/>
  <c r="K946" i="1" a="1"/>
  <c r="K946" i="1" s="1"/>
  <c r="K947" i="1" a="1"/>
  <c r="K947" i="1" s="1"/>
  <c r="K948" i="1" a="1"/>
  <c r="K948" i="1" s="1"/>
  <c r="K949" i="1" a="1"/>
  <c r="K949" i="1" s="1"/>
  <c r="K950" i="1" a="1"/>
  <c r="K950" i="1" s="1"/>
  <c r="K951" i="1" a="1"/>
  <c r="K951" i="1" s="1"/>
  <c r="K952" i="1" a="1"/>
  <c r="K952" i="1" s="1"/>
  <c r="K953" i="1" a="1"/>
  <c r="K953" i="1" s="1"/>
  <c r="K954" i="1" a="1"/>
  <c r="K954" i="1" s="1"/>
  <c r="K955" i="1" a="1"/>
  <c r="K955" i="1" s="1"/>
  <c r="K956" i="1" a="1"/>
  <c r="K956" i="1" s="1"/>
  <c r="K957" i="1" a="1"/>
  <c r="K957" i="1" s="1"/>
  <c r="K958" i="1" a="1"/>
  <c r="K958" i="1" s="1"/>
  <c r="K959" i="1" a="1"/>
  <c r="K959" i="1" s="1"/>
  <c r="K960" i="1" a="1"/>
  <c r="K960" i="1" s="1"/>
  <c r="K961" i="1" a="1"/>
  <c r="K961" i="1" s="1"/>
  <c r="K962" i="1" a="1"/>
  <c r="K962" i="1" s="1"/>
  <c r="K963" i="1" a="1"/>
  <c r="K963" i="1" s="1"/>
  <c r="K964" i="1" a="1"/>
  <c r="K964" i="1" s="1"/>
  <c r="K965" i="1" a="1"/>
  <c r="K965" i="1" s="1"/>
  <c r="K966" i="1" a="1"/>
  <c r="K966" i="1" s="1"/>
  <c r="K967" i="1" a="1"/>
  <c r="K967" i="1" s="1"/>
  <c r="K968" i="1" a="1"/>
  <c r="K968" i="1" s="1"/>
  <c r="K969" i="1" a="1"/>
  <c r="K969" i="1" s="1"/>
  <c r="K970" i="1" a="1"/>
  <c r="K970" i="1" s="1"/>
  <c r="K971" i="1" a="1"/>
  <c r="K971" i="1" s="1"/>
  <c r="K972" i="1" a="1"/>
  <c r="K972" i="1" s="1"/>
  <c r="K973" i="1" a="1"/>
  <c r="K973" i="1" s="1"/>
  <c r="K974" i="1" a="1"/>
  <c r="K974" i="1" s="1"/>
  <c r="K975" i="1" a="1"/>
  <c r="K975" i="1" s="1"/>
  <c r="K976" i="1" a="1"/>
  <c r="K976" i="1" s="1"/>
  <c r="K977" i="1" a="1"/>
  <c r="K977" i="1" s="1"/>
  <c r="K978" i="1" a="1"/>
  <c r="K978" i="1" s="1"/>
  <c r="K979" i="1" a="1"/>
  <c r="K979" i="1" s="1"/>
  <c r="K980" i="1" a="1"/>
  <c r="K980" i="1" s="1"/>
  <c r="K981" i="1" a="1"/>
  <c r="K981" i="1" s="1"/>
  <c r="K982" i="1" a="1"/>
  <c r="K982" i="1" s="1"/>
  <c r="K983" i="1" a="1"/>
  <c r="K983" i="1" s="1"/>
  <c r="K984" i="1" a="1"/>
  <c r="K984" i="1" s="1"/>
  <c r="K985" i="1" a="1"/>
  <c r="K985" i="1" s="1"/>
  <c r="K986" i="1" a="1"/>
  <c r="K986" i="1" s="1"/>
  <c r="K987" i="1" a="1"/>
  <c r="K987" i="1" s="1"/>
  <c r="K988" i="1" a="1"/>
  <c r="K988" i="1" s="1"/>
  <c r="K989" i="1" a="1"/>
  <c r="K989" i="1" s="1"/>
  <c r="K990" i="1" a="1"/>
  <c r="K990" i="1" s="1"/>
  <c r="K991" i="1" a="1"/>
  <c r="K991" i="1" s="1"/>
  <c r="K992" i="1" a="1"/>
  <c r="K992" i="1" s="1"/>
  <c r="K993" i="1" a="1"/>
  <c r="K993" i="1" s="1"/>
  <c r="K994" i="1" a="1"/>
  <c r="K994" i="1" s="1"/>
  <c r="K995" i="1" a="1"/>
  <c r="K995" i="1" s="1"/>
  <c r="K996" i="1" a="1"/>
  <c r="K996" i="1" s="1"/>
  <c r="K997" i="1" a="1"/>
  <c r="K997" i="1" s="1"/>
  <c r="K998" i="1" a="1"/>
  <c r="K998" i="1" s="1"/>
  <c r="K999" i="1" a="1"/>
  <c r="K999" i="1" s="1"/>
  <c r="K1000" i="1" a="1"/>
  <c r="K1000" i="1" s="1"/>
  <c r="K1001" i="1" a="1"/>
  <c r="K1001" i="1" s="1"/>
  <c r="K1002" i="1" a="1"/>
  <c r="K1002" i="1" s="1"/>
  <c r="K1003" i="1" a="1"/>
  <c r="K1003" i="1" s="1"/>
  <c r="K1004" i="1" a="1"/>
  <c r="K1004" i="1" s="1"/>
  <c r="K1005" i="1" a="1"/>
  <c r="K1005" i="1" s="1"/>
  <c r="K1006" i="1" a="1"/>
  <c r="K1006" i="1" s="1"/>
  <c r="K1007" i="1" a="1"/>
  <c r="K1007" i="1" s="1"/>
  <c r="K1008" i="1" a="1"/>
  <c r="K1008" i="1" s="1"/>
  <c r="K1009" i="1" a="1"/>
  <c r="K1009" i="1" s="1"/>
  <c r="K1010" i="1" a="1"/>
  <c r="K1010" i="1" s="1"/>
  <c r="K1011" i="1" a="1"/>
  <c r="K1011" i="1" s="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3" i="1"/>
  <c r="E12" i="1"/>
  <c r="G12" i="1"/>
  <c r="F12" i="1"/>
  <c r="B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C12" i="1"/>
  <c r="P13" i="1"/>
  <c r="P14" i="1"/>
  <c r="P15" i="1"/>
  <c r="R15" i="1" s="1"/>
  <c r="P16" i="1"/>
  <c r="R16" i="1" s="1"/>
  <c r="P17" i="1"/>
  <c r="R17" i="1" s="1"/>
  <c r="P18" i="1"/>
  <c r="Q18" i="1" s="1"/>
  <c r="P19" i="1"/>
  <c r="R19" i="1" s="1"/>
  <c r="P20" i="1"/>
  <c r="Q20" i="1" s="1"/>
  <c r="P21" i="1"/>
  <c r="R21" i="1" s="1"/>
  <c r="P22" i="1"/>
  <c r="Q22" i="1" s="1"/>
  <c r="P23" i="1"/>
  <c r="R23" i="1" s="1"/>
  <c r="P24" i="1"/>
  <c r="R24" i="1" s="1"/>
  <c r="P25" i="1"/>
  <c r="R25" i="1" s="1"/>
  <c r="P26" i="1"/>
  <c r="R26" i="1" s="1"/>
  <c r="P27" i="1"/>
  <c r="R27" i="1" s="1"/>
  <c r="P28" i="1"/>
  <c r="R28" i="1" s="1"/>
  <c r="P29" i="1"/>
  <c r="R29" i="1" s="1"/>
  <c r="P30" i="1"/>
  <c r="R30" i="1" s="1"/>
  <c r="P31" i="1"/>
  <c r="R31" i="1" s="1"/>
  <c r="P32" i="1"/>
  <c r="R32" i="1" s="1"/>
  <c r="P33" i="1"/>
  <c r="R33" i="1" s="1"/>
  <c r="P34" i="1"/>
  <c r="R34" i="1" s="1"/>
  <c r="P35" i="1"/>
  <c r="R35" i="1" s="1"/>
  <c r="P36" i="1"/>
  <c r="R36" i="1" s="1"/>
  <c r="P37" i="1"/>
  <c r="R37" i="1" s="1"/>
  <c r="P38" i="1"/>
  <c r="Q38" i="1" s="1"/>
  <c r="P39" i="1"/>
  <c r="Q39" i="1" s="1"/>
  <c r="P40" i="1"/>
  <c r="Q40" i="1" s="1"/>
  <c r="P41" i="1"/>
  <c r="Q41" i="1" s="1"/>
  <c r="P42" i="1"/>
  <c r="Q42" i="1" s="1"/>
  <c r="P43" i="1"/>
  <c r="Q43" i="1" s="1"/>
  <c r="P44" i="1"/>
  <c r="R44" i="1" s="1"/>
  <c r="P45" i="1"/>
  <c r="R45" i="1" s="1"/>
  <c r="P46" i="1"/>
  <c r="R46" i="1" s="1"/>
  <c r="P47" i="1"/>
  <c r="R47" i="1" s="1"/>
  <c r="P48" i="1"/>
  <c r="R48" i="1" s="1"/>
  <c r="P49" i="1"/>
  <c r="R49" i="1" s="1"/>
  <c r="P50" i="1"/>
  <c r="R50" i="1" s="1"/>
  <c r="P51" i="1"/>
  <c r="R51" i="1" s="1"/>
  <c r="P52" i="1"/>
  <c r="R52" i="1" s="1"/>
  <c r="P53" i="1"/>
  <c r="R53" i="1" s="1"/>
  <c r="P54" i="1"/>
  <c r="R54" i="1" s="1"/>
  <c r="P55" i="1"/>
  <c r="Q55" i="1" s="1"/>
  <c r="P56" i="1"/>
  <c r="Q56" i="1" s="1"/>
  <c r="P57" i="1"/>
  <c r="R57" i="1" s="1"/>
  <c r="P58" i="1"/>
  <c r="Q58" i="1" s="1"/>
  <c r="P59" i="1"/>
  <c r="R59" i="1" s="1"/>
  <c r="P60" i="1"/>
  <c r="R60" i="1" s="1"/>
  <c r="P61" i="1"/>
  <c r="R61" i="1" s="1"/>
  <c r="P62" i="1"/>
  <c r="R62" i="1" s="1"/>
  <c r="P63" i="1"/>
  <c r="R63" i="1" s="1"/>
  <c r="P64" i="1"/>
  <c r="Q64" i="1" s="1"/>
  <c r="P65" i="1"/>
  <c r="Q65" i="1" s="1"/>
  <c r="P66" i="1"/>
  <c r="Q66" i="1" s="1"/>
  <c r="P67" i="1"/>
  <c r="Q67" i="1" s="1"/>
  <c r="P68" i="1"/>
  <c r="Q68" i="1" s="1"/>
  <c r="P69" i="1"/>
  <c r="R69" i="1" s="1"/>
  <c r="P70" i="1"/>
  <c r="Q70" i="1" s="1"/>
  <c r="P71" i="1"/>
  <c r="R71" i="1" s="1"/>
  <c r="P72" i="1"/>
  <c r="R72" i="1" s="1"/>
  <c r="P73" i="1"/>
  <c r="R73" i="1" s="1"/>
  <c r="P74" i="1"/>
  <c r="R74" i="1" s="1"/>
  <c r="P75" i="1"/>
  <c r="R75" i="1" s="1"/>
  <c r="P76" i="1"/>
  <c r="Q76" i="1" s="1"/>
  <c r="P77" i="1"/>
  <c r="R77" i="1" s="1"/>
  <c r="P78" i="1"/>
  <c r="Q78" i="1" s="1"/>
  <c r="P79" i="1"/>
  <c r="Q79" i="1" s="1"/>
  <c r="P80" i="1"/>
  <c r="Q80" i="1" s="1"/>
  <c r="P81" i="1"/>
  <c r="R81" i="1" s="1"/>
  <c r="P82" i="1"/>
  <c r="Q82" i="1" s="1"/>
  <c r="P83" i="1"/>
  <c r="R83" i="1" s="1"/>
  <c r="P84" i="1"/>
  <c r="R84" i="1" s="1"/>
  <c r="P85" i="1"/>
  <c r="R85" i="1" s="1"/>
  <c r="P86" i="1"/>
  <c r="R86" i="1" s="1"/>
  <c r="P87" i="1"/>
  <c r="R87" i="1" s="1"/>
  <c r="P88" i="1"/>
  <c r="R88" i="1" s="1"/>
  <c r="P89" i="1"/>
  <c r="R89" i="1" s="1"/>
  <c r="P90" i="1"/>
  <c r="R90" i="1" s="1"/>
  <c r="P91" i="1"/>
  <c r="R91" i="1" s="1"/>
  <c r="P92" i="1"/>
  <c r="R92" i="1" s="1"/>
  <c r="P93" i="1"/>
  <c r="R93" i="1" s="1"/>
  <c r="P94" i="1"/>
  <c r="R94" i="1" s="1"/>
  <c r="P95" i="1"/>
  <c r="R95" i="1" s="1"/>
  <c r="P96" i="1"/>
  <c r="R96" i="1" s="1"/>
  <c r="P97" i="1"/>
  <c r="Q97" i="1" s="1"/>
  <c r="P98" i="1"/>
  <c r="Q98" i="1" s="1"/>
  <c r="P99" i="1"/>
  <c r="Q99" i="1" s="1"/>
  <c r="P100" i="1"/>
  <c r="Q100" i="1" s="1"/>
  <c r="P101" i="1"/>
  <c r="Q101" i="1" s="1"/>
  <c r="P102" i="1"/>
  <c r="R102" i="1" s="1"/>
  <c r="P103" i="1"/>
  <c r="R103" i="1" s="1"/>
  <c r="P104" i="1"/>
  <c r="Q104" i="1" s="1"/>
  <c r="P105" i="1"/>
  <c r="R105" i="1" s="1"/>
  <c r="P106" i="1"/>
  <c r="R106" i="1" s="1"/>
  <c r="P107" i="1"/>
  <c r="R107" i="1" s="1"/>
  <c r="P108" i="1"/>
  <c r="R108" i="1" s="1"/>
  <c r="P109" i="1"/>
  <c r="R109" i="1" s="1"/>
  <c r="P110" i="1"/>
  <c r="R110" i="1" s="1"/>
  <c r="P111" i="1"/>
  <c r="R111" i="1" s="1"/>
  <c r="P112" i="1"/>
  <c r="R112" i="1" s="1"/>
  <c r="P113" i="1"/>
  <c r="Q113" i="1" s="1"/>
  <c r="P114" i="1"/>
  <c r="Q114" i="1" s="1"/>
  <c r="P115" i="1"/>
  <c r="Q115" i="1" s="1"/>
  <c r="P116" i="1"/>
  <c r="R116" i="1" s="1"/>
  <c r="P117" i="1"/>
  <c r="R117" i="1" s="1"/>
  <c r="P118" i="1"/>
  <c r="R118" i="1" s="1"/>
  <c r="P119" i="1"/>
  <c r="R119" i="1" s="1"/>
  <c r="P120" i="1"/>
  <c r="R120" i="1" s="1"/>
  <c r="P121" i="1"/>
  <c r="R121" i="1" s="1"/>
  <c r="P122" i="1"/>
  <c r="R122" i="1" s="1"/>
  <c r="P123" i="1"/>
  <c r="R123" i="1" s="1"/>
  <c r="P124" i="1"/>
  <c r="R124" i="1" s="1"/>
  <c r="P125" i="1"/>
  <c r="R125" i="1" s="1"/>
  <c r="P126" i="1"/>
  <c r="R126" i="1" s="1"/>
  <c r="P127" i="1"/>
  <c r="R127" i="1" s="1"/>
  <c r="P128" i="1"/>
  <c r="R128" i="1" s="1"/>
  <c r="P129" i="1"/>
  <c r="R129" i="1" s="1"/>
  <c r="P130" i="1"/>
  <c r="R130" i="1" s="1"/>
  <c r="P131" i="1"/>
  <c r="R131" i="1" s="1"/>
  <c r="P132" i="1"/>
  <c r="R132" i="1" s="1"/>
  <c r="P133" i="1"/>
  <c r="R133" i="1" s="1"/>
  <c r="P134" i="1"/>
  <c r="Q134" i="1" s="1"/>
  <c r="P135" i="1"/>
  <c r="R135" i="1" s="1"/>
  <c r="P136" i="1"/>
  <c r="Q136" i="1" s="1"/>
  <c r="P137" i="1"/>
  <c r="Q137" i="1" s="1"/>
  <c r="P138" i="1"/>
  <c r="Q138" i="1" s="1"/>
  <c r="P139" i="1"/>
  <c r="Q139" i="1" s="1"/>
  <c r="P140" i="1"/>
  <c r="Q140" i="1" s="1"/>
  <c r="P141" i="1"/>
  <c r="R141" i="1" s="1"/>
  <c r="P142" i="1"/>
  <c r="Q142" i="1" s="1"/>
  <c r="P143" i="1"/>
  <c r="R143" i="1" s="1"/>
  <c r="P144" i="1"/>
  <c r="R144" i="1" s="1"/>
  <c r="P145" i="1"/>
  <c r="R145" i="1" s="1"/>
  <c r="P146" i="1"/>
  <c r="R146" i="1" s="1"/>
  <c r="P147" i="1"/>
  <c r="R147" i="1" s="1"/>
  <c r="P148" i="1"/>
  <c r="R148" i="1" s="1"/>
  <c r="P149" i="1"/>
  <c r="R149" i="1" s="1"/>
  <c r="P150" i="1"/>
  <c r="R150" i="1" s="1"/>
  <c r="P151" i="1"/>
  <c r="R151" i="1" s="1"/>
  <c r="P152" i="1"/>
  <c r="Q152" i="1" s="1"/>
  <c r="P153" i="1"/>
  <c r="R153" i="1" s="1"/>
  <c r="P154" i="1"/>
  <c r="Q154" i="1" s="1"/>
  <c r="P155" i="1"/>
  <c r="R155" i="1" s="1"/>
  <c r="P156" i="1"/>
  <c r="R156" i="1" s="1"/>
  <c r="P157" i="1"/>
  <c r="R157" i="1" s="1"/>
  <c r="P158" i="1"/>
  <c r="R158" i="1" s="1"/>
  <c r="P159" i="1"/>
  <c r="R159" i="1" s="1"/>
  <c r="P160" i="1"/>
  <c r="R160" i="1" s="1"/>
  <c r="P161" i="1"/>
  <c r="R161" i="1" s="1"/>
  <c r="P162" i="1"/>
  <c r="Q162" i="1" s="1"/>
  <c r="P163" i="1"/>
  <c r="R163" i="1" s="1"/>
  <c r="P164" i="1"/>
  <c r="Q164" i="1" s="1"/>
  <c r="P165" i="1"/>
  <c r="R165" i="1" s="1"/>
  <c r="P166" i="1"/>
  <c r="Q166" i="1" s="1"/>
  <c r="P167" i="1"/>
  <c r="R167" i="1" s="1"/>
  <c r="P168" i="1"/>
  <c r="R168" i="1" s="1"/>
  <c r="P169" i="1"/>
  <c r="R169" i="1" s="1"/>
  <c r="P170" i="1"/>
  <c r="R170" i="1" s="1"/>
  <c r="P171" i="1"/>
  <c r="Q171" i="1" s="1"/>
  <c r="P172" i="1"/>
  <c r="Q172" i="1" s="1"/>
  <c r="P173" i="1"/>
  <c r="Q173" i="1" s="1"/>
  <c r="P174" i="1"/>
  <c r="R174" i="1" s="1"/>
  <c r="P175" i="1"/>
  <c r="P176" i="1"/>
  <c r="Q176" i="1" s="1"/>
  <c r="P177" i="1"/>
  <c r="R177" i="1" s="1"/>
  <c r="P178" i="1"/>
  <c r="R178" i="1" s="1"/>
  <c r="P179" i="1"/>
  <c r="Q179" i="1" s="1"/>
  <c r="P180" i="1"/>
  <c r="R180" i="1" s="1"/>
  <c r="P181" i="1"/>
  <c r="R181" i="1" s="1"/>
  <c r="P182" i="1"/>
  <c r="R182" i="1" s="1"/>
  <c r="P183" i="1"/>
  <c r="R183" i="1" s="1"/>
  <c r="P184" i="1"/>
  <c r="Q184" i="1" s="1"/>
  <c r="P185" i="1"/>
  <c r="R185" i="1" s="1"/>
  <c r="P186" i="1"/>
  <c r="R186" i="1" s="1"/>
  <c r="P187" i="1"/>
  <c r="Q187" i="1" s="1"/>
  <c r="P188" i="1"/>
  <c r="R188" i="1" s="1"/>
  <c r="P189" i="1"/>
  <c r="R189" i="1" s="1"/>
  <c r="P190" i="1"/>
  <c r="R190" i="1" s="1"/>
  <c r="P191" i="1"/>
  <c r="Q191" i="1" s="1"/>
  <c r="P192" i="1"/>
  <c r="R192" i="1" s="1"/>
  <c r="P193" i="1"/>
  <c r="R193" i="1" s="1"/>
  <c r="P194" i="1"/>
  <c r="Q194" i="1" s="1"/>
  <c r="P195" i="1"/>
  <c r="R195" i="1" s="1"/>
  <c r="P196" i="1"/>
  <c r="Q196" i="1" s="1"/>
  <c r="P197" i="1"/>
  <c r="R197" i="1" s="1"/>
  <c r="P198" i="1"/>
  <c r="R198" i="1" s="1"/>
  <c r="P199" i="1"/>
  <c r="Q199" i="1" s="1"/>
  <c r="P200" i="1"/>
  <c r="R200" i="1" s="1"/>
  <c r="P201" i="1"/>
  <c r="R201" i="1" s="1"/>
  <c r="P202" i="1"/>
  <c r="R202" i="1" s="1"/>
  <c r="P203" i="1"/>
  <c r="R203" i="1" s="1"/>
  <c r="P204" i="1"/>
  <c r="R204" i="1" s="1"/>
  <c r="P205" i="1"/>
  <c r="R205" i="1" s="1"/>
  <c r="P206" i="1"/>
  <c r="R206" i="1" s="1"/>
  <c r="P207" i="1"/>
  <c r="R207" i="1" s="1"/>
  <c r="P208" i="1"/>
  <c r="Q208" i="1" s="1"/>
  <c r="P209" i="1"/>
  <c r="R209" i="1" s="1"/>
  <c r="P210" i="1"/>
  <c r="R210" i="1" s="1"/>
  <c r="P211" i="1"/>
  <c r="Q211" i="1" s="1"/>
  <c r="P212" i="1"/>
  <c r="R212" i="1" s="1"/>
  <c r="P213" i="1"/>
  <c r="R213" i="1" s="1"/>
  <c r="P214" i="1"/>
  <c r="R214" i="1" s="1"/>
  <c r="P215" i="1"/>
  <c r="R215" i="1" s="1"/>
  <c r="P216" i="1"/>
  <c r="R216" i="1" s="1"/>
  <c r="P217" i="1"/>
  <c r="Q217" i="1" s="1"/>
  <c r="P218" i="1"/>
  <c r="R218" i="1" s="1"/>
  <c r="P219" i="1"/>
  <c r="R219" i="1" s="1"/>
  <c r="P220" i="1"/>
  <c r="P221" i="1"/>
  <c r="R221" i="1" s="1"/>
  <c r="P222" i="1"/>
  <c r="Q222" i="1" s="1"/>
  <c r="P223" i="1"/>
  <c r="Q223" i="1" s="1"/>
  <c r="P224" i="1"/>
  <c r="Q224" i="1" s="1"/>
  <c r="P225" i="1"/>
  <c r="R225" i="1" s="1"/>
  <c r="P226" i="1"/>
  <c r="R226" i="1" s="1"/>
  <c r="P227" i="1"/>
  <c r="R227" i="1" s="1"/>
  <c r="P228" i="1"/>
  <c r="R228" i="1" s="1"/>
  <c r="P229" i="1"/>
  <c r="R229" i="1" s="1"/>
  <c r="P230" i="1"/>
  <c r="Q230" i="1" s="1"/>
  <c r="P231" i="1"/>
  <c r="Q231" i="1" s="1"/>
  <c r="P232" i="1"/>
  <c r="P233" i="1"/>
  <c r="R233" i="1" s="1"/>
  <c r="P234" i="1"/>
  <c r="R234" i="1" s="1"/>
  <c r="P235" i="1"/>
  <c r="P236" i="1"/>
  <c r="Q236" i="1" s="1"/>
  <c r="P237" i="1"/>
  <c r="R237" i="1" s="1"/>
  <c r="P238" i="1"/>
  <c r="Q238" i="1" s="1"/>
  <c r="P239" i="1"/>
  <c r="R239" i="1" s="1"/>
  <c r="P240" i="1"/>
  <c r="R240" i="1" s="1"/>
  <c r="P241" i="1"/>
  <c r="R241" i="1" s="1"/>
  <c r="P242" i="1"/>
  <c r="R242" i="1" s="1"/>
  <c r="P243" i="1"/>
  <c r="R243" i="1" s="1"/>
  <c r="P244" i="1"/>
  <c r="Q244" i="1" s="1"/>
  <c r="P245" i="1"/>
  <c r="R245" i="1" s="1"/>
  <c r="P246" i="1"/>
  <c r="R246" i="1" s="1"/>
  <c r="P247" i="1"/>
  <c r="P248" i="1"/>
  <c r="R248" i="1" s="1"/>
  <c r="P249" i="1"/>
  <c r="R249" i="1" s="1"/>
  <c r="P250" i="1"/>
  <c r="R250" i="1" s="1"/>
  <c r="P251" i="1"/>
  <c r="R251" i="1" s="1"/>
  <c r="P252" i="1"/>
  <c r="R252" i="1" s="1"/>
  <c r="P253" i="1"/>
  <c r="R253" i="1" s="1"/>
  <c r="P254" i="1"/>
  <c r="Q254" i="1" s="1"/>
  <c r="P255" i="1"/>
  <c r="Q255" i="1" s="1"/>
  <c r="P256" i="1"/>
  <c r="Q256" i="1" s="1"/>
  <c r="P257" i="1"/>
  <c r="R257" i="1" s="1"/>
  <c r="P258" i="1"/>
  <c r="R258" i="1" s="1"/>
  <c r="P259" i="1"/>
  <c r="Q259" i="1" s="1"/>
  <c r="P260" i="1"/>
  <c r="R260" i="1" s="1"/>
  <c r="P261" i="1"/>
  <c r="R261" i="1" s="1"/>
  <c r="P262" i="1"/>
  <c r="R262" i="1" s="1"/>
  <c r="P263" i="1"/>
  <c r="R263" i="1" s="1"/>
  <c r="P264" i="1"/>
  <c r="R264" i="1" s="1"/>
  <c r="P265" i="1"/>
  <c r="R265" i="1" s="1"/>
  <c r="P266" i="1"/>
  <c r="Q266" i="1" s="1"/>
  <c r="P267" i="1"/>
  <c r="R267" i="1" s="1"/>
  <c r="P268" i="1"/>
  <c r="Q268" i="1" s="1"/>
  <c r="P269" i="1"/>
  <c r="R269" i="1" s="1"/>
  <c r="P270" i="1"/>
  <c r="R270" i="1" s="1"/>
  <c r="P271" i="1"/>
  <c r="Q271" i="1" s="1"/>
  <c r="P272" i="1"/>
  <c r="Q272" i="1" s="1"/>
  <c r="P273" i="1"/>
  <c r="R273" i="1" s="1"/>
  <c r="P274" i="1"/>
  <c r="Q274" i="1" s="1"/>
  <c r="P275" i="1"/>
  <c r="R275" i="1" s="1"/>
  <c r="P276" i="1"/>
  <c r="R276" i="1" s="1"/>
  <c r="P277" i="1"/>
  <c r="R277" i="1" s="1"/>
  <c r="P278" i="1"/>
  <c r="R278" i="1" s="1"/>
  <c r="P279" i="1"/>
  <c r="R279" i="1" s="1"/>
  <c r="P280" i="1"/>
  <c r="Q280" i="1" s="1"/>
  <c r="P281" i="1"/>
  <c r="Q281" i="1" s="1"/>
  <c r="P282" i="1"/>
  <c r="R282" i="1" s="1"/>
  <c r="P283" i="1"/>
  <c r="Q283" i="1" s="1"/>
  <c r="P284" i="1"/>
  <c r="R284" i="1" s="1"/>
  <c r="P285" i="1"/>
  <c r="R285" i="1" s="1"/>
  <c r="P286" i="1"/>
  <c r="R286" i="1" s="1"/>
  <c r="P287" i="1"/>
  <c r="R287" i="1" s="1"/>
  <c r="P288" i="1"/>
  <c r="R288" i="1" s="1"/>
  <c r="P289" i="1"/>
  <c r="R289" i="1" s="1"/>
  <c r="P290" i="1"/>
  <c r="R290" i="1" s="1"/>
  <c r="P291" i="1"/>
  <c r="R291" i="1" s="1"/>
  <c r="P292" i="1"/>
  <c r="P293" i="1"/>
  <c r="R293" i="1" s="1"/>
  <c r="P294" i="1"/>
  <c r="R294" i="1" s="1"/>
  <c r="P295" i="1"/>
  <c r="Q295" i="1" s="1"/>
  <c r="P296" i="1"/>
  <c r="Q296" i="1" s="1"/>
  <c r="P297" i="1"/>
  <c r="R297" i="1" s="1"/>
  <c r="P298" i="1"/>
  <c r="R298" i="1" s="1"/>
  <c r="P299" i="1"/>
  <c r="R299" i="1" s="1"/>
  <c r="P300" i="1"/>
  <c r="R300" i="1" s="1"/>
  <c r="P301" i="1"/>
  <c r="Q301" i="1" s="1"/>
  <c r="P302" i="1"/>
  <c r="Q302" i="1" s="1"/>
  <c r="P303" i="1"/>
  <c r="Q303" i="1" s="1"/>
  <c r="P304" i="1"/>
  <c r="P305" i="1"/>
  <c r="R305" i="1" s="1"/>
  <c r="P306" i="1"/>
  <c r="R306" i="1" s="1"/>
  <c r="P307" i="1"/>
  <c r="P308" i="1"/>
  <c r="Q308" i="1" s="1"/>
  <c r="P309" i="1"/>
  <c r="R309" i="1" s="1"/>
  <c r="P310" i="1"/>
  <c r="Q310" i="1" s="1"/>
  <c r="P311" i="1"/>
  <c r="R311" i="1" s="1"/>
  <c r="P312" i="1"/>
  <c r="R312" i="1" s="1"/>
  <c r="P313" i="1"/>
  <c r="R313" i="1" s="1"/>
  <c r="P314" i="1"/>
  <c r="R314" i="1" s="1"/>
  <c r="P315" i="1"/>
  <c r="R315" i="1" s="1"/>
  <c r="P316" i="1"/>
  <c r="Q316" i="1" s="1"/>
  <c r="P317" i="1"/>
  <c r="Q317" i="1" s="1"/>
  <c r="P318" i="1"/>
  <c r="R318" i="1" s="1"/>
  <c r="P319" i="1"/>
  <c r="P320" i="1"/>
  <c r="R320" i="1" s="1"/>
  <c r="P321" i="1"/>
  <c r="R321" i="1" s="1"/>
  <c r="P322" i="1"/>
  <c r="R322" i="1" s="1"/>
  <c r="P323" i="1"/>
  <c r="Q323" i="1" s="1"/>
  <c r="P324" i="1"/>
  <c r="R324" i="1" s="1"/>
  <c r="P325" i="1"/>
  <c r="R325" i="1" s="1"/>
  <c r="P326" i="1"/>
  <c r="R326" i="1" s="1"/>
  <c r="P327" i="1"/>
  <c r="R327" i="1" s="1"/>
  <c r="P328" i="1"/>
  <c r="Q328" i="1" s="1"/>
  <c r="P329" i="1"/>
  <c r="R329" i="1" s="1"/>
  <c r="P330" i="1"/>
  <c r="R330" i="1" s="1"/>
  <c r="P331" i="1"/>
  <c r="Q331" i="1" s="1"/>
  <c r="P332" i="1"/>
  <c r="R332" i="1" s="1"/>
  <c r="P333" i="1"/>
  <c r="R333" i="1" s="1"/>
  <c r="P334" i="1"/>
  <c r="R334" i="1" s="1"/>
  <c r="P335" i="1"/>
  <c r="P336" i="1"/>
  <c r="R336" i="1" s="1"/>
  <c r="P337" i="1"/>
  <c r="R337" i="1" s="1"/>
  <c r="P338" i="1"/>
  <c r="R338" i="1" s="1"/>
  <c r="P339" i="1"/>
  <c r="R339" i="1" s="1"/>
  <c r="P340" i="1"/>
  <c r="R340" i="1" s="1"/>
  <c r="P341" i="1"/>
  <c r="Q341" i="1" s="1"/>
  <c r="P342" i="1"/>
  <c r="R342" i="1" s="1"/>
  <c r="P343" i="1"/>
  <c r="R343" i="1" s="1"/>
  <c r="P344" i="1"/>
  <c r="Q344" i="1" s="1"/>
  <c r="P345" i="1"/>
  <c r="R345" i="1" s="1"/>
  <c r="P346" i="1"/>
  <c r="R346" i="1" s="1"/>
  <c r="P347" i="1"/>
  <c r="P348" i="1"/>
  <c r="R348" i="1" s="1"/>
  <c r="P349" i="1"/>
  <c r="R349" i="1" s="1"/>
  <c r="P350" i="1"/>
  <c r="R350" i="1" s="1"/>
  <c r="P351" i="1"/>
  <c r="R351" i="1" s="1"/>
  <c r="P352" i="1"/>
  <c r="Q352" i="1" s="1"/>
  <c r="P353" i="1"/>
  <c r="Q353" i="1" s="1"/>
  <c r="P354" i="1"/>
  <c r="Q354" i="1" s="1"/>
  <c r="P355" i="1"/>
  <c r="Q355" i="1" s="1"/>
  <c r="P356" i="1"/>
  <c r="R356" i="1" s="1"/>
  <c r="P357" i="1"/>
  <c r="P358" i="1"/>
  <c r="R358" i="1" s="1"/>
  <c r="P359" i="1"/>
  <c r="Q359" i="1" s="1"/>
  <c r="P360" i="1"/>
  <c r="R360" i="1" s="1"/>
  <c r="P361" i="1"/>
  <c r="Q361" i="1" s="1"/>
  <c r="P362" i="1"/>
  <c r="R362" i="1" s="1"/>
  <c r="P363" i="1"/>
  <c r="R363" i="1" s="1"/>
  <c r="P364" i="1"/>
  <c r="R364" i="1" s="1"/>
  <c r="P365" i="1"/>
  <c r="R365" i="1" s="1"/>
  <c r="P366" i="1"/>
  <c r="Q366" i="1" s="1"/>
  <c r="P367" i="1"/>
  <c r="Q367" i="1" s="1"/>
  <c r="P368" i="1"/>
  <c r="Q368" i="1" s="1"/>
  <c r="P369" i="1"/>
  <c r="R369" i="1" s="1"/>
  <c r="P370" i="1"/>
  <c r="Q370" i="1" s="1"/>
  <c r="P371" i="1"/>
  <c r="Q371" i="1" s="1"/>
  <c r="P372" i="1"/>
  <c r="R372" i="1" s="1"/>
  <c r="P373" i="1"/>
  <c r="R373" i="1" s="1"/>
  <c r="P374" i="1"/>
  <c r="R374" i="1" s="1"/>
  <c r="P375" i="1"/>
  <c r="R375" i="1" s="1"/>
  <c r="P376" i="1"/>
  <c r="R376" i="1" s="1"/>
  <c r="P377" i="1"/>
  <c r="R377" i="1" s="1"/>
  <c r="P378" i="1"/>
  <c r="R378" i="1" s="1"/>
  <c r="P379" i="1"/>
  <c r="R379" i="1" s="1"/>
  <c r="P380" i="1"/>
  <c r="Q380" i="1" s="1"/>
  <c r="P381" i="1"/>
  <c r="R381" i="1" s="1"/>
  <c r="P382" i="1"/>
  <c r="R382" i="1" s="1"/>
  <c r="P383" i="1"/>
  <c r="Q383" i="1" s="1"/>
  <c r="P384" i="1"/>
  <c r="P385" i="1"/>
  <c r="Q385" i="1" s="1"/>
  <c r="P386" i="1"/>
  <c r="Q386" i="1" s="1"/>
  <c r="P387" i="1"/>
  <c r="Q387" i="1" s="1"/>
  <c r="P388" i="1"/>
  <c r="R388" i="1" s="1"/>
  <c r="P389" i="1"/>
  <c r="R389" i="1" s="1"/>
  <c r="P390" i="1"/>
  <c r="R390" i="1" s="1"/>
  <c r="P391" i="1"/>
  <c r="R391" i="1" s="1"/>
  <c r="P392" i="1"/>
  <c r="R392" i="1" s="1"/>
  <c r="P393" i="1"/>
  <c r="P394" i="1"/>
  <c r="R394" i="1" s="1"/>
  <c r="P395" i="1"/>
  <c r="Q395" i="1" s="1"/>
  <c r="P396" i="1"/>
  <c r="R396" i="1" s="1"/>
  <c r="P397" i="1"/>
  <c r="Q397" i="1" s="1"/>
  <c r="P398" i="1"/>
  <c r="R398" i="1" s="1"/>
  <c r="P399" i="1"/>
  <c r="R399" i="1" s="1"/>
  <c r="P400" i="1"/>
  <c r="R400" i="1" s="1"/>
  <c r="P401" i="1"/>
  <c r="R401" i="1" s="1"/>
  <c r="P402" i="1"/>
  <c r="Q402" i="1" s="1"/>
  <c r="P403" i="1"/>
  <c r="R403" i="1" s="1"/>
  <c r="P404" i="1"/>
  <c r="R404" i="1" s="1"/>
  <c r="P405" i="1"/>
  <c r="R405" i="1" s="1"/>
  <c r="P406" i="1"/>
  <c r="P407" i="1"/>
  <c r="P408" i="1"/>
  <c r="R408" i="1" s="1"/>
  <c r="P409" i="1"/>
  <c r="R409" i="1" s="1"/>
  <c r="P410" i="1"/>
  <c r="Q410" i="1" s="1"/>
  <c r="P411" i="1"/>
  <c r="Q411" i="1" s="1"/>
  <c r="P412" i="1"/>
  <c r="Q412" i="1" s="1"/>
  <c r="P413" i="1"/>
  <c r="Q413" i="1" s="1"/>
  <c r="P414" i="1"/>
  <c r="Q414" i="1" s="1"/>
  <c r="P415" i="1"/>
  <c r="Q415" i="1" s="1"/>
  <c r="P416" i="1"/>
  <c r="Q416" i="1" s="1"/>
  <c r="P417" i="1"/>
  <c r="R417" i="1" s="1"/>
  <c r="P418" i="1"/>
  <c r="R418" i="1" s="1"/>
  <c r="P419" i="1"/>
  <c r="P420" i="1"/>
  <c r="P421" i="1"/>
  <c r="R421" i="1" s="1"/>
  <c r="P422" i="1"/>
  <c r="R422" i="1" s="1"/>
  <c r="P423" i="1"/>
  <c r="P424" i="1"/>
  <c r="R424" i="1" s="1"/>
  <c r="P425" i="1"/>
  <c r="R425" i="1" s="1"/>
  <c r="P426" i="1"/>
  <c r="Q426" i="1" s="1"/>
  <c r="P427" i="1"/>
  <c r="Q427" i="1" s="1"/>
  <c r="P428" i="1"/>
  <c r="Q428" i="1" s="1"/>
  <c r="P429" i="1"/>
  <c r="R429" i="1" s="1"/>
  <c r="P430" i="1"/>
  <c r="Q430" i="1" s="1"/>
  <c r="P431" i="1"/>
  <c r="Q431" i="1" s="1"/>
  <c r="P432" i="1"/>
  <c r="R432" i="1" s="1"/>
  <c r="P433" i="1"/>
  <c r="Q433" i="1" s="1"/>
  <c r="P434" i="1"/>
  <c r="R434" i="1" s="1"/>
  <c r="P435" i="1"/>
  <c r="R435" i="1" s="1"/>
  <c r="P436" i="1"/>
  <c r="P437" i="1"/>
  <c r="R437" i="1" s="1"/>
  <c r="P438" i="1"/>
  <c r="R438" i="1" s="1"/>
  <c r="P439" i="1"/>
  <c r="R439" i="1" s="1"/>
  <c r="P440" i="1"/>
  <c r="R440" i="1" s="1"/>
  <c r="P441" i="1"/>
  <c r="R441" i="1" s="1"/>
  <c r="P442" i="1"/>
  <c r="R442" i="1" s="1"/>
  <c r="P443" i="1"/>
  <c r="Q443" i="1" s="1"/>
  <c r="P444" i="1"/>
  <c r="R444" i="1" s="1"/>
  <c r="P445" i="1"/>
  <c r="R445" i="1" s="1"/>
  <c r="P446" i="1"/>
  <c r="Q446" i="1" s="1"/>
  <c r="P447" i="1"/>
  <c r="Q447" i="1" s="1"/>
  <c r="P448" i="1"/>
  <c r="R448" i="1" s="1"/>
  <c r="P449" i="1"/>
  <c r="P450" i="1"/>
  <c r="R450" i="1" s="1"/>
  <c r="P451" i="1"/>
  <c r="R451" i="1" s="1"/>
  <c r="P452" i="1"/>
  <c r="R452" i="1" s="1"/>
  <c r="P453" i="1"/>
  <c r="R453" i="1" s="1"/>
  <c r="P454" i="1"/>
  <c r="R454" i="1" s="1"/>
  <c r="P455" i="1"/>
  <c r="Q455" i="1" s="1"/>
  <c r="P456" i="1"/>
  <c r="R456" i="1" s="1"/>
  <c r="P457" i="1"/>
  <c r="R457" i="1" s="1"/>
  <c r="P458" i="1"/>
  <c r="R458" i="1" s="1"/>
  <c r="P459" i="1"/>
  <c r="Q459" i="1" s="1"/>
  <c r="P460" i="1"/>
  <c r="R460" i="1" s="1"/>
  <c r="P461" i="1"/>
  <c r="R461" i="1" s="1"/>
  <c r="P462" i="1"/>
  <c r="P463" i="1"/>
  <c r="R463" i="1" s="1"/>
  <c r="P464" i="1"/>
  <c r="R464" i="1" s="1"/>
  <c r="P465" i="1"/>
  <c r="R465" i="1" s="1"/>
  <c r="P466" i="1"/>
  <c r="R466" i="1" s="1"/>
  <c r="P467" i="1"/>
  <c r="Q467" i="1" s="1"/>
  <c r="P468" i="1"/>
  <c r="R468" i="1" s="1"/>
  <c r="P469" i="1"/>
  <c r="R469" i="1" s="1"/>
  <c r="P470" i="1"/>
  <c r="Q470" i="1" s="1"/>
  <c r="P471" i="1"/>
  <c r="Q471" i="1" s="1"/>
  <c r="P472" i="1"/>
  <c r="Q472" i="1" s="1"/>
  <c r="P473" i="1"/>
  <c r="Q473" i="1" s="1"/>
  <c r="P474" i="1"/>
  <c r="Q474" i="1" s="1"/>
  <c r="P475" i="1"/>
  <c r="Q475" i="1" s="1"/>
  <c r="P476" i="1"/>
  <c r="R476" i="1" s="1"/>
  <c r="P477" i="1"/>
  <c r="R477" i="1" s="1"/>
  <c r="P478" i="1"/>
  <c r="R478" i="1" s="1"/>
  <c r="P479" i="1"/>
  <c r="P480" i="1"/>
  <c r="R480" i="1" s="1"/>
  <c r="P481" i="1"/>
  <c r="R481" i="1" s="1"/>
  <c r="P482" i="1"/>
  <c r="R482" i="1" s="1"/>
  <c r="P483" i="1"/>
  <c r="R483" i="1" s="1"/>
  <c r="P484" i="1"/>
  <c r="R484" i="1" s="1"/>
  <c r="P485" i="1"/>
  <c r="Q485" i="1" s="1"/>
  <c r="P486" i="1"/>
  <c r="R486" i="1" s="1"/>
  <c r="P487" i="1"/>
  <c r="R487" i="1" s="1"/>
  <c r="P488" i="1"/>
  <c r="Q488" i="1" s="1"/>
  <c r="P489" i="1"/>
  <c r="R489" i="1" s="1"/>
  <c r="P490" i="1"/>
  <c r="Q490" i="1" s="1"/>
  <c r="P491" i="1"/>
  <c r="P492" i="1"/>
  <c r="R492" i="1" s="1"/>
  <c r="P493" i="1"/>
  <c r="R493" i="1" s="1"/>
  <c r="P494" i="1"/>
  <c r="R494" i="1" s="1"/>
  <c r="P495" i="1"/>
  <c r="R495" i="1" s="1"/>
  <c r="P496" i="1"/>
  <c r="Q496" i="1" s="1"/>
  <c r="P497" i="1"/>
  <c r="R497" i="1" s="1"/>
  <c r="P498" i="1"/>
  <c r="Q498" i="1" s="1"/>
  <c r="P499" i="1"/>
  <c r="R499" i="1" s="1"/>
  <c r="P500" i="1"/>
  <c r="R500" i="1" s="1"/>
  <c r="P501" i="1"/>
  <c r="P502" i="1"/>
  <c r="R502" i="1" s="1"/>
  <c r="P503" i="1"/>
  <c r="Q503" i="1" s="1"/>
  <c r="P504" i="1"/>
  <c r="R504" i="1" s="1"/>
  <c r="P505" i="1"/>
  <c r="R505" i="1" s="1"/>
  <c r="P506" i="1"/>
  <c r="R506" i="1" s="1"/>
  <c r="P507" i="1"/>
  <c r="R507" i="1" s="1"/>
  <c r="P508" i="1"/>
  <c r="R508" i="1" s="1"/>
  <c r="P509" i="1"/>
  <c r="R509" i="1" s="1"/>
  <c r="P510" i="1"/>
  <c r="R510" i="1" s="1"/>
  <c r="P511" i="1"/>
  <c r="Q511" i="1" s="1"/>
  <c r="P512" i="1"/>
  <c r="Q512" i="1" s="1"/>
  <c r="P513" i="1"/>
  <c r="R513" i="1" s="1"/>
  <c r="P514" i="1"/>
  <c r="Q514" i="1" s="1"/>
  <c r="P515" i="1"/>
  <c r="Q515" i="1" s="1"/>
  <c r="P516" i="1"/>
  <c r="R516" i="1" s="1"/>
  <c r="P517" i="1"/>
  <c r="R517" i="1" s="1"/>
  <c r="P518" i="1"/>
  <c r="R518" i="1" s="1"/>
  <c r="P519" i="1"/>
  <c r="R519" i="1" s="1"/>
  <c r="P520" i="1"/>
  <c r="R520" i="1" s="1"/>
  <c r="P521" i="1"/>
  <c r="R521" i="1" s="1"/>
  <c r="P522" i="1"/>
  <c r="R522" i="1" s="1"/>
  <c r="P523" i="1"/>
  <c r="R523" i="1" s="1"/>
  <c r="P524" i="1"/>
  <c r="Q524" i="1" s="1"/>
  <c r="P525" i="1"/>
  <c r="P526" i="1"/>
  <c r="Q526" i="1" s="1"/>
  <c r="P527" i="1"/>
  <c r="Q527" i="1" s="1"/>
  <c r="P528" i="1"/>
  <c r="P529" i="1"/>
  <c r="Q529" i="1" s="1"/>
  <c r="P530" i="1"/>
  <c r="Q530" i="1" s="1"/>
  <c r="P531" i="1"/>
  <c r="P532" i="1"/>
  <c r="P533" i="1"/>
  <c r="R533" i="1" s="1"/>
  <c r="P534" i="1"/>
  <c r="P535" i="1"/>
  <c r="Q535" i="1" s="1"/>
  <c r="P536" i="1"/>
  <c r="Q536" i="1" s="1"/>
  <c r="P537" i="1"/>
  <c r="P538" i="1"/>
  <c r="P539" i="1"/>
  <c r="P540" i="1"/>
  <c r="P541" i="1"/>
  <c r="P542" i="1"/>
  <c r="P543" i="1"/>
  <c r="P544" i="1"/>
  <c r="P545" i="1"/>
  <c r="P546" i="1"/>
  <c r="R546" i="1" s="1"/>
  <c r="P547" i="1"/>
  <c r="R547" i="1" s="1"/>
  <c r="P548" i="1"/>
  <c r="R548" i="1" s="1"/>
  <c r="P549" i="1"/>
  <c r="P550" i="1"/>
  <c r="P551" i="1"/>
  <c r="P552" i="1"/>
  <c r="P553" i="1"/>
  <c r="Q553" i="1" s="1"/>
  <c r="P554" i="1"/>
  <c r="R554" i="1" s="1"/>
  <c r="P555" i="1"/>
  <c r="P556" i="1"/>
  <c r="P557" i="1"/>
  <c r="P558" i="1"/>
  <c r="P559" i="1"/>
  <c r="P560" i="1"/>
  <c r="Q560" i="1" s="1"/>
  <c r="P561" i="1"/>
  <c r="P562" i="1"/>
  <c r="P563" i="1"/>
  <c r="P564" i="1"/>
  <c r="P565" i="1"/>
  <c r="Q565" i="1" s="1"/>
  <c r="P566" i="1"/>
  <c r="Q566" i="1" s="1"/>
  <c r="P567" i="1"/>
  <c r="P568" i="1"/>
  <c r="Q568" i="1" s="1"/>
  <c r="P569" i="1"/>
  <c r="P570" i="1"/>
  <c r="P571" i="1"/>
  <c r="P572" i="1"/>
  <c r="P573" i="1"/>
  <c r="P574" i="1"/>
  <c r="P575" i="1"/>
  <c r="P576" i="1"/>
  <c r="Q576" i="1" s="1"/>
  <c r="P577" i="1"/>
  <c r="P578" i="1"/>
  <c r="P579" i="1"/>
  <c r="P580" i="1"/>
  <c r="P581" i="1"/>
  <c r="P582" i="1"/>
  <c r="P583" i="1"/>
  <c r="P584" i="1"/>
  <c r="Q584" i="1" s="1"/>
  <c r="P585" i="1"/>
  <c r="P586" i="1"/>
  <c r="P587" i="1"/>
  <c r="R587" i="1" s="1"/>
  <c r="P588" i="1"/>
  <c r="R588" i="1" s="1"/>
  <c r="P589" i="1"/>
  <c r="P590" i="1"/>
  <c r="P591" i="1"/>
  <c r="P592" i="1"/>
  <c r="R592" i="1" s="1"/>
  <c r="P593" i="1"/>
  <c r="P594" i="1"/>
  <c r="P595" i="1"/>
  <c r="P596" i="1"/>
  <c r="P597" i="1"/>
  <c r="P598" i="1"/>
  <c r="P599" i="1"/>
  <c r="P600" i="1"/>
  <c r="P601" i="1"/>
  <c r="P602" i="1"/>
  <c r="P603" i="1"/>
  <c r="R603" i="1" s="1"/>
  <c r="P604" i="1"/>
  <c r="P605" i="1"/>
  <c r="P606" i="1"/>
  <c r="P607" i="1"/>
  <c r="P608" i="1"/>
  <c r="Q608" i="1" s="1"/>
  <c r="P609" i="1"/>
  <c r="R609" i="1" s="1"/>
  <c r="P610" i="1"/>
  <c r="Q610" i="1" s="1"/>
  <c r="P611" i="1"/>
  <c r="Q611" i="1" s="1"/>
  <c r="P612" i="1"/>
  <c r="P613" i="1"/>
  <c r="P614" i="1"/>
  <c r="P615" i="1"/>
  <c r="P616" i="1"/>
  <c r="P617" i="1"/>
  <c r="P618" i="1"/>
  <c r="P619" i="1"/>
  <c r="P620" i="1"/>
  <c r="P621" i="1"/>
  <c r="Q621" i="1" s="1"/>
  <c r="P622" i="1"/>
  <c r="Q622" i="1" s="1"/>
  <c r="P623" i="1"/>
  <c r="P624" i="1"/>
  <c r="P625" i="1"/>
  <c r="Q625" i="1" s="1"/>
  <c r="P626" i="1"/>
  <c r="P627" i="1"/>
  <c r="P628" i="1"/>
  <c r="P629" i="1"/>
  <c r="R629" i="1" s="1"/>
  <c r="P630" i="1"/>
  <c r="P631" i="1"/>
  <c r="P632" i="1"/>
  <c r="Q632" i="1" s="1"/>
  <c r="P633" i="1"/>
  <c r="P634" i="1"/>
  <c r="P635" i="1"/>
  <c r="P636" i="1"/>
  <c r="P637" i="1"/>
  <c r="P638" i="1"/>
  <c r="P639" i="1"/>
  <c r="P640" i="1"/>
  <c r="P641" i="1"/>
  <c r="P642" i="1"/>
  <c r="P643" i="1"/>
  <c r="P644" i="1"/>
  <c r="R644" i="1" s="1"/>
  <c r="P645" i="1"/>
  <c r="P646" i="1"/>
  <c r="P647" i="1"/>
  <c r="P648" i="1"/>
  <c r="P649" i="1"/>
  <c r="P650" i="1"/>
  <c r="R650" i="1" s="1"/>
  <c r="P651" i="1"/>
  <c r="P652" i="1"/>
  <c r="P653" i="1"/>
  <c r="P654" i="1"/>
  <c r="P655" i="1"/>
  <c r="R655" i="1" s="1"/>
  <c r="P656" i="1"/>
  <c r="P657" i="1"/>
  <c r="P658" i="1"/>
  <c r="P659" i="1"/>
  <c r="R659" i="1" s="1"/>
  <c r="P660" i="1"/>
  <c r="P661" i="1"/>
  <c r="P662" i="1"/>
  <c r="P663" i="1"/>
  <c r="R663" i="1" s="1"/>
  <c r="P664" i="1"/>
  <c r="P665" i="1"/>
  <c r="P666" i="1"/>
  <c r="P667" i="1"/>
  <c r="R667" i="1" s="1"/>
  <c r="P668" i="1"/>
  <c r="P669" i="1"/>
  <c r="P670" i="1"/>
  <c r="P671" i="1"/>
  <c r="R671" i="1" s="1"/>
  <c r="P672" i="1"/>
  <c r="P673" i="1"/>
  <c r="R673" i="1" s="1"/>
  <c r="P674" i="1"/>
  <c r="P675" i="1"/>
  <c r="P676" i="1"/>
  <c r="P677" i="1"/>
  <c r="P678" i="1"/>
  <c r="P679" i="1"/>
  <c r="P680" i="1"/>
  <c r="Q680" i="1" s="1"/>
  <c r="P681" i="1"/>
  <c r="R681" i="1" s="1"/>
  <c r="P682" i="1"/>
  <c r="P683" i="1"/>
  <c r="Q683" i="1" s="1"/>
  <c r="P684" i="1"/>
  <c r="P685" i="1"/>
  <c r="P686" i="1"/>
  <c r="P687" i="1"/>
  <c r="P688" i="1"/>
  <c r="P689" i="1"/>
  <c r="P690" i="1"/>
  <c r="P691" i="1"/>
  <c r="P692" i="1"/>
  <c r="P693" i="1"/>
  <c r="R693" i="1" s="1"/>
  <c r="P694" i="1"/>
  <c r="P695" i="1"/>
  <c r="P696" i="1"/>
  <c r="P697" i="1"/>
  <c r="P698" i="1"/>
  <c r="P699" i="1"/>
  <c r="P700" i="1"/>
  <c r="P701" i="1"/>
  <c r="P702" i="1"/>
  <c r="P703" i="1"/>
  <c r="P704" i="1"/>
  <c r="Q704" i="1" s="1"/>
  <c r="P705" i="1"/>
  <c r="P706" i="1"/>
  <c r="P707" i="1"/>
  <c r="P708" i="1"/>
  <c r="P709" i="1"/>
  <c r="P710" i="1"/>
  <c r="P711" i="1"/>
  <c r="P712" i="1"/>
  <c r="Q712" i="1" s="1"/>
  <c r="P713" i="1"/>
  <c r="P714" i="1"/>
  <c r="P715" i="1"/>
  <c r="P716" i="1"/>
  <c r="P717" i="1"/>
  <c r="P718" i="1"/>
  <c r="P719" i="1"/>
  <c r="R719" i="1" s="1"/>
  <c r="P720" i="1"/>
  <c r="P721" i="1"/>
  <c r="P722" i="1"/>
  <c r="P723" i="1"/>
  <c r="R723" i="1" s="1"/>
  <c r="P724" i="1"/>
  <c r="R724" i="1" s="1"/>
  <c r="P725" i="1"/>
  <c r="P726" i="1"/>
  <c r="Q726" i="1" s="1"/>
  <c r="P727" i="1"/>
  <c r="P728" i="1"/>
  <c r="P729" i="1"/>
  <c r="R729" i="1" s="1"/>
  <c r="P730" i="1"/>
  <c r="P731" i="1"/>
  <c r="R731" i="1" s="1"/>
  <c r="P732" i="1"/>
  <c r="P733" i="1"/>
  <c r="Q733" i="1" s="1"/>
  <c r="P734" i="1"/>
  <c r="R734" i="1" s="1"/>
  <c r="P735" i="1"/>
  <c r="P736" i="1"/>
  <c r="P737" i="1"/>
  <c r="P738" i="1"/>
  <c r="P739" i="1"/>
  <c r="P740" i="1"/>
  <c r="P741" i="1"/>
  <c r="P742" i="1"/>
  <c r="P743" i="1"/>
  <c r="P744" i="1"/>
  <c r="P745" i="1"/>
  <c r="P746" i="1"/>
  <c r="P747" i="1"/>
  <c r="P748" i="1"/>
  <c r="P749" i="1"/>
  <c r="P750" i="1"/>
  <c r="R750" i="1" s="1"/>
  <c r="P751" i="1"/>
  <c r="P752" i="1"/>
  <c r="P753" i="1"/>
  <c r="P754" i="1"/>
  <c r="R754" i="1" s="1"/>
  <c r="P755" i="1"/>
  <c r="P756" i="1"/>
  <c r="R756" i="1" s="1"/>
  <c r="P757" i="1"/>
  <c r="P758" i="1"/>
  <c r="R758" i="1" s="1"/>
  <c r="P759" i="1"/>
  <c r="P760" i="1"/>
  <c r="Q760" i="1" s="1"/>
  <c r="P761" i="1"/>
  <c r="P762" i="1"/>
  <c r="P763" i="1"/>
  <c r="P764" i="1"/>
  <c r="P765" i="1"/>
  <c r="P766" i="1"/>
  <c r="P767" i="1"/>
  <c r="P768" i="1"/>
  <c r="P769" i="1"/>
  <c r="P770" i="1"/>
  <c r="P771" i="1"/>
  <c r="R771" i="1" s="1"/>
  <c r="P772" i="1"/>
  <c r="P773" i="1"/>
  <c r="P774" i="1"/>
  <c r="P775" i="1"/>
  <c r="P776" i="1"/>
  <c r="P777" i="1"/>
  <c r="P778" i="1"/>
  <c r="Q778" i="1" s="1"/>
  <c r="P779" i="1"/>
  <c r="Q779" i="1" s="1"/>
  <c r="P780" i="1"/>
  <c r="P781" i="1"/>
  <c r="P782" i="1"/>
  <c r="P783" i="1"/>
  <c r="P784" i="1"/>
  <c r="P785" i="1"/>
  <c r="P786" i="1"/>
  <c r="P787" i="1"/>
  <c r="P788" i="1"/>
  <c r="P789" i="1"/>
  <c r="R789" i="1" s="1"/>
  <c r="P790" i="1"/>
  <c r="P791" i="1"/>
  <c r="P792" i="1"/>
  <c r="R792" i="1" s="1"/>
  <c r="P793" i="1"/>
  <c r="P794" i="1"/>
  <c r="P795" i="1"/>
  <c r="P796" i="1"/>
  <c r="R796" i="1" s="1"/>
  <c r="P797" i="1"/>
  <c r="P798" i="1"/>
  <c r="P799" i="1"/>
  <c r="P800" i="1"/>
  <c r="P801" i="1"/>
  <c r="P802" i="1"/>
  <c r="P803" i="1"/>
  <c r="R803" i="1" s="1"/>
  <c r="P804" i="1"/>
  <c r="P805" i="1"/>
  <c r="R805" i="1" s="1"/>
  <c r="P806" i="1"/>
  <c r="P807" i="1"/>
  <c r="Q807" i="1" s="1"/>
  <c r="P808" i="1"/>
  <c r="P809" i="1"/>
  <c r="P810" i="1"/>
  <c r="P811" i="1"/>
  <c r="P812" i="1"/>
  <c r="P813" i="1"/>
  <c r="R813" i="1" s="1"/>
  <c r="P814" i="1"/>
  <c r="P815" i="1"/>
  <c r="P816" i="1"/>
  <c r="R816" i="1" s="1"/>
  <c r="P817" i="1"/>
  <c r="Q817" i="1" s="1"/>
  <c r="P818" i="1"/>
  <c r="P819" i="1"/>
  <c r="R819" i="1" s="1"/>
  <c r="P820" i="1"/>
  <c r="R820" i="1" s="1"/>
  <c r="P821" i="1"/>
  <c r="P822" i="1"/>
  <c r="R822" i="1" s="1"/>
  <c r="P823" i="1"/>
  <c r="P824" i="1"/>
  <c r="P825" i="1"/>
  <c r="P826" i="1"/>
  <c r="P827" i="1"/>
  <c r="Q827" i="1" s="1"/>
  <c r="P828" i="1"/>
  <c r="Q828" i="1" s="1"/>
  <c r="P829" i="1"/>
  <c r="P830" i="1"/>
  <c r="P831" i="1"/>
  <c r="P832" i="1"/>
  <c r="P833" i="1"/>
  <c r="P834" i="1"/>
  <c r="P835" i="1"/>
  <c r="P836" i="1"/>
  <c r="R836" i="1" s="1"/>
  <c r="P837" i="1"/>
  <c r="P838" i="1"/>
  <c r="P839" i="1"/>
  <c r="P840" i="1"/>
  <c r="P841" i="1"/>
  <c r="P842" i="1"/>
  <c r="P843" i="1"/>
  <c r="R843" i="1" s="1"/>
  <c r="P844" i="1"/>
  <c r="Q844" i="1" s="1"/>
  <c r="P845" i="1"/>
  <c r="R845" i="1" s="1"/>
  <c r="P846" i="1"/>
  <c r="P847" i="1"/>
  <c r="P848" i="1"/>
  <c r="R848" i="1" s="1"/>
  <c r="P849" i="1"/>
  <c r="P850" i="1"/>
  <c r="P851" i="1"/>
  <c r="P852" i="1"/>
  <c r="P853" i="1"/>
  <c r="P854" i="1"/>
  <c r="R854" i="1" s="1"/>
  <c r="P855" i="1"/>
  <c r="P856" i="1"/>
  <c r="P857" i="1"/>
  <c r="R857" i="1" s="1"/>
  <c r="P858" i="1"/>
  <c r="P859" i="1"/>
  <c r="P860" i="1"/>
  <c r="P861" i="1"/>
  <c r="R861" i="1" s="1"/>
  <c r="P862" i="1"/>
  <c r="P863" i="1"/>
  <c r="P864" i="1"/>
  <c r="R864" i="1" s="1"/>
  <c r="P865" i="1"/>
  <c r="P866" i="1"/>
  <c r="R866" i="1" s="1"/>
  <c r="P867" i="1"/>
  <c r="P868" i="1"/>
  <c r="P869" i="1"/>
  <c r="P870" i="1"/>
  <c r="P871" i="1"/>
  <c r="P872" i="1"/>
  <c r="P873" i="1"/>
  <c r="P874" i="1"/>
  <c r="P875" i="1"/>
  <c r="P876" i="1"/>
  <c r="P877" i="1"/>
  <c r="P878" i="1"/>
  <c r="P879" i="1"/>
  <c r="P880" i="1"/>
  <c r="Q880" i="1" s="1"/>
  <c r="P881" i="1"/>
  <c r="P882" i="1"/>
  <c r="P883" i="1"/>
  <c r="P884" i="1"/>
  <c r="P885" i="1"/>
  <c r="R885" i="1" s="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R914" i="1" s="1"/>
  <c r="P915" i="1"/>
  <c r="P916" i="1"/>
  <c r="R916" i="1" s="1"/>
  <c r="P917" i="1"/>
  <c r="P918" i="1"/>
  <c r="P919" i="1"/>
  <c r="R919" i="1" s="1"/>
  <c r="P920" i="1"/>
  <c r="P921" i="1"/>
  <c r="R921" i="1" s="1"/>
  <c r="P922" i="1"/>
  <c r="P923" i="1"/>
  <c r="R923" i="1" s="1"/>
  <c r="P924" i="1"/>
  <c r="P925" i="1"/>
  <c r="P926" i="1"/>
  <c r="R926" i="1" s="1"/>
  <c r="P927" i="1"/>
  <c r="P928" i="1"/>
  <c r="P929" i="1"/>
  <c r="P930" i="1"/>
  <c r="Q930" i="1" s="1"/>
  <c r="P931" i="1"/>
  <c r="Q931" i="1" s="1"/>
  <c r="P932" i="1"/>
  <c r="P933" i="1"/>
  <c r="P934" i="1"/>
  <c r="R934" i="1" s="1"/>
  <c r="P935" i="1"/>
  <c r="Q935" i="1" s="1"/>
  <c r="P936" i="1"/>
  <c r="P937" i="1"/>
  <c r="P938" i="1"/>
  <c r="P939" i="1"/>
  <c r="P940" i="1"/>
  <c r="P941" i="1"/>
  <c r="P942" i="1"/>
  <c r="P943" i="1"/>
  <c r="R943" i="1" s="1"/>
  <c r="P944" i="1"/>
  <c r="P945" i="1"/>
  <c r="Q945" i="1" s="1"/>
  <c r="P946" i="1"/>
  <c r="Q946" i="1" s="1"/>
  <c r="P947" i="1"/>
  <c r="Q947" i="1" s="1"/>
  <c r="P948" i="1"/>
  <c r="R948" i="1" s="1"/>
  <c r="P949" i="1"/>
  <c r="P950" i="1"/>
  <c r="P951" i="1"/>
  <c r="P952" i="1"/>
  <c r="P953" i="1"/>
  <c r="P954" i="1"/>
  <c r="P955" i="1"/>
  <c r="P956" i="1"/>
  <c r="Q956" i="1" s="1"/>
  <c r="P957" i="1"/>
  <c r="P958" i="1"/>
  <c r="Q958" i="1" s="1"/>
  <c r="P959" i="1"/>
  <c r="P960" i="1"/>
  <c r="P961" i="1"/>
  <c r="P962" i="1"/>
  <c r="R962" i="1" s="1"/>
  <c r="P963" i="1"/>
  <c r="P964" i="1"/>
  <c r="R964" i="1" s="1"/>
  <c r="P965" i="1"/>
  <c r="P966" i="1"/>
  <c r="P967" i="1"/>
  <c r="P968" i="1"/>
  <c r="P969" i="1"/>
  <c r="P970" i="1"/>
  <c r="P971" i="1"/>
  <c r="P972" i="1"/>
  <c r="Q972" i="1" s="1"/>
  <c r="P973" i="1"/>
  <c r="P974" i="1"/>
  <c r="Q974" i="1" s="1"/>
  <c r="P975" i="1"/>
  <c r="P976" i="1"/>
  <c r="P977" i="1"/>
  <c r="P978" i="1"/>
  <c r="P979" i="1"/>
  <c r="P980" i="1"/>
  <c r="P981" i="1"/>
  <c r="P982" i="1"/>
  <c r="P983" i="1"/>
  <c r="P984" i="1"/>
  <c r="P985" i="1"/>
  <c r="R985" i="1" s="1"/>
  <c r="P986" i="1"/>
  <c r="P987" i="1"/>
  <c r="P988" i="1"/>
  <c r="P989" i="1"/>
  <c r="P990" i="1"/>
  <c r="Q990" i="1" s="1"/>
  <c r="P991" i="1"/>
  <c r="P992" i="1"/>
  <c r="P993" i="1"/>
  <c r="R993" i="1" s="1"/>
  <c r="P994" i="1"/>
  <c r="P995" i="1"/>
  <c r="P996" i="1"/>
  <c r="P997" i="1"/>
  <c r="P998" i="1"/>
  <c r="P999" i="1"/>
  <c r="P1000" i="1"/>
  <c r="P1001" i="1"/>
  <c r="Q1001" i="1" s="1"/>
  <c r="P1002" i="1"/>
  <c r="P1003" i="1"/>
  <c r="P1004" i="1"/>
  <c r="P1005" i="1"/>
  <c r="Q1005" i="1" s="1"/>
  <c r="P1006" i="1"/>
  <c r="P1007" i="1"/>
  <c r="P1008" i="1"/>
  <c r="R1008" i="1" s="1"/>
  <c r="P1009" i="1"/>
  <c r="R1009" i="1" s="1"/>
  <c r="P1010" i="1"/>
  <c r="P1011" i="1"/>
  <c r="P12" i="1"/>
  <c r="U25" i="1" l="1"/>
  <c r="L5" i="1" s="1"/>
  <c r="R840" i="1"/>
  <c r="Q840" i="1"/>
  <c r="R804" i="1"/>
  <c r="Q804" i="1"/>
  <c r="R744" i="1"/>
  <c r="Q744" i="1"/>
  <c r="R600" i="1"/>
  <c r="Q600" i="1"/>
  <c r="R552" i="1"/>
  <c r="Q552" i="1"/>
  <c r="R528" i="1"/>
  <c r="Q528" i="1"/>
  <c r="R420" i="1"/>
  <c r="Q420" i="1"/>
  <c r="R647" i="1"/>
  <c r="Q647" i="1"/>
  <c r="R635" i="1"/>
  <c r="Q635" i="1"/>
  <c r="Q491" i="1"/>
  <c r="R491" i="1"/>
  <c r="Q479" i="1"/>
  <c r="R479" i="1"/>
  <c r="Q419" i="1"/>
  <c r="R419" i="1"/>
  <c r="Q407" i="1"/>
  <c r="R407" i="1"/>
  <c r="Q347" i="1"/>
  <c r="R347" i="1"/>
  <c r="Q335" i="1"/>
  <c r="R335" i="1"/>
  <c r="Q23" i="1"/>
  <c r="Q35" i="1"/>
  <c r="Q47" i="1"/>
  <c r="Q59" i="1"/>
  <c r="Q71" i="1"/>
  <c r="Q83" i="1"/>
  <c r="Q95" i="1"/>
  <c r="Q107" i="1"/>
  <c r="Q119" i="1"/>
  <c r="Q131" i="1"/>
  <c r="Q143" i="1"/>
  <c r="Q155" i="1"/>
  <c r="Q167" i="1"/>
  <c r="Q181" i="1"/>
  <c r="Q195" i="1"/>
  <c r="Q210" i="1"/>
  <c r="Q225" i="1"/>
  <c r="Q239" i="1"/>
  <c r="Q253" i="1"/>
  <c r="Q267" i="1"/>
  <c r="Q282" i="1"/>
  <c r="Q297" i="1"/>
  <c r="Q311" i="1"/>
  <c r="Q325" i="1"/>
  <c r="Q340" i="1"/>
  <c r="Q356" i="1"/>
  <c r="Q373" i="1"/>
  <c r="Q388" i="1"/>
  <c r="Q403" i="1"/>
  <c r="Q418" i="1"/>
  <c r="Q435" i="1"/>
  <c r="Q451" i="1"/>
  <c r="Q466" i="1"/>
  <c r="Q482" i="1"/>
  <c r="Q497" i="1"/>
  <c r="Q513" i="1"/>
  <c r="Q533" i="1"/>
  <c r="Q587" i="1"/>
  <c r="Q644" i="1"/>
  <c r="Q719" i="1"/>
  <c r="Q789" i="1"/>
  <c r="Q836" i="1"/>
  <c r="Q919" i="1"/>
  <c r="Q962" i="1"/>
  <c r="R18" i="1"/>
  <c r="R38" i="1"/>
  <c r="R55" i="1"/>
  <c r="R76" i="1"/>
  <c r="R113" i="1"/>
  <c r="R134" i="1"/>
  <c r="R152" i="1"/>
  <c r="R171" i="1"/>
  <c r="R191" i="1"/>
  <c r="R230" i="1"/>
  <c r="R254" i="1"/>
  <c r="R272" i="1"/>
  <c r="R296" i="1"/>
  <c r="R316" i="1"/>
  <c r="R359" i="1"/>
  <c r="R383" i="1"/>
  <c r="R402" i="1"/>
  <c r="R426" i="1"/>
  <c r="R446" i="1"/>
  <c r="R470" i="1"/>
  <c r="R488" i="1"/>
  <c r="R512" i="1"/>
  <c r="R535" i="1"/>
  <c r="R610" i="1"/>
  <c r="R680" i="1"/>
  <c r="R760" i="1"/>
  <c r="R827" i="1"/>
  <c r="R972" i="1"/>
  <c r="R384" i="1"/>
  <c r="Q384" i="1"/>
  <c r="R983" i="1"/>
  <c r="Q983" i="1"/>
  <c r="Q838" i="1"/>
  <c r="R838" i="1"/>
  <c r="R802" i="1"/>
  <c r="Q802" i="1"/>
  <c r="R694" i="1"/>
  <c r="Q694" i="1"/>
  <c r="Q598" i="1"/>
  <c r="R598" i="1"/>
  <c r="R550" i="1"/>
  <c r="Q550" i="1"/>
  <c r="R406" i="1"/>
  <c r="Q406" i="1"/>
  <c r="Q24" i="1"/>
  <c r="Q36" i="1"/>
  <c r="Q48" i="1"/>
  <c r="Q60" i="1"/>
  <c r="Q72" i="1"/>
  <c r="Q84" i="1"/>
  <c r="Q96" i="1"/>
  <c r="Q108" i="1"/>
  <c r="Q120" i="1"/>
  <c r="Q132" i="1"/>
  <c r="Q144" i="1"/>
  <c r="Q156" i="1"/>
  <c r="Q168" i="1"/>
  <c r="Q182" i="1"/>
  <c r="Q197" i="1"/>
  <c r="Q212" i="1"/>
  <c r="Q226" i="1"/>
  <c r="Q240" i="1"/>
  <c r="Q269" i="1"/>
  <c r="Q284" i="1"/>
  <c r="Q298" i="1"/>
  <c r="Q312" i="1"/>
  <c r="Q326" i="1"/>
  <c r="Q342" i="1"/>
  <c r="Q358" i="1"/>
  <c r="Q374" i="1"/>
  <c r="Q389" i="1"/>
  <c r="Q404" i="1"/>
  <c r="Q421" i="1"/>
  <c r="Q437" i="1"/>
  <c r="Q452" i="1"/>
  <c r="Q468" i="1"/>
  <c r="Q483" i="1"/>
  <c r="Q499" i="1"/>
  <c r="Q516" i="1"/>
  <c r="Q588" i="1"/>
  <c r="Q650" i="1"/>
  <c r="Q723" i="1"/>
  <c r="Q792" i="1"/>
  <c r="Q843" i="1"/>
  <c r="Q921" i="1"/>
  <c r="Q964" i="1"/>
  <c r="R20" i="1"/>
  <c r="R39" i="1"/>
  <c r="R56" i="1"/>
  <c r="R78" i="1"/>
  <c r="R97" i="1"/>
  <c r="R114" i="1"/>
  <c r="R136" i="1"/>
  <c r="R154" i="1"/>
  <c r="R172" i="1"/>
  <c r="R194" i="1"/>
  <c r="R211" i="1"/>
  <c r="R231" i="1"/>
  <c r="R255" i="1"/>
  <c r="R274" i="1"/>
  <c r="R317" i="1"/>
  <c r="R341" i="1"/>
  <c r="R361" i="1"/>
  <c r="R385" i="1"/>
  <c r="R427" i="1"/>
  <c r="R447" i="1"/>
  <c r="R471" i="1"/>
  <c r="R490" i="1"/>
  <c r="R514" i="1"/>
  <c r="R536" i="1"/>
  <c r="R611" i="1"/>
  <c r="R683" i="1"/>
  <c r="R778" i="1"/>
  <c r="R828" i="1"/>
  <c r="R974" i="1"/>
  <c r="Q633" i="1"/>
  <c r="R633" i="1"/>
  <c r="R357" i="1"/>
  <c r="Q357" i="1"/>
  <c r="Q25" i="1"/>
  <c r="Q37" i="1"/>
  <c r="Q49" i="1"/>
  <c r="Q61" i="1"/>
  <c r="Q73" i="1"/>
  <c r="Q85" i="1"/>
  <c r="Q109" i="1"/>
  <c r="Q121" i="1"/>
  <c r="Q133" i="1"/>
  <c r="Q145" i="1"/>
  <c r="Q157" i="1"/>
  <c r="Q169" i="1"/>
  <c r="Q183" i="1"/>
  <c r="Q198" i="1"/>
  <c r="Q213" i="1"/>
  <c r="Q227" i="1"/>
  <c r="Q241" i="1"/>
  <c r="Q270" i="1"/>
  <c r="Q285" i="1"/>
  <c r="Q299" i="1"/>
  <c r="Q313" i="1"/>
  <c r="Q327" i="1"/>
  <c r="Q343" i="1"/>
  <c r="Q360" i="1"/>
  <c r="Q375" i="1"/>
  <c r="Q390" i="1"/>
  <c r="Q405" i="1"/>
  <c r="Q422" i="1"/>
  <c r="Q438" i="1"/>
  <c r="Q453" i="1"/>
  <c r="Q469" i="1"/>
  <c r="Q484" i="1"/>
  <c r="Q500" i="1"/>
  <c r="Q517" i="1"/>
  <c r="Q592" i="1"/>
  <c r="Q655" i="1"/>
  <c r="Q724" i="1"/>
  <c r="Q796" i="1"/>
  <c r="Q845" i="1"/>
  <c r="Q923" i="1"/>
  <c r="R22" i="1"/>
  <c r="R40" i="1"/>
  <c r="R58" i="1"/>
  <c r="R79" i="1"/>
  <c r="R98" i="1"/>
  <c r="R115" i="1"/>
  <c r="R137" i="1"/>
  <c r="R173" i="1"/>
  <c r="R236" i="1"/>
  <c r="R256" i="1"/>
  <c r="R280" i="1"/>
  <c r="R323" i="1"/>
  <c r="R366" i="1"/>
  <c r="R386" i="1"/>
  <c r="R410" i="1"/>
  <c r="R428" i="1"/>
  <c r="R472" i="1"/>
  <c r="R496" i="1"/>
  <c r="R515" i="1"/>
  <c r="R553" i="1"/>
  <c r="R621" i="1"/>
  <c r="R704" i="1"/>
  <c r="R779" i="1"/>
  <c r="R844" i="1"/>
  <c r="R990" i="1"/>
  <c r="R393" i="1"/>
  <c r="Q393" i="1"/>
  <c r="R944" i="1"/>
  <c r="Q944" i="1"/>
  <c r="Q26" i="1"/>
  <c r="Q50" i="1"/>
  <c r="Q62" i="1"/>
  <c r="Q74" i="1"/>
  <c r="Q86" i="1"/>
  <c r="Q110" i="1"/>
  <c r="Q122" i="1"/>
  <c r="Q146" i="1"/>
  <c r="Q158" i="1"/>
  <c r="Q170" i="1"/>
  <c r="Q185" i="1"/>
  <c r="Q200" i="1"/>
  <c r="Q214" i="1"/>
  <c r="Q228" i="1"/>
  <c r="Q242" i="1"/>
  <c r="Q257" i="1"/>
  <c r="Q286" i="1"/>
  <c r="Q300" i="1"/>
  <c r="Q314" i="1"/>
  <c r="Q329" i="1"/>
  <c r="Q345" i="1"/>
  <c r="Q376" i="1"/>
  <c r="Q391" i="1"/>
  <c r="Q408" i="1"/>
  <c r="Q424" i="1"/>
  <c r="Q439" i="1"/>
  <c r="Q454" i="1"/>
  <c r="Q486" i="1"/>
  <c r="Q502" i="1"/>
  <c r="Q518" i="1"/>
  <c r="Q546" i="1"/>
  <c r="Q603" i="1"/>
  <c r="Q659" i="1"/>
  <c r="Q729" i="1"/>
  <c r="Q803" i="1"/>
  <c r="Q848" i="1"/>
  <c r="Q926" i="1"/>
  <c r="Q985" i="1"/>
  <c r="R41" i="1"/>
  <c r="R80" i="1"/>
  <c r="R99" i="1"/>
  <c r="R138" i="1"/>
  <c r="R176" i="1"/>
  <c r="R196" i="1"/>
  <c r="R238" i="1"/>
  <c r="R281" i="1"/>
  <c r="R301" i="1"/>
  <c r="R367" i="1"/>
  <c r="R387" i="1"/>
  <c r="R411" i="1"/>
  <c r="R430" i="1"/>
  <c r="R473" i="1"/>
  <c r="R560" i="1"/>
  <c r="R622" i="1"/>
  <c r="R712" i="1"/>
  <c r="R930" i="1"/>
  <c r="R1001" i="1"/>
  <c r="R830" i="1"/>
  <c r="Q830" i="1"/>
  <c r="R913" i="1"/>
  <c r="Q913" i="1"/>
  <c r="R501" i="1"/>
  <c r="Q501" i="1"/>
  <c r="R883" i="1"/>
  <c r="Q883" i="1"/>
  <c r="R595" i="1"/>
  <c r="Q595" i="1"/>
  <c r="Q319" i="1"/>
  <c r="R319" i="1"/>
  <c r="R235" i="1"/>
  <c r="Q235" i="1"/>
  <c r="Q15" i="1"/>
  <c r="Q27" i="1"/>
  <c r="Q51" i="1"/>
  <c r="Q63" i="1"/>
  <c r="Q75" i="1"/>
  <c r="Q87" i="1"/>
  <c r="Q111" i="1"/>
  <c r="Q123" i="1"/>
  <c r="Q135" i="1"/>
  <c r="Q147" i="1"/>
  <c r="Q159" i="1"/>
  <c r="Q186" i="1"/>
  <c r="Q201" i="1"/>
  <c r="Q215" i="1"/>
  <c r="Q229" i="1"/>
  <c r="Q243" i="1"/>
  <c r="Q258" i="1"/>
  <c r="Q273" i="1"/>
  <c r="Q287" i="1"/>
  <c r="Q315" i="1"/>
  <c r="Q330" i="1"/>
  <c r="Q346" i="1"/>
  <c r="Q362" i="1"/>
  <c r="Q377" i="1"/>
  <c r="Q392" i="1"/>
  <c r="Q409" i="1"/>
  <c r="Q425" i="1"/>
  <c r="Q440" i="1"/>
  <c r="Q456" i="1"/>
  <c r="Q487" i="1"/>
  <c r="Q504" i="1"/>
  <c r="Q519" i="1"/>
  <c r="Q547" i="1"/>
  <c r="Q609" i="1"/>
  <c r="Q663" i="1"/>
  <c r="Q731" i="1"/>
  <c r="Q805" i="1"/>
  <c r="Q854" i="1"/>
  <c r="R42" i="1"/>
  <c r="R64" i="1"/>
  <c r="R82" i="1"/>
  <c r="R100" i="1"/>
  <c r="R139" i="1"/>
  <c r="R179" i="1"/>
  <c r="R302" i="1"/>
  <c r="R344" i="1"/>
  <c r="R368" i="1"/>
  <c r="R412" i="1"/>
  <c r="R431" i="1"/>
  <c r="R455" i="1"/>
  <c r="R474" i="1"/>
  <c r="R498" i="1"/>
  <c r="R565" i="1"/>
  <c r="R625" i="1"/>
  <c r="R931" i="1"/>
  <c r="R1005" i="1"/>
  <c r="U26" i="1"/>
  <c r="L6" i="1" s="1"/>
  <c r="R525" i="1"/>
  <c r="Q525" i="1"/>
  <c r="R799" i="1"/>
  <c r="Q799" i="1"/>
  <c r="R751" i="1"/>
  <c r="Q751" i="1"/>
  <c r="R307" i="1"/>
  <c r="Q307" i="1"/>
  <c r="Q247" i="1"/>
  <c r="R247" i="1"/>
  <c r="Q175" i="1"/>
  <c r="R175" i="1"/>
  <c r="R978" i="1"/>
  <c r="Q978" i="1"/>
  <c r="R942" i="1"/>
  <c r="Q942" i="1"/>
  <c r="Q882" i="1"/>
  <c r="R882" i="1"/>
  <c r="R738" i="1"/>
  <c r="Q738" i="1"/>
  <c r="R690" i="1"/>
  <c r="Q690" i="1"/>
  <c r="Q462" i="1"/>
  <c r="R462" i="1"/>
  <c r="Q16" i="1"/>
  <c r="Q28" i="1"/>
  <c r="Q52" i="1"/>
  <c r="Q88" i="1"/>
  <c r="Q112" i="1"/>
  <c r="Q124" i="1"/>
  <c r="Q148" i="1"/>
  <c r="Q160" i="1"/>
  <c r="Q188" i="1"/>
  <c r="Q202" i="1"/>
  <c r="Q216" i="1"/>
  <c r="Q245" i="1"/>
  <c r="Q260" i="1"/>
  <c r="Q288" i="1"/>
  <c r="Q332" i="1"/>
  <c r="Q348" i="1"/>
  <c r="Q363" i="1"/>
  <c r="Q378" i="1"/>
  <c r="Q394" i="1"/>
  <c r="Q441" i="1"/>
  <c r="Q457" i="1"/>
  <c r="Q489" i="1"/>
  <c r="Q505" i="1"/>
  <c r="Q520" i="1"/>
  <c r="Q548" i="1"/>
  <c r="Q667" i="1"/>
  <c r="Q734" i="1"/>
  <c r="Q813" i="1"/>
  <c r="Q857" i="1"/>
  <c r="Q934" i="1"/>
  <c r="Q993" i="1"/>
  <c r="R43" i="1"/>
  <c r="R65" i="1"/>
  <c r="R101" i="1"/>
  <c r="R140" i="1"/>
  <c r="R217" i="1"/>
  <c r="R259" i="1"/>
  <c r="R283" i="1"/>
  <c r="R303" i="1"/>
  <c r="R370" i="1"/>
  <c r="R413" i="1"/>
  <c r="R433" i="1"/>
  <c r="R475" i="1"/>
  <c r="R566" i="1"/>
  <c r="R632" i="1"/>
  <c r="R935" i="1"/>
  <c r="R833" i="1"/>
  <c r="Q833" i="1"/>
  <c r="Q449" i="1"/>
  <c r="R449" i="1"/>
  <c r="Q17" i="1"/>
  <c r="Q29" i="1"/>
  <c r="Q53" i="1"/>
  <c r="Q77" i="1"/>
  <c r="Q89" i="1"/>
  <c r="Q125" i="1"/>
  <c r="Q149" i="1"/>
  <c r="Q161" i="1"/>
  <c r="Q174" i="1"/>
  <c r="Q189" i="1"/>
  <c r="Q203" i="1"/>
  <c r="Q246" i="1"/>
  <c r="Q261" i="1"/>
  <c r="Q275" i="1"/>
  <c r="Q289" i="1"/>
  <c r="Q318" i="1"/>
  <c r="Q333" i="1"/>
  <c r="Q349" i="1"/>
  <c r="Q364" i="1"/>
  <c r="Q379" i="1"/>
  <c r="Q396" i="1"/>
  <c r="Q442" i="1"/>
  <c r="Q458" i="1"/>
  <c r="Q506" i="1"/>
  <c r="Q521" i="1"/>
  <c r="Q554" i="1"/>
  <c r="Q671" i="1"/>
  <c r="Q750" i="1"/>
  <c r="Q816" i="1"/>
  <c r="Q861" i="1"/>
  <c r="Q943" i="1"/>
  <c r="R66" i="1"/>
  <c r="R104" i="1"/>
  <c r="R142" i="1"/>
  <c r="R162" i="1"/>
  <c r="R199" i="1"/>
  <c r="R222" i="1"/>
  <c r="R266" i="1"/>
  <c r="R308" i="1"/>
  <c r="R328" i="1"/>
  <c r="R352" i="1"/>
  <c r="R371" i="1"/>
  <c r="R395" i="1"/>
  <c r="R414" i="1"/>
  <c r="R524" i="1"/>
  <c r="R568" i="1"/>
  <c r="R726" i="1"/>
  <c r="R807" i="1"/>
  <c r="R945" i="1"/>
  <c r="Q940" i="1"/>
  <c r="R940" i="1"/>
  <c r="Q688" i="1"/>
  <c r="R688" i="1"/>
  <c r="Q436" i="1"/>
  <c r="R436" i="1"/>
  <c r="R304" i="1"/>
  <c r="Q304" i="1"/>
  <c r="R292" i="1"/>
  <c r="Q292" i="1"/>
  <c r="R232" i="1"/>
  <c r="Q232" i="1"/>
  <c r="R220" i="1"/>
  <c r="Q220" i="1"/>
  <c r="Q30" i="1"/>
  <c r="Q54" i="1"/>
  <c r="Q90" i="1"/>
  <c r="Q102" i="1"/>
  <c r="Q126" i="1"/>
  <c r="Q150" i="1"/>
  <c r="Q190" i="1"/>
  <c r="Q204" i="1"/>
  <c r="Q218" i="1"/>
  <c r="Q233" i="1"/>
  <c r="Q248" i="1"/>
  <c r="Q262" i="1"/>
  <c r="Q276" i="1"/>
  <c r="Q290" i="1"/>
  <c r="Q305" i="1"/>
  <c r="Q320" i="1"/>
  <c r="Q334" i="1"/>
  <c r="Q350" i="1"/>
  <c r="Q365" i="1"/>
  <c r="Q381" i="1"/>
  <c r="Q398" i="1"/>
  <c r="Q444" i="1"/>
  <c r="Q460" i="1"/>
  <c r="Q476" i="1"/>
  <c r="Q492" i="1"/>
  <c r="Q507" i="1"/>
  <c r="Q522" i="1"/>
  <c r="Q673" i="1"/>
  <c r="Q754" i="1"/>
  <c r="Q819" i="1"/>
  <c r="Q864" i="1"/>
  <c r="Q1008" i="1"/>
  <c r="R67" i="1"/>
  <c r="R164" i="1"/>
  <c r="R223" i="1"/>
  <c r="R310" i="1"/>
  <c r="R353" i="1"/>
  <c r="R397" i="1"/>
  <c r="R415" i="1"/>
  <c r="R459" i="1"/>
  <c r="R526" i="1"/>
  <c r="R576" i="1"/>
  <c r="R946" i="1"/>
  <c r="R987" i="1"/>
  <c r="Q987" i="1"/>
  <c r="Q891" i="1"/>
  <c r="R891" i="1"/>
  <c r="R639" i="1"/>
  <c r="Q639" i="1"/>
  <c r="R423" i="1"/>
  <c r="Q423" i="1"/>
  <c r="Q19" i="1"/>
  <c r="Q31" i="1"/>
  <c r="Q91" i="1"/>
  <c r="Q103" i="1"/>
  <c r="Q127" i="1"/>
  <c r="Q151" i="1"/>
  <c r="Q163" i="1"/>
  <c r="Q177" i="1"/>
  <c r="Q205" i="1"/>
  <c r="Q219" i="1"/>
  <c r="Q234" i="1"/>
  <c r="Q249" i="1"/>
  <c r="Q263" i="1"/>
  <c r="Q277" i="1"/>
  <c r="Q291" i="1"/>
  <c r="Q306" i="1"/>
  <c r="Q321" i="1"/>
  <c r="Q336" i="1"/>
  <c r="Q351" i="1"/>
  <c r="Q382" i="1"/>
  <c r="Q399" i="1"/>
  <c r="Q429" i="1"/>
  <c r="Q445" i="1"/>
  <c r="Q461" i="1"/>
  <c r="Q477" i="1"/>
  <c r="Q493" i="1"/>
  <c r="Q508" i="1"/>
  <c r="Q523" i="1"/>
  <c r="Q681" i="1"/>
  <c r="Q756" i="1"/>
  <c r="Q820" i="1"/>
  <c r="Q866" i="1"/>
  <c r="Q1009" i="1"/>
  <c r="R68" i="1"/>
  <c r="R166" i="1"/>
  <c r="R184" i="1"/>
  <c r="R224" i="1"/>
  <c r="R244" i="1"/>
  <c r="R268" i="1"/>
  <c r="R354" i="1"/>
  <c r="R416" i="1"/>
  <c r="R503" i="1"/>
  <c r="R527" i="1"/>
  <c r="R584" i="1"/>
  <c r="R733" i="1"/>
  <c r="R817" i="1"/>
  <c r="R947" i="1"/>
  <c r="Q32" i="1"/>
  <c r="Q44" i="1"/>
  <c r="Q92" i="1"/>
  <c r="Q116" i="1"/>
  <c r="Q128" i="1"/>
  <c r="Q178" i="1"/>
  <c r="Q192" i="1"/>
  <c r="Q206" i="1"/>
  <c r="Q221" i="1"/>
  <c r="Q250" i="1"/>
  <c r="Q264" i="1"/>
  <c r="Q278" i="1"/>
  <c r="Q293" i="1"/>
  <c r="Q322" i="1"/>
  <c r="Q337" i="1"/>
  <c r="Q400" i="1"/>
  <c r="Q463" i="1"/>
  <c r="Q478" i="1"/>
  <c r="Q494" i="1"/>
  <c r="Q509" i="1"/>
  <c r="Q693" i="1"/>
  <c r="Q758" i="1"/>
  <c r="Q822" i="1"/>
  <c r="Q885" i="1"/>
  <c r="R70" i="1"/>
  <c r="R331" i="1"/>
  <c r="R355" i="1"/>
  <c r="R485" i="1"/>
  <c r="R529" i="1"/>
  <c r="R880" i="1"/>
  <c r="R956" i="1"/>
  <c r="Q21" i="1"/>
  <c r="Q33" i="1"/>
  <c r="Q45" i="1"/>
  <c r="Q57" i="1"/>
  <c r="Q69" i="1"/>
  <c r="Q81" i="1"/>
  <c r="Q93" i="1"/>
  <c r="Q105" i="1"/>
  <c r="Q117" i="1"/>
  <c r="Q129" i="1"/>
  <c r="Q141" i="1"/>
  <c r="Q153" i="1"/>
  <c r="Q165" i="1"/>
  <c r="Q193" i="1"/>
  <c r="Q207" i="1"/>
  <c r="Q237" i="1"/>
  <c r="Q251" i="1"/>
  <c r="Q265" i="1"/>
  <c r="Q279" i="1"/>
  <c r="Q294" i="1"/>
  <c r="Q309" i="1"/>
  <c r="Q338" i="1"/>
  <c r="Q369" i="1"/>
  <c r="Q401" i="1"/>
  <c r="Q432" i="1"/>
  <c r="Q448" i="1"/>
  <c r="Q464" i="1"/>
  <c r="Q480" i="1"/>
  <c r="Q495" i="1"/>
  <c r="Q510" i="1"/>
  <c r="Q629" i="1"/>
  <c r="Q771" i="1"/>
  <c r="Q914" i="1"/>
  <c r="Q948" i="1"/>
  <c r="R14" i="1"/>
  <c r="R208" i="1"/>
  <c r="R380" i="1"/>
  <c r="R443" i="1"/>
  <c r="R467" i="1"/>
  <c r="R530" i="1"/>
  <c r="R608" i="1"/>
  <c r="R958" i="1"/>
  <c r="Q34" i="1"/>
  <c r="Q46" i="1"/>
  <c r="Q94" i="1"/>
  <c r="Q106" i="1"/>
  <c r="Q118" i="1"/>
  <c r="Q130" i="1"/>
  <c r="Q180" i="1"/>
  <c r="Q209" i="1"/>
  <c r="Q252" i="1"/>
  <c r="Q324" i="1"/>
  <c r="Q339" i="1"/>
  <c r="Q372" i="1"/>
  <c r="Q417" i="1"/>
  <c r="Q434" i="1"/>
  <c r="Q450" i="1"/>
  <c r="Q465" i="1"/>
  <c r="Q481" i="1"/>
  <c r="Q916" i="1"/>
  <c r="R187" i="1"/>
  <c r="R271" i="1"/>
  <c r="R295" i="1"/>
  <c r="R511" i="1"/>
  <c r="D14" i="2"/>
  <c r="D15" i="2"/>
  <c r="D18" i="2"/>
  <c r="D19" i="2"/>
  <c r="D17" i="2"/>
  <c r="D13" i="2"/>
  <c r="D16" i="2"/>
  <c r="D12" i="2"/>
  <c r="D20" i="2"/>
  <c r="R1011" i="1"/>
  <c r="Q1011" i="1"/>
  <c r="R1010" i="1"/>
  <c r="Q1010" i="1"/>
  <c r="R1007" i="1"/>
  <c r="Q1007" i="1"/>
  <c r="R1006" i="1"/>
  <c r="Q1006" i="1"/>
  <c r="R1004" i="1"/>
  <c r="Q1004" i="1"/>
  <c r="R1003" i="1"/>
  <c r="Q1003" i="1"/>
  <c r="R1002" i="1"/>
  <c r="Q1002" i="1"/>
  <c r="R1000" i="1"/>
  <c r="Q1000" i="1"/>
  <c r="R999" i="1"/>
  <c r="Q999" i="1"/>
  <c r="R998" i="1"/>
  <c r="Q998" i="1"/>
  <c r="R997" i="1"/>
  <c r="Q997" i="1"/>
  <c r="R996" i="1"/>
  <c r="Q996" i="1"/>
  <c r="R995" i="1"/>
  <c r="Q995" i="1"/>
  <c r="R994" i="1"/>
  <c r="Q994" i="1"/>
  <c r="R992" i="1"/>
  <c r="Q992" i="1"/>
  <c r="R991" i="1"/>
  <c r="Q991" i="1"/>
  <c r="R989" i="1"/>
  <c r="Q989" i="1"/>
  <c r="R988" i="1"/>
  <c r="Q988" i="1"/>
  <c r="R986" i="1"/>
  <c r="Q986" i="1"/>
  <c r="R984" i="1"/>
  <c r="Q984" i="1"/>
  <c r="R982" i="1"/>
  <c r="Q982" i="1"/>
  <c r="R981" i="1"/>
  <c r="Q981" i="1"/>
  <c r="R980" i="1"/>
  <c r="Q980" i="1"/>
  <c r="R979" i="1"/>
  <c r="Q979" i="1"/>
  <c r="R977" i="1"/>
  <c r="Q977" i="1"/>
  <c r="R976" i="1"/>
  <c r="Q976" i="1"/>
  <c r="R975" i="1"/>
  <c r="Q975" i="1"/>
  <c r="R973" i="1"/>
  <c r="Q973" i="1"/>
  <c r="R971" i="1"/>
  <c r="Q971" i="1"/>
  <c r="R970" i="1"/>
  <c r="Q970" i="1"/>
  <c r="R969" i="1"/>
  <c r="Q969" i="1"/>
  <c r="R968" i="1"/>
  <c r="Q968" i="1"/>
  <c r="R967" i="1"/>
  <c r="Q967" i="1"/>
  <c r="R966" i="1"/>
  <c r="Q966" i="1"/>
  <c r="R965" i="1"/>
  <c r="Q965" i="1"/>
  <c r="R963" i="1"/>
  <c r="Q963" i="1"/>
  <c r="R961" i="1"/>
  <c r="Q961" i="1"/>
  <c r="R960" i="1"/>
  <c r="Q960" i="1"/>
  <c r="R959" i="1"/>
  <c r="Q959" i="1"/>
  <c r="R957" i="1"/>
  <c r="Q957" i="1"/>
  <c r="R955" i="1"/>
  <c r="Q955" i="1"/>
  <c r="R954" i="1"/>
  <c r="Q954" i="1"/>
  <c r="R953" i="1"/>
  <c r="Q953" i="1"/>
  <c r="R952" i="1"/>
  <c r="Q952" i="1"/>
  <c r="R951" i="1"/>
  <c r="Q951" i="1"/>
  <c r="R950" i="1"/>
  <c r="Q950" i="1"/>
  <c r="R949" i="1"/>
  <c r="Q949" i="1"/>
  <c r="R941" i="1"/>
  <c r="Q941" i="1"/>
  <c r="R939" i="1"/>
  <c r="Q939" i="1"/>
  <c r="R938" i="1"/>
  <c r="Q938" i="1"/>
  <c r="R937" i="1"/>
  <c r="Q937" i="1"/>
  <c r="R936" i="1"/>
  <c r="Q936" i="1"/>
  <c r="R933" i="1"/>
  <c r="Q933" i="1"/>
  <c r="R932" i="1"/>
  <c r="Q932" i="1"/>
  <c r="R929" i="1"/>
  <c r="Q929" i="1"/>
  <c r="R928" i="1"/>
  <c r="Q928" i="1"/>
  <c r="R927" i="1"/>
  <c r="Q927" i="1"/>
  <c r="R925" i="1"/>
  <c r="Q925" i="1"/>
  <c r="R924" i="1"/>
  <c r="Q924" i="1"/>
  <c r="R922" i="1"/>
  <c r="Q922" i="1"/>
  <c r="R920" i="1"/>
  <c r="Q920" i="1"/>
  <c r="R918" i="1"/>
  <c r="Q918" i="1"/>
  <c r="R917" i="1"/>
  <c r="Q917" i="1"/>
  <c r="R915" i="1"/>
  <c r="Q915" i="1"/>
  <c r="R912" i="1"/>
  <c r="Q912" i="1"/>
  <c r="R911" i="1"/>
  <c r="Q911" i="1"/>
  <c r="R910" i="1"/>
  <c r="Q910" i="1"/>
  <c r="R909" i="1"/>
  <c r="Q909" i="1"/>
  <c r="R908" i="1"/>
  <c r="Q908" i="1"/>
  <c r="R907" i="1"/>
  <c r="Q907" i="1"/>
  <c r="R906" i="1"/>
  <c r="Q906" i="1"/>
  <c r="R905" i="1"/>
  <c r="Q905" i="1"/>
  <c r="R904" i="1"/>
  <c r="Q904" i="1"/>
  <c r="R903" i="1"/>
  <c r="Q903" i="1"/>
  <c r="R902" i="1"/>
  <c r="Q902" i="1"/>
  <c r="R901" i="1"/>
  <c r="Q901" i="1"/>
  <c r="R900" i="1"/>
  <c r="Q900" i="1"/>
  <c r="R899" i="1"/>
  <c r="Q899" i="1"/>
  <c r="R898" i="1"/>
  <c r="Q898" i="1"/>
  <c r="R897" i="1"/>
  <c r="Q897" i="1"/>
  <c r="R896" i="1"/>
  <c r="Q896" i="1"/>
  <c r="R895" i="1"/>
  <c r="Q895" i="1"/>
  <c r="R894" i="1"/>
  <c r="Q894" i="1"/>
  <c r="R893" i="1"/>
  <c r="Q893" i="1"/>
  <c r="R892" i="1"/>
  <c r="Q892" i="1"/>
  <c r="R890" i="1"/>
  <c r="Q890" i="1"/>
  <c r="R889" i="1"/>
  <c r="Q889" i="1"/>
  <c r="R888" i="1"/>
  <c r="Q888" i="1"/>
  <c r="R887" i="1"/>
  <c r="Q887" i="1"/>
  <c r="R886" i="1"/>
  <c r="Q886" i="1"/>
  <c r="R884" i="1"/>
  <c r="Q884" i="1"/>
  <c r="R881" i="1"/>
  <c r="Q881" i="1"/>
  <c r="R879" i="1"/>
  <c r="Q879" i="1"/>
  <c r="R878" i="1"/>
  <c r="Q878" i="1"/>
  <c r="R877" i="1"/>
  <c r="Q877" i="1"/>
  <c r="R876" i="1"/>
  <c r="Q876" i="1"/>
  <c r="R875" i="1"/>
  <c r="Q875" i="1"/>
  <c r="R874" i="1"/>
  <c r="Q874" i="1"/>
  <c r="R873" i="1"/>
  <c r="Q873" i="1"/>
  <c r="R872" i="1"/>
  <c r="Q872" i="1"/>
  <c r="R871" i="1"/>
  <c r="Q871" i="1"/>
  <c r="R870" i="1"/>
  <c r="Q870" i="1"/>
  <c r="R869" i="1"/>
  <c r="Q869" i="1"/>
  <c r="R868" i="1"/>
  <c r="Q868" i="1"/>
  <c r="R867" i="1"/>
  <c r="Q867" i="1"/>
  <c r="R865" i="1"/>
  <c r="Q865" i="1"/>
  <c r="R863" i="1"/>
  <c r="Q863" i="1"/>
  <c r="R862" i="1"/>
  <c r="Q862" i="1"/>
  <c r="R860" i="1"/>
  <c r="Q860" i="1"/>
  <c r="R859" i="1"/>
  <c r="Q859" i="1"/>
  <c r="R858" i="1"/>
  <c r="Q858" i="1"/>
  <c r="R856" i="1"/>
  <c r="Q856" i="1"/>
  <c r="R855" i="1"/>
  <c r="Q855" i="1"/>
  <c r="R853" i="1"/>
  <c r="Q853" i="1"/>
  <c r="R852" i="1"/>
  <c r="Q852" i="1"/>
  <c r="R851" i="1"/>
  <c r="Q851" i="1"/>
  <c r="R850" i="1"/>
  <c r="Q850" i="1"/>
  <c r="R849" i="1"/>
  <c r="Q849" i="1"/>
  <c r="R847" i="1"/>
  <c r="Q847" i="1"/>
  <c r="R846" i="1"/>
  <c r="Q846" i="1"/>
  <c r="R842" i="1"/>
  <c r="Q842" i="1"/>
  <c r="R841" i="1"/>
  <c r="Q841" i="1"/>
  <c r="R839" i="1"/>
  <c r="Q839" i="1"/>
  <c r="R837" i="1"/>
  <c r="Q837" i="1"/>
  <c r="R835" i="1"/>
  <c r="Q835" i="1"/>
  <c r="R834" i="1"/>
  <c r="Q834" i="1"/>
  <c r="R832" i="1"/>
  <c r="Q832" i="1"/>
  <c r="R831" i="1"/>
  <c r="Q831" i="1"/>
  <c r="R829" i="1"/>
  <c r="Q829" i="1"/>
  <c r="R826" i="1"/>
  <c r="Q826" i="1"/>
  <c r="R825" i="1"/>
  <c r="Q825" i="1"/>
  <c r="R824" i="1"/>
  <c r="Q824" i="1"/>
  <c r="R823" i="1"/>
  <c r="Q823" i="1"/>
  <c r="R821" i="1"/>
  <c r="Q821" i="1"/>
  <c r="R818" i="1"/>
  <c r="Q818" i="1"/>
  <c r="R815" i="1"/>
  <c r="Q815" i="1"/>
  <c r="R814" i="1"/>
  <c r="Q814" i="1"/>
  <c r="R812" i="1"/>
  <c r="Q812" i="1"/>
  <c r="R811" i="1"/>
  <c r="Q811" i="1"/>
  <c r="R810" i="1"/>
  <c r="Q810" i="1"/>
  <c r="R809" i="1"/>
  <c r="Q809" i="1"/>
  <c r="R808" i="1"/>
  <c r="Q808" i="1"/>
  <c r="R806" i="1"/>
  <c r="Q806" i="1"/>
  <c r="R801" i="1"/>
  <c r="Q801" i="1"/>
  <c r="R800" i="1"/>
  <c r="Q800" i="1"/>
  <c r="R798" i="1"/>
  <c r="Q798" i="1"/>
  <c r="R797" i="1"/>
  <c r="Q797" i="1"/>
  <c r="R795" i="1"/>
  <c r="Q795" i="1"/>
  <c r="R794" i="1"/>
  <c r="Q794" i="1"/>
  <c r="R793" i="1"/>
  <c r="Q793" i="1"/>
  <c r="R791" i="1"/>
  <c r="Q791" i="1"/>
  <c r="R790" i="1"/>
  <c r="Q790" i="1"/>
  <c r="R788" i="1"/>
  <c r="Q788" i="1"/>
  <c r="R787" i="1"/>
  <c r="Q787" i="1"/>
  <c r="R786" i="1"/>
  <c r="Q786" i="1"/>
  <c r="R785" i="1"/>
  <c r="Q785" i="1"/>
  <c r="R784" i="1"/>
  <c r="Q784" i="1"/>
  <c r="R783" i="1"/>
  <c r="Q783" i="1"/>
  <c r="R782" i="1"/>
  <c r="Q782" i="1"/>
  <c r="R781" i="1"/>
  <c r="Q781" i="1"/>
  <c r="R780" i="1"/>
  <c r="Q780" i="1"/>
  <c r="R777" i="1"/>
  <c r="Q777" i="1"/>
  <c r="R776" i="1"/>
  <c r="Q776" i="1"/>
  <c r="R775" i="1"/>
  <c r="Q775" i="1"/>
  <c r="R774" i="1"/>
  <c r="Q774" i="1"/>
  <c r="R773" i="1"/>
  <c r="Q773" i="1"/>
  <c r="R772" i="1"/>
  <c r="Q772" i="1"/>
  <c r="R770" i="1"/>
  <c r="Q770" i="1"/>
  <c r="R769" i="1"/>
  <c r="Q769" i="1"/>
  <c r="R768" i="1"/>
  <c r="Q768" i="1"/>
  <c r="R767" i="1"/>
  <c r="Q767" i="1"/>
  <c r="R766" i="1"/>
  <c r="Q766" i="1"/>
  <c r="R765" i="1"/>
  <c r="Q765" i="1"/>
  <c r="R764" i="1"/>
  <c r="Q764" i="1"/>
  <c r="R763" i="1"/>
  <c r="Q763" i="1"/>
  <c r="R762" i="1"/>
  <c r="Q762" i="1"/>
  <c r="R761" i="1"/>
  <c r="Q761" i="1"/>
  <c r="R759" i="1"/>
  <c r="Q759" i="1"/>
  <c r="R757" i="1"/>
  <c r="Q757" i="1"/>
  <c r="R755" i="1"/>
  <c r="Q755" i="1"/>
  <c r="R753" i="1"/>
  <c r="Q753" i="1"/>
  <c r="R752" i="1"/>
  <c r="Q752" i="1"/>
  <c r="R749" i="1"/>
  <c r="Q749" i="1"/>
  <c r="R748" i="1"/>
  <c r="Q748" i="1"/>
  <c r="R747" i="1"/>
  <c r="Q747" i="1"/>
  <c r="R746" i="1"/>
  <c r="Q746" i="1"/>
  <c r="R745" i="1"/>
  <c r="Q745" i="1"/>
  <c r="R743" i="1"/>
  <c r="Q743" i="1"/>
  <c r="R742" i="1"/>
  <c r="Q742" i="1"/>
  <c r="R741" i="1"/>
  <c r="Q741" i="1"/>
  <c r="R740" i="1"/>
  <c r="Q740" i="1"/>
  <c r="R739" i="1"/>
  <c r="Q739" i="1"/>
  <c r="R737" i="1"/>
  <c r="Q737" i="1"/>
  <c r="R736" i="1"/>
  <c r="Q736" i="1"/>
  <c r="R735" i="1"/>
  <c r="Q735" i="1"/>
  <c r="R732" i="1"/>
  <c r="Q732" i="1"/>
  <c r="R730" i="1"/>
  <c r="Q730" i="1"/>
  <c r="R728" i="1"/>
  <c r="Q728" i="1"/>
  <c r="R727" i="1"/>
  <c r="Q727" i="1"/>
  <c r="R725" i="1"/>
  <c r="Q725" i="1"/>
  <c r="R722" i="1"/>
  <c r="Q722" i="1"/>
  <c r="R721" i="1"/>
  <c r="Q721" i="1"/>
  <c r="R720" i="1"/>
  <c r="Q720" i="1"/>
  <c r="R718" i="1"/>
  <c r="Q718" i="1"/>
  <c r="R717" i="1"/>
  <c r="Q717" i="1"/>
  <c r="R716" i="1"/>
  <c r="Q716" i="1"/>
  <c r="R715" i="1"/>
  <c r="Q715" i="1"/>
  <c r="R714" i="1"/>
  <c r="Q714" i="1"/>
  <c r="R713" i="1"/>
  <c r="Q713" i="1"/>
  <c r="R711" i="1"/>
  <c r="Q711" i="1"/>
  <c r="R710" i="1"/>
  <c r="Q710" i="1"/>
  <c r="R709" i="1"/>
  <c r="Q709" i="1"/>
  <c r="R708" i="1"/>
  <c r="Q708" i="1"/>
  <c r="R707" i="1"/>
  <c r="Q707" i="1"/>
  <c r="R706" i="1"/>
  <c r="Q706" i="1"/>
  <c r="R705" i="1"/>
  <c r="Q705" i="1"/>
  <c r="R703" i="1"/>
  <c r="Q703" i="1"/>
  <c r="R702" i="1"/>
  <c r="Q702" i="1"/>
  <c r="R701" i="1"/>
  <c r="Q701" i="1"/>
  <c r="R700" i="1"/>
  <c r="Q700" i="1"/>
  <c r="R699" i="1"/>
  <c r="Q699" i="1"/>
  <c r="R698" i="1"/>
  <c r="Q698" i="1"/>
  <c r="R697" i="1"/>
  <c r="Q697" i="1"/>
  <c r="R696" i="1"/>
  <c r="Q696" i="1"/>
  <c r="R695" i="1"/>
  <c r="Q695" i="1"/>
  <c r="R692" i="1"/>
  <c r="Q692" i="1"/>
  <c r="R691" i="1"/>
  <c r="Q691" i="1"/>
  <c r="R689" i="1"/>
  <c r="Q689" i="1"/>
  <c r="R687" i="1"/>
  <c r="Q687" i="1"/>
  <c r="R686" i="1"/>
  <c r="Q686" i="1"/>
  <c r="R685" i="1"/>
  <c r="Q685" i="1"/>
  <c r="R684" i="1"/>
  <c r="Q684" i="1"/>
  <c r="R682" i="1"/>
  <c r="Q682" i="1"/>
  <c r="R679" i="1"/>
  <c r="Q679" i="1"/>
  <c r="R678" i="1"/>
  <c r="Q678" i="1"/>
  <c r="R677" i="1"/>
  <c r="Q677" i="1"/>
  <c r="R676" i="1"/>
  <c r="Q676" i="1"/>
  <c r="R675" i="1"/>
  <c r="Q675" i="1"/>
  <c r="R674" i="1"/>
  <c r="Q674" i="1"/>
  <c r="R672" i="1"/>
  <c r="Q672" i="1"/>
  <c r="R670" i="1"/>
  <c r="Q670" i="1"/>
  <c r="R669" i="1"/>
  <c r="Q669" i="1"/>
  <c r="R668" i="1"/>
  <c r="Q668" i="1"/>
  <c r="R666" i="1"/>
  <c r="Q666" i="1"/>
  <c r="R665" i="1"/>
  <c r="Q665" i="1"/>
  <c r="R664" i="1"/>
  <c r="Q664" i="1"/>
  <c r="R662" i="1"/>
  <c r="Q662" i="1"/>
  <c r="R661" i="1"/>
  <c r="Q661" i="1"/>
  <c r="R660" i="1"/>
  <c r="Q660" i="1"/>
  <c r="R658" i="1"/>
  <c r="Q658" i="1"/>
  <c r="R657" i="1"/>
  <c r="Q657" i="1"/>
  <c r="R656" i="1"/>
  <c r="Q656" i="1"/>
  <c r="R654" i="1"/>
  <c r="Q654" i="1"/>
  <c r="R653" i="1"/>
  <c r="Q653" i="1"/>
  <c r="R652" i="1"/>
  <c r="Q652" i="1"/>
  <c r="R651" i="1"/>
  <c r="Q651" i="1"/>
  <c r="R649" i="1"/>
  <c r="Q649" i="1"/>
  <c r="R648" i="1"/>
  <c r="Q648" i="1"/>
  <c r="R646" i="1"/>
  <c r="Q646" i="1"/>
  <c r="R645" i="1"/>
  <c r="Q645" i="1"/>
  <c r="R643" i="1"/>
  <c r="Q643" i="1"/>
  <c r="R642" i="1"/>
  <c r="Q642" i="1"/>
  <c r="R641" i="1"/>
  <c r="Q641" i="1"/>
  <c r="R640" i="1"/>
  <c r="Q640" i="1"/>
  <c r="R638" i="1"/>
  <c r="Q638" i="1"/>
  <c r="R637" i="1"/>
  <c r="Q637" i="1"/>
  <c r="R636" i="1"/>
  <c r="Q636" i="1"/>
  <c r="R634" i="1"/>
  <c r="Q634" i="1"/>
  <c r="R631" i="1"/>
  <c r="Q631" i="1"/>
  <c r="R630" i="1"/>
  <c r="Q630" i="1"/>
  <c r="R628" i="1"/>
  <c r="Q628" i="1"/>
  <c r="R627" i="1"/>
  <c r="Q627" i="1"/>
  <c r="R626" i="1"/>
  <c r="Q626" i="1"/>
  <c r="R624" i="1"/>
  <c r="Q624" i="1"/>
  <c r="R623" i="1"/>
  <c r="Q623" i="1"/>
  <c r="R620" i="1"/>
  <c r="Q620" i="1"/>
  <c r="R619" i="1"/>
  <c r="Q619" i="1"/>
  <c r="R618" i="1"/>
  <c r="Q618" i="1"/>
  <c r="R617" i="1"/>
  <c r="Q617" i="1"/>
  <c r="R616" i="1"/>
  <c r="Q616" i="1"/>
  <c r="R615" i="1"/>
  <c r="Q615" i="1"/>
  <c r="R614" i="1"/>
  <c r="Q614" i="1"/>
  <c r="R613" i="1"/>
  <c r="Q613" i="1"/>
  <c r="R612" i="1"/>
  <c r="Q612" i="1"/>
  <c r="R607" i="1"/>
  <c r="Q607" i="1"/>
  <c r="R606" i="1"/>
  <c r="Q606" i="1"/>
  <c r="R605" i="1"/>
  <c r="Q605" i="1"/>
  <c r="R604" i="1"/>
  <c r="Q604" i="1"/>
  <c r="R602" i="1"/>
  <c r="Q602" i="1"/>
  <c r="R601" i="1"/>
  <c r="Q601" i="1"/>
  <c r="R599" i="1"/>
  <c r="Q599" i="1"/>
  <c r="R597" i="1"/>
  <c r="Q597" i="1"/>
  <c r="R596" i="1"/>
  <c r="Q596" i="1"/>
  <c r="R594" i="1"/>
  <c r="Q594" i="1"/>
  <c r="R593" i="1"/>
  <c r="Q593" i="1"/>
  <c r="R591" i="1"/>
  <c r="Q591" i="1"/>
  <c r="R590" i="1"/>
  <c r="Q590" i="1"/>
  <c r="R589" i="1"/>
  <c r="Q589" i="1"/>
  <c r="R586" i="1"/>
  <c r="Q586" i="1"/>
  <c r="R585" i="1"/>
  <c r="Q585" i="1"/>
  <c r="R583" i="1"/>
  <c r="Q583" i="1"/>
  <c r="R582" i="1"/>
  <c r="Q582" i="1"/>
  <c r="R581" i="1"/>
  <c r="Q581" i="1"/>
  <c r="R580" i="1"/>
  <c r="Q580" i="1"/>
  <c r="R579" i="1"/>
  <c r="Q579" i="1"/>
  <c r="R578" i="1"/>
  <c r="Q578" i="1"/>
  <c r="R577" i="1"/>
  <c r="Q577" i="1"/>
  <c r="R575" i="1"/>
  <c r="Q575" i="1"/>
  <c r="R574" i="1"/>
  <c r="Q574" i="1"/>
  <c r="R573" i="1"/>
  <c r="Q573" i="1"/>
  <c r="R572" i="1"/>
  <c r="Q572" i="1"/>
  <c r="R571" i="1"/>
  <c r="Q571" i="1"/>
  <c r="R570" i="1"/>
  <c r="Q570" i="1"/>
  <c r="R569" i="1"/>
  <c r="Q569" i="1"/>
  <c r="R567" i="1"/>
  <c r="Q567" i="1"/>
  <c r="R564" i="1"/>
  <c r="Q564" i="1"/>
  <c r="R563" i="1"/>
  <c r="Q563" i="1"/>
  <c r="R562" i="1"/>
  <c r="Q562" i="1"/>
  <c r="R561" i="1"/>
  <c r="Q561" i="1"/>
  <c r="R559" i="1"/>
  <c r="Q559" i="1"/>
  <c r="R558" i="1"/>
  <c r="Q558" i="1"/>
  <c r="R557" i="1"/>
  <c r="Q557" i="1"/>
  <c r="R556" i="1"/>
  <c r="Q556" i="1"/>
  <c r="R555" i="1"/>
  <c r="Q555" i="1"/>
  <c r="R551" i="1"/>
  <c r="Q551" i="1"/>
  <c r="R549" i="1"/>
  <c r="Q549" i="1"/>
  <c r="R545" i="1"/>
  <c r="Q545" i="1"/>
  <c r="R544" i="1"/>
  <c r="Q544" i="1"/>
  <c r="R543" i="1"/>
  <c r="Q543" i="1"/>
  <c r="R542" i="1"/>
  <c r="Q542" i="1"/>
  <c r="R541" i="1"/>
  <c r="Q541" i="1"/>
  <c r="R540" i="1"/>
  <c r="Q540" i="1"/>
  <c r="R539" i="1"/>
  <c r="Q539" i="1"/>
  <c r="R538" i="1"/>
  <c r="Q538" i="1"/>
  <c r="R537" i="1"/>
  <c r="Q537" i="1"/>
  <c r="R534" i="1"/>
  <c r="Q534" i="1"/>
  <c r="R532" i="1"/>
  <c r="Q532" i="1"/>
  <c r="R531" i="1"/>
  <c r="Q531" i="1"/>
  <c r="U27" i="1" l="1"/>
  <c r="L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<sst xmlns="http://schemas.openxmlformats.org/spreadsheetml/2006/main" count="14790" uniqueCount="1083">
  <si>
    <t>Transaction ID</t>
  </si>
  <si>
    <t>Day</t>
  </si>
  <si>
    <t>Month</t>
  </si>
  <si>
    <t xml:space="preserve">Year </t>
  </si>
  <si>
    <t>Day name</t>
  </si>
  <si>
    <t>Month name</t>
  </si>
  <si>
    <t>Year name</t>
  </si>
  <si>
    <t>Date</t>
  </si>
  <si>
    <t>Customer ID</t>
  </si>
  <si>
    <t>Gender</t>
  </si>
  <si>
    <t>Age 1</t>
  </si>
  <si>
    <t>Age</t>
  </si>
  <si>
    <t>Product Category</t>
  </si>
  <si>
    <t>Quantity</t>
  </si>
  <si>
    <t>Price per Unit</t>
  </si>
  <si>
    <t>Total Sales</t>
  </si>
  <si>
    <t>Commission 2023</t>
  </si>
  <si>
    <t>Commission 2024</t>
  </si>
  <si>
    <t>Rate</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</si>
  <si>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</si>
  <si>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</si>
  <si>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</si>
  <si>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</si>
  <si>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</si>
  <si>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</si>
  <si>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</si>
  <si>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</si>
  <si>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</si>
  <si>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</si>
  <si>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</si>
  <si>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</si>
  <si>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</si>
  <si>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</si>
  <si>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</si>
  <si>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</si>
  <si>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</si>
  <si>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Sales</t>
  </si>
  <si>
    <t>CUST013</t>
  </si>
  <si>
    <t>CUST014</t>
  </si>
  <si>
    <t>CUST015</t>
  </si>
  <si>
    <t>CUST016</t>
  </si>
  <si>
    <t>All products</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</si>
  <si>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</si>
  <si>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</si>
  <si>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</si>
  <si>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</si>
  <si>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</si>
  <si>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</si>
  <si>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</si>
  <si>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</si>
  <si>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</si>
  <si>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</si>
  <si>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</si>
  <si>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</si>
  <si>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</si>
  <si>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</si>
  <si>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</si>
  <si>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</si>
  <si>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</si>
  <si>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</si>
  <si>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</si>
  <si>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</si>
  <si>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</si>
  <si>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</si>
  <si>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</si>
  <si>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</si>
  <si>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</si>
  <si>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</si>
  <si>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</si>
  <si>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</si>
  <si>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</si>
  <si>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</si>
  <si>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</si>
  <si>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</si>
  <si>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</si>
  <si>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</si>
  <si>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</si>
  <si>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</si>
  <si>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</si>
  <si>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</si>
  <si>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</si>
  <si>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</si>
  <si>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</si>
  <si>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</si>
  <si>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</si>
  <si>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</si>
  <si>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</si>
  <si>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</si>
  <si>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</si>
  <si>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</si>
  <si>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</si>
  <si>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</si>
  <si>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</si>
  <si>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</si>
  <si>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</si>
  <si>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</si>
  <si>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</si>
  <si>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</si>
  <si>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</si>
  <si>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</si>
  <si>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</si>
  <si>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</si>
  <si>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</si>
  <si>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</si>
  <si>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</si>
  <si>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</si>
  <si>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</si>
  <si>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</si>
  <si>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</si>
  <si>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</si>
  <si>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</si>
  <si>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</si>
  <si>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</si>
  <si>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</si>
  <si>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</si>
  <si>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</si>
  <si>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</si>
  <si>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</si>
  <si>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</si>
  <si>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</si>
  <si>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</si>
  <si>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</si>
  <si>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</si>
  <si>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</si>
  <si>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</si>
  <si>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</si>
  <si>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</si>
  <si>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</si>
  <si>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</si>
  <si>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</si>
  <si>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</si>
  <si>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</si>
  <si>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</si>
  <si>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</si>
  <si>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</si>
  <si>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</si>
  <si>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</si>
  <si>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</si>
  <si>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</si>
  <si>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</si>
  <si>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</si>
  <si>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</si>
  <si>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</si>
  <si>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</si>
  <si>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</si>
  <si>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</si>
  <si>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</si>
  <si>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</si>
  <si>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</si>
  <si>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</si>
  <si>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</si>
  <si>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</si>
  <si>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</si>
  <si>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</si>
  <si>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</si>
  <si>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</si>
  <si>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</si>
  <si>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</si>
  <si>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</si>
  <si>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</si>
  <si>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</si>
  <si>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</si>
  <si>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</si>
  <si>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</si>
  <si>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</si>
  <si>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</si>
  <si>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</si>
  <si>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</si>
  <si>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</si>
  <si>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</si>
  <si>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</si>
  <si>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</si>
  <si>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</si>
  <si>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</si>
  <si>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</si>
  <si>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</si>
  <si>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</si>
  <si>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</si>
  <si>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</si>
  <si>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</si>
  <si>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</si>
  <si>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</si>
  <si>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</si>
  <si>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</si>
  <si>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</si>
  <si>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</si>
  <si>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</si>
  <si>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</si>
  <si>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</si>
  <si>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</si>
  <si>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</si>
  <si>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</si>
  <si>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</si>
  <si>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</si>
  <si>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</si>
  <si>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</si>
  <si>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</si>
  <si>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</si>
  <si>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</si>
  <si>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</si>
  <si>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</si>
  <si>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</si>
  <si>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</si>
  <si>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</si>
  <si>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</si>
  <si>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</si>
  <si>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</si>
  <si>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</si>
  <si>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</si>
  <si>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</si>
  <si>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</si>
  <si>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</si>
  <si>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</si>
  <si>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</si>
  <si>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</si>
  <si>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</si>
  <si>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</si>
  <si>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</si>
  <si>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</si>
  <si>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</si>
  <si>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</si>
  <si>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</si>
  <si>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</si>
  <si>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</si>
  <si>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</si>
  <si>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</si>
  <si>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</si>
  <si>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</si>
  <si>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</si>
  <si>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</si>
  <si>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</si>
  <si>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</si>
  <si>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</si>
  <si>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</si>
  <si>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</si>
  <si>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</si>
  <si>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</si>
  <si>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</si>
  <si>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</si>
  <si>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</si>
  <si>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</si>
  <si>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</si>
  <si>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</si>
  <si>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</si>
  <si>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</si>
  <si>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</si>
  <si>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</si>
  <si>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</si>
  <si>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</si>
  <si>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</si>
  <si>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</si>
  <si>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</si>
  <si>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</si>
  <si>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</si>
  <si>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</si>
  <si>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</si>
  <si>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</si>
  <si>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</si>
  <si>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</si>
  <si>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</si>
  <si>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</si>
  <si>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</si>
  <si>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</si>
  <si>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</si>
  <si>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</si>
  <si>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</si>
  <si>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</si>
  <si>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</si>
  <si>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</si>
  <si>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</si>
  <si>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</si>
  <si>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</si>
  <si>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</si>
  <si>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</si>
  <si>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</si>
  <si>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</si>
  <si>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</si>
  <si>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</si>
  <si>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</si>
  <si>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</si>
  <si>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</si>
  <si>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</si>
  <si>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</si>
  <si>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</si>
  <si>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</si>
  <si>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</si>
  <si>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</si>
  <si>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</si>
  <si>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</si>
  <si>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</si>
  <si>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</si>
  <si>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</si>
  <si>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</si>
  <si>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</si>
  <si>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</si>
  <si>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</si>
  <si>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</si>
  <si>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</si>
  <si>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</si>
  <si>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</si>
  <si>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</si>
  <si>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</si>
  <si>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</si>
  <si>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</si>
  <si>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</si>
  <si>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</si>
  <si>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</si>
  <si>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</si>
  <si>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</si>
  <si>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</si>
  <si>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</si>
  <si>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</si>
  <si>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</si>
  <si>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</si>
  <si>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</si>
  <si>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</si>
  <si>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</si>
  <si>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</si>
  <si>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</si>
  <si>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</si>
  <si>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</si>
  <si>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</si>
  <si>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</si>
  <si>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</si>
  <si>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</si>
  <si>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</si>
  <si>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</si>
  <si>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</si>
  <si>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</si>
  <si>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</si>
  <si>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</si>
  <si>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</si>
  <si>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</si>
  <si>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</si>
  <si>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</si>
  <si>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</si>
  <si>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</si>
  <si>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</si>
  <si>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</si>
  <si>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</si>
  <si>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</si>
  <si>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</si>
  <si>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</si>
  <si>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</si>
  <si>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</si>
  <si>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</si>
  <si>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</si>
  <si>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</si>
  <si>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</si>
  <si>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</si>
  <si>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</si>
  <si>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</si>
  <si>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</si>
  <si>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</si>
  <si>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</si>
  <si>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</si>
  <si>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</si>
  <si>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</si>
  <si>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</si>
  <si>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</si>
  <si>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</si>
  <si>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</si>
  <si>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</si>
  <si>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</si>
  <si>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</si>
  <si>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</si>
  <si>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</si>
  <si>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</si>
  <si>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</si>
  <si>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</si>
  <si>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</si>
  <si>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</si>
  <si>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</si>
  <si>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</si>
  <si>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</si>
  <si>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</si>
  <si>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</si>
  <si>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</si>
  <si>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</si>
  <si>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</si>
  <si>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</si>
  <si>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</si>
  <si>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</si>
  <si>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</si>
  <si>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</si>
  <si>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</si>
  <si>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</si>
  <si>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</si>
  <si>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</si>
  <si>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</si>
  <si>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</si>
  <si>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</si>
  <si>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</si>
  <si>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</si>
  <si>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</si>
  <si>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</si>
  <si>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</si>
  <si>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</si>
  <si>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</si>
  <si>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</si>
  <si>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</si>
  <si>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</si>
  <si>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</si>
  <si>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</si>
  <si>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</si>
  <si>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</si>
  <si>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</si>
  <si>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</si>
  <si>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</si>
  <si>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</si>
  <si>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</si>
  <si>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</si>
  <si>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</si>
  <si>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</si>
  <si>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</si>
  <si>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</si>
  <si>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</si>
  <si>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</si>
  <si>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</si>
  <si>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</si>
  <si>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</si>
  <si>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</si>
  <si>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</si>
  <si>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</si>
  <si>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</si>
  <si>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</si>
  <si>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</si>
  <si>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</si>
  <si>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</si>
  <si>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</si>
  <si>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</si>
  <si>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</si>
  <si>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</si>
  <si>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</si>
  <si>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</si>
  <si>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</si>
  <si>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</si>
  <si>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</si>
  <si>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</si>
  <si>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</si>
  <si>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</si>
  <si>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</si>
  <si>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</si>
  <si>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</si>
  <si>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</si>
  <si>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</si>
  <si>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</si>
  <si>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</si>
  <si>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</si>
  <si>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</si>
  <si>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</si>
  <si>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</si>
  <si>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</si>
  <si>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</si>
  <si>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</si>
  <si>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</si>
  <si>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</si>
  <si>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</si>
  <si>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</si>
  <si>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</si>
  <si>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</si>
  <si>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</si>
  <si>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</si>
  <si>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</si>
  <si>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</si>
  <si>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</si>
  <si>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</si>
  <si>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</si>
  <si>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</si>
  <si>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</si>
  <si>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</si>
  <si>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</si>
  <si>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</si>
  <si>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</si>
  <si>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</si>
  <si>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</si>
  <si>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</si>
  <si>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</si>
  <si>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</si>
  <si>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</si>
  <si>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</si>
  <si>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</si>
  <si>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</si>
  <si>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</si>
  <si>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</si>
  <si>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</si>
  <si>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</si>
  <si>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</si>
  <si>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</si>
  <si>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</si>
  <si>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</si>
  <si>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</si>
  <si>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</si>
  <si>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</si>
  <si>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</si>
  <si>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</si>
  <si>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</si>
  <si>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</si>
  <si>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</si>
  <si>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</si>
  <si>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</si>
  <si>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</si>
  <si>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</si>
  <si>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</si>
  <si>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</si>
  <si>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</si>
  <si>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</si>
  <si>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</si>
  <si>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</si>
  <si>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</si>
  <si>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</si>
  <si>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</si>
  <si>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</si>
  <si>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</si>
  <si>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</si>
  <si>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</si>
  <si>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</si>
  <si>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</si>
  <si>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</si>
  <si>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</si>
  <si>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</si>
  <si>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</si>
  <si>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</si>
  <si>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</si>
  <si>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</si>
  <si>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</si>
  <si>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</si>
  <si>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</si>
  <si>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</si>
  <si>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</si>
  <si>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</si>
  <si>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</si>
  <si>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</si>
  <si>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</si>
  <si>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</si>
  <si>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</si>
  <si>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</si>
  <si>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</si>
  <si>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</si>
  <si>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</si>
  <si>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</si>
  <si>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</si>
  <si>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</si>
  <si>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</si>
  <si>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</si>
  <si>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</si>
  <si>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</si>
  <si>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</si>
  <si>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</si>
  <si>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</si>
  <si>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</si>
  <si>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</si>
  <si>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</si>
  <si>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</si>
  <si>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</si>
  <si>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</si>
  <si>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</si>
  <si>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</si>
  <si>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</si>
  <si>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</si>
  <si>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</si>
  <si>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</si>
  <si>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</si>
  <si>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</si>
  <si>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</si>
  <si>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</si>
  <si>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</si>
  <si>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</si>
  <si>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</si>
  <si>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</si>
  <si>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</si>
  <si>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</si>
  <si>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</si>
  <si>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</si>
  <si>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</si>
  <si>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</si>
  <si>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</si>
  <si>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</si>
  <si>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</si>
  <si>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</si>
  <si>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</si>
  <si>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</si>
  <si>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</si>
  <si>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</si>
  <si>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</si>
  <si>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</si>
  <si>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</si>
  <si>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</si>
  <si>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</si>
  <si>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</si>
  <si>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</si>
  <si>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</si>
  <si>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</si>
  <si>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</si>
  <si>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</si>
  <si>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</si>
  <si>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</si>
  <si>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</si>
  <si>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</si>
  <si>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</si>
  <si>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</si>
  <si>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</si>
  <si>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</si>
  <si>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</si>
  <si>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</si>
  <si>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</si>
  <si>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</si>
  <si>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</si>
  <si>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</si>
  <si>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</si>
  <si>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</si>
  <si>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</si>
  <si>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</si>
  <si>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</si>
  <si>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</si>
  <si>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</si>
  <si>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</si>
  <si>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</si>
  <si>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</si>
  <si>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</si>
  <si>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</si>
  <si>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</si>
  <si>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</si>
  <si>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</si>
  <si>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</si>
  <si>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</si>
  <si>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</si>
  <si>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</si>
  <si>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</si>
  <si>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</si>
  <si>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</si>
  <si>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</si>
  <si>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</si>
  <si>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</si>
  <si>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</si>
  <si>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</si>
  <si>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</si>
  <si>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</si>
  <si>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</si>
  <si>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</si>
  <si>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</si>
  <si>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</si>
  <si>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</si>
  <si>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</si>
  <si>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</si>
  <si>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</si>
  <si>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</si>
  <si>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</si>
  <si>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</si>
  <si>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</si>
  <si>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</si>
  <si>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</si>
  <si>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</si>
  <si>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</si>
  <si>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</si>
  <si>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</si>
  <si>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</si>
  <si>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</si>
  <si>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</si>
  <si>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</si>
  <si>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</si>
  <si>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</si>
  <si>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</si>
  <si>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</si>
  <si>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</si>
  <si>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</si>
  <si>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</si>
  <si>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</si>
  <si>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</si>
  <si>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</si>
  <si>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</si>
  <si>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</si>
  <si>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</si>
  <si>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</si>
  <si>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</si>
  <si>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</si>
  <si>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</si>
  <si>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</si>
  <si>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</si>
  <si>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</si>
  <si>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</si>
  <si>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</si>
  <si>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</si>
  <si>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</si>
  <si>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</si>
  <si>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</si>
  <si>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</si>
  <si>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</si>
  <si>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</si>
  <si>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</si>
  <si>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</si>
  <si>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</si>
  <si>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</si>
  <si>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</si>
  <si>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</si>
  <si>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</si>
  <si>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</si>
  <si>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</si>
  <si>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</si>
  <si>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</si>
  <si>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</si>
  <si>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</si>
  <si>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</si>
  <si>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</si>
  <si>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</si>
  <si>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</si>
  <si>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</si>
  <si>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</si>
  <si>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</si>
  <si>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</si>
  <si>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</si>
  <si>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</si>
  <si>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</si>
  <si>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</si>
  <si>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</si>
  <si>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</si>
  <si>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</si>
  <si>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</si>
  <si>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</si>
  <si>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</si>
  <si>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</si>
  <si>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</si>
  <si>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</si>
  <si>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</si>
  <si>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</si>
  <si>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</si>
  <si>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</si>
  <si>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</si>
  <si>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</si>
  <si>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</si>
  <si>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</si>
  <si>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</si>
  <si>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</si>
  <si>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</si>
  <si>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</si>
  <si>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</si>
  <si>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</si>
  <si>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</si>
  <si>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</si>
  <si>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</si>
  <si>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</si>
  <si>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</si>
  <si>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</si>
  <si>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</si>
  <si>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</si>
  <si>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</si>
  <si>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</si>
  <si>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</si>
  <si>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</si>
  <si>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</si>
  <si>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</si>
  <si>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</si>
  <si>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</si>
  <si>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</si>
  <si>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</si>
  <si>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</si>
  <si>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</si>
  <si>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</si>
  <si>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</si>
  <si>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</si>
  <si>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</si>
  <si>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</si>
  <si>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</si>
  <si>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</si>
  <si>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</si>
  <si>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</si>
  <si>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</si>
  <si>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</si>
  <si>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</si>
  <si>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</si>
  <si>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</si>
  <si>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</si>
  <si>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</si>
  <si>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</si>
  <si>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</si>
  <si>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</si>
  <si>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</si>
  <si>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</si>
  <si>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</si>
  <si>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</si>
  <si>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</si>
  <si>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</si>
  <si>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</si>
  <si>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</si>
  <si>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</si>
  <si>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</si>
  <si>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</si>
  <si>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</si>
  <si>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</si>
  <si>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</si>
  <si>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</si>
  <si>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</si>
  <si>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</si>
  <si>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</si>
  <si>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</si>
  <si>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</si>
  <si>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</si>
  <si>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</si>
  <si>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</si>
  <si>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</si>
  <si>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</si>
  <si>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</si>
  <si>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</si>
  <si>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</si>
  <si>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</si>
  <si>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</si>
  <si>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</si>
  <si>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</si>
  <si>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</si>
  <si>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</si>
  <si>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</si>
  <si>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</si>
  <si>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</si>
  <si>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</si>
  <si>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</si>
  <si>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</si>
  <si>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</si>
  <si>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</si>
  <si>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</si>
  <si>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</si>
  <si>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</si>
  <si>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</si>
  <si>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</si>
  <si>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</si>
  <si>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</si>
  <si>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</si>
  <si>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</si>
  <si>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</si>
  <si>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</si>
  <si>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</si>
  <si>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</si>
  <si>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</si>
  <si>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</si>
  <si>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</si>
  <si>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</si>
  <si>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</si>
  <si>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</si>
  <si>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</si>
  <si>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</si>
  <si>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</si>
  <si>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</si>
  <si>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</si>
  <si>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</si>
  <si>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</si>
  <si>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</si>
  <si>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</si>
  <si>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</si>
  <si>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</si>
  <si>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</si>
  <si>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</si>
  <si>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</si>
  <si>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</si>
  <si>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</si>
  <si>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</si>
  <si>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</si>
  <si>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</si>
  <si>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</si>
  <si>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</si>
  <si>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</si>
  <si>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</si>
  <si>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</si>
  <si>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</si>
  <si>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</si>
  <si>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</si>
  <si>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</si>
  <si>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</si>
  <si>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</si>
  <si>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</si>
  <si>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</si>
  <si>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</si>
  <si>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</si>
  <si>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</si>
  <si>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</si>
  <si>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</si>
  <si>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</si>
  <si>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</si>
  <si>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</si>
  <si>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</si>
  <si>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</si>
  <si>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</si>
  <si>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</si>
  <si>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</si>
  <si>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</si>
  <si>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</si>
  <si>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</si>
  <si>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</si>
  <si>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</si>
  <si>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</si>
  <si>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</si>
  <si>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</si>
  <si>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</si>
  <si>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</si>
  <si>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</si>
  <si>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</si>
  <si>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</si>
  <si>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</si>
  <si>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</si>
  <si>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</si>
  <si>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</si>
  <si>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</si>
  <si>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</si>
  <si>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</si>
  <si>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</si>
  <si>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</si>
  <si>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</si>
  <si>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</si>
  <si>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</si>
  <si>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</si>
  <si>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</si>
  <si>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</si>
  <si>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</si>
  <si>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</si>
  <si>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</si>
  <si>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</si>
  <si>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</si>
  <si>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</si>
  <si>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</si>
  <si>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</si>
  <si>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</si>
  <si>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</si>
  <si>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</si>
  <si>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</si>
  <si>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</si>
  <si>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</si>
  <si>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</si>
  <si>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</si>
  <si>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</si>
  <si>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</si>
  <si>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</si>
  <si>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</si>
  <si>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</si>
  <si>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</si>
  <si>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</si>
  <si>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</si>
  <si>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</si>
  <si>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</si>
  <si>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</si>
  <si>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</si>
  <si>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</si>
  <si>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</si>
  <si>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</si>
  <si>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</si>
  <si>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</si>
  <si>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</si>
  <si>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</si>
  <si>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</si>
  <si>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</si>
  <si>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</si>
  <si>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</si>
  <si>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</si>
  <si>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</si>
  <si>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</si>
  <si>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</si>
  <si>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</si>
  <si>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</si>
  <si>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</si>
  <si>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</si>
  <si>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</si>
  <si>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</si>
  <si>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</si>
  <si>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</si>
  <si>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</si>
  <si>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</si>
  <si>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</si>
  <si>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</si>
  <si>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</si>
  <si>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</si>
  <si>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</si>
  <si>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</si>
  <si>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</si>
  <si>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</si>
  <si>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</si>
  <si>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</si>
  <si>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</si>
  <si>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</si>
  <si>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</si>
  <si>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</si>
  <si>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</si>
  <si>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</si>
  <si>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</si>
  <si>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</si>
  <si>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</si>
  <si>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</si>
  <si>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</si>
  <si>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</si>
  <si>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</si>
  <si>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</si>
  <si>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</si>
  <si>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</si>
  <si>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</si>
  <si>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</si>
  <si>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</si>
  <si>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</si>
  <si>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</si>
  <si>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</si>
  <si>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</si>
  <si>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</si>
  <si>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</si>
  <si>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</si>
  <si>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</si>
  <si>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</si>
  <si>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</si>
  <si>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</si>
  <si>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</si>
  <si>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</si>
  <si>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</si>
  <si>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</si>
  <si>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</si>
  <si>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</si>
  <si>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</si>
  <si>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</si>
  <si>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</si>
  <si>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</si>
  <si>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</si>
  <si>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</si>
  <si>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</si>
  <si>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</si>
  <si>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</si>
  <si>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</si>
  <si>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</si>
  <si>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</si>
  <si>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</si>
  <si>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</si>
  <si>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</si>
  <si>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</si>
  <si>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</si>
  <si>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Product category</t>
  </si>
  <si>
    <t>Concatenate</t>
  </si>
  <si>
    <t>Sum of Total Sales</t>
  </si>
  <si>
    <t>Grand Total</t>
  </si>
  <si>
    <t>Adult</t>
  </si>
  <si>
    <t>Adult Total</t>
  </si>
  <si>
    <t>Senior</t>
  </si>
  <si>
    <t>Senior Total</t>
  </si>
  <si>
    <t>Young Adult</t>
  </si>
  <si>
    <t>Young Adult Total</t>
  </si>
  <si>
    <t>Student name</t>
  </si>
  <si>
    <t>English</t>
  </si>
  <si>
    <t>Mathematics</t>
  </si>
  <si>
    <t>Science</t>
  </si>
  <si>
    <t xml:space="preserve">Average </t>
  </si>
  <si>
    <t>Highest Score Across Subjects</t>
  </si>
  <si>
    <t>Linda</t>
  </si>
  <si>
    <t>Ted</t>
  </si>
  <si>
    <t>Carol</t>
  </si>
  <si>
    <t>Harry</t>
  </si>
  <si>
    <t>Khan</t>
  </si>
  <si>
    <t>Sarah</t>
  </si>
  <si>
    <t>John</t>
  </si>
  <si>
    <t>Edward</t>
  </si>
  <si>
    <t>Mary</t>
  </si>
  <si>
    <t>Thomas</t>
  </si>
  <si>
    <t xml:space="preserve"> Total commission for 2023</t>
  </si>
  <si>
    <t xml:space="preserve"> Total commission for 2024</t>
  </si>
  <si>
    <t xml:space="preserve"> Total commission for 2023 &amp; 2024</t>
  </si>
  <si>
    <t>Average commission for 2023</t>
  </si>
  <si>
    <t>Average commission for 2024</t>
  </si>
  <si>
    <t>Age  category</t>
  </si>
  <si>
    <t>Commission 2025</t>
  </si>
  <si>
    <t>Tuesday</t>
  </si>
  <si>
    <t>January</t>
  </si>
  <si>
    <t>2023</t>
  </si>
  <si>
    <t>December</t>
  </si>
  <si>
    <t>Sunday</t>
  </si>
  <si>
    <t>October</t>
  </si>
  <si>
    <t>Wednesday</t>
  </si>
  <si>
    <t>March</t>
  </si>
  <si>
    <t>Monday</t>
  </si>
  <si>
    <t>November</t>
  </si>
  <si>
    <t>June</t>
  </si>
  <si>
    <t>Friday</t>
  </si>
  <si>
    <t>September</t>
  </si>
  <si>
    <t>Thursday</t>
  </si>
  <si>
    <t>February</t>
  </si>
  <si>
    <t>August</t>
  </si>
  <si>
    <t>Saturday</t>
  </si>
  <si>
    <t>May</t>
  </si>
  <si>
    <t>April</t>
  </si>
  <si>
    <t>July</t>
  </si>
  <si>
    <t>2024</t>
  </si>
  <si>
    <t>Row Labels</t>
  </si>
  <si>
    <t>Column Labels</t>
  </si>
  <si>
    <t>Age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</si>
</sst>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General;;&quot;&quot;;@"/>
    <numFmt numFmtId="165" formatCode="_-[$£-809]* #,##0.00_-;\-[$£-809]* #,##0.00_-;_-[$£-809]* &quot;-&quot;??_-;_-@_-"/>
    <numFmt numFmtId="166" formatCode="_-[$£-809]* #,##0_-;\-[$£-809]* #,##0_-;_-[$£-809]* &quot;-&quot;??_-;_-@_-"/>
    <numFmt numFmtId="167" formatCode="0.0"/>
    <numFmt numFmtId="173" formatCode="&quot;£&quot;#,##0"/>
  </numFmts>
  <fonts count="25"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
      <sz val="11"/>
      <name val="Calibri"/>
      <family val="2"/>
      <scheme val="minor"/>
    </font>
    <font>
      <sz val="10"/>
      <name val="Arial"/>
      <family val="2"/>
    </font>
    <font>
      <b/>
      <sz val="11"/>
      <name val="Calibri"/>
      <family val="2"/>
      <scheme val="minor"/>
    </font>
    <font>
      <b/>
      <sz val="12"/>
      <color rgb="FF000000"/>
      <name val="Calibri"/>
      <charset val="1"/>
    </font>
    <font>
      <b/>
      <sz val="14"/>
      <color theme="1"/>
      <name val="Calibri"/>
      <family val="2"/>
      <scheme val="minor"/>
    </font>
    <font>
      <u/>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bgColor indexed="64"/>
      </patternFill>
    </fill>
    <fill>
      <patternFill patternType="solid">
        <fgColor theme="2"/>
        <bgColor indexed="64"/>
      </patternFill>
    </fill>
  </fills>
  <borders count="4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theme="4" tint="0.39997558519241921"/>
      </left>
      <right/>
      <top/>
      <bottom/>
      <diagonal/>
    </border>
    <border>
      <left/>
      <right style="thin">
        <color theme="4" tint="0.3999755851924192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0">
    <xf numFmtId="0" fontId="0" fillId="0" borderId="0" xfId="0"/>
    <xf numFmtId="0" fontId="16" fillId="0" borderId="0" xfId="0" applyFont="1"/>
    <xf numFmtId="0" fontId="0" fillId="0" borderId="13" xfId="0" applyBorder="1"/>
    <xf numFmtId="14" fontId="0" fillId="0" borderId="14" xfId="0" applyNumberFormat="1" applyBorder="1"/>
    <xf numFmtId="0" fontId="0" fillId="0" borderId="14" xfId="0" applyBorder="1"/>
    <xf numFmtId="0" fontId="0" fillId="0" borderId="15" xfId="0" applyBorder="1"/>
    <xf numFmtId="0" fontId="0" fillId="0" borderId="10" xfId="0" applyBorder="1"/>
    <xf numFmtId="14" fontId="0" fillId="0" borderId="11" xfId="0" applyNumberFormat="1" applyBorder="1"/>
    <xf numFmtId="0" fontId="0" fillId="0" borderId="11" xfId="0" applyBorder="1"/>
    <xf numFmtId="0" fontId="0" fillId="0" borderId="12" xfId="0" applyBorder="1"/>
    <xf numFmtId="0" fontId="19" fillId="0" borderId="16" xfId="0" applyFont="1" applyBorder="1"/>
    <xf numFmtId="164" fontId="20" fillId="0" borderId="16" xfId="0" applyNumberFormat="1" applyFont="1" applyBorder="1" applyAlignment="1">
      <alignment horizontal="left"/>
    </xf>
    <xf numFmtId="9" fontId="0" fillId="0" borderId="0" xfId="0" applyNumberFormat="1"/>
    <xf numFmtId="10" fontId="0" fillId="0" borderId="0" xfId="0" applyNumberFormat="1"/>
    <xf numFmtId="165" fontId="0" fillId="0" borderId="0" xfId="0" applyNumberFormat="1"/>
    <xf numFmtId="0" fontId="0" fillId="0" borderId="0" xfId="0" applyAlignment="1">
      <alignment wrapText="1"/>
    </xf>
    <xf numFmtId="0" fontId="0" fillId="0" borderId="0" xfId="0" pivotButton="1"/>
    <xf numFmtId="166" fontId="0" fillId="0" borderId="0" xfId="0" applyNumberFormat="1"/>
    <xf numFmtId="14" fontId="0" fillId="0" borderId="0" xfId="0" applyNumberFormat="1"/>
    <xf numFmtId="0" fontId="16" fillId="0" borderId="16" xfId="0" applyFont="1" applyBorder="1"/>
    <xf numFmtId="0" fontId="0" fillId="0" borderId="16" xfId="0" applyBorder="1"/>
    <xf numFmtId="167" fontId="19" fillId="0" borderId="16" xfId="0" applyNumberFormat="1" applyFont="1" applyBorder="1"/>
    <xf numFmtId="0" fontId="21" fillId="0" borderId="16" xfId="0" applyFont="1" applyBorder="1" applyAlignment="1">
      <alignment horizontal="center" vertical="center"/>
    </xf>
    <xf numFmtId="0" fontId="21" fillId="0" borderId="16" xfId="0" applyFont="1" applyBorder="1"/>
    <xf numFmtId="165" fontId="16" fillId="0" borderId="16" xfId="0" applyNumberFormat="1" applyFont="1" applyBorder="1"/>
    <xf numFmtId="165" fontId="0" fillId="0" borderId="16" xfId="0" applyNumberFormat="1" applyBorder="1"/>
    <xf numFmtId="0" fontId="23" fillId="0" borderId="0" xfId="0" applyFont="1"/>
    <xf numFmtId="0" fontId="16" fillId="0" borderId="25" xfId="0" applyFont="1" applyBorder="1"/>
    <xf numFmtId="0" fontId="0" fillId="0" borderId="25" xfId="0" applyBorder="1"/>
    <xf numFmtId="0" fontId="0" fillId="0" borderId="26" xfId="0" applyBorder="1"/>
    <xf numFmtId="0" fontId="0" fillId="0" borderId="0" xfId="0" applyBorder="1"/>
    <xf numFmtId="14" fontId="0" fillId="0" borderId="0" xfId="0" applyNumberFormat="1" applyBorder="1"/>
    <xf numFmtId="0" fontId="0" fillId="0" borderId="27" xfId="0" applyBorder="1"/>
    <xf numFmtId="0" fontId="18" fillId="0" borderId="25" xfId="0" applyFont="1" applyBorder="1"/>
    <xf numFmtId="0" fontId="16" fillId="0" borderId="25" xfId="0" applyFont="1" applyBorder="1" applyAlignment="1">
      <alignment horizontal="left"/>
    </xf>
    <xf numFmtId="0" fontId="0" fillId="0" borderId="25" xfId="0" applyBorder="1" applyAlignment="1">
      <alignment horizontal="left"/>
    </xf>
    <xf numFmtId="10" fontId="0" fillId="0" borderId="25" xfId="0" applyNumberFormat="1" applyBorder="1" applyAlignment="1">
      <alignment horizontal="left"/>
    </xf>
    <xf numFmtId="9" fontId="0" fillId="0" borderId="25" xfId="0" applyNumberFormat="1" applyBorder="1" applyAlignment="1">
      <alignment horizontal="left"/>
    </xf>
    <xf numFmtId="165" fontId="16" fillId="33" borderId="25" xfId="0" applyNumberFormat="1" applyFont="1" applyFill="1" applyBorder="1"/>
    <xf numFmtId="0" fontId="0" fillId="0" borderId="0" xfId="0" applyAlignment="1">
      <alignment horizontal="left"/>
    </xf>
    <xf numFmtId="0" fontId="16" fillId="0" borderId="28" xfId="0" applyFont="1" applyBorder="1" applyAlignment="1">
      <alignment horizontal="left"/>
    </xf>
    <xf numFmtId="0" fontId="16" fillId="0" borderId="29" xfId="0" applyFont="1" applyBorder="1" applyAlignment="1">
      <alignment horizontal="left"/>
    </xf>
    <xf numFmtId="165" fontId="0" fillId="0" borderId="25" xfId="0" applyNumberFormat="1" applyBorder="1" applyAlignment="1">
      <alignment horizontal="left"/>
    </xf>
    <xf numFmtId="0" fontId="0" fillId="0" borderId="25" xfId="0" pivotButton="1" applyBorder="1"/>
    <xf numFmtId="9" fontId="0" fillId="0" borderId="25" xfId="0" applyNumberFormat="1" applyBorder="1"/>
    <xf numFmtId="0" fontId="0" fillId="0" borderId="0" xfId="0" pivotButton="1" applyAlignment="1">
      <alignment horizontal="left"/>
    </xf>
    <xf numFmtId="173" fontId="0" fillId="0" borderId="0" xfId="0" applyNumberFormat="1"/>
    <xf numFmtId="9" fontId="0" fillId="0" borderId="33" xfId="0" applyNumberFormat="1" applyBorder="1" applyAlignment="1">
      <alignment horizontal="left"/>
    </xf>
    <xf numFmtId="9" fontId="0" fillId="0" borderId="0" xfId="0" applyNumberFormat="1" applyBorder="1" applyAlignment="1">
      <alignment horizontal="left"/>
    </xf>
    <xf numFmtId="9" fontId="0" fillId="0" borderId="35" xfId="0" applyNumberFormat="1" applyBorder="1" applyAlignment="1">
      <alignment horizontal="left"/>
    </xf>
    <xf numFmtId="9" fontId="0" fillId="0" borderId="34" xfId="0" applyNumberFormat="1" applyBorder="1" applyAlignment="1">
      <alignment horizontal="left"/>
    </xf>
    <xf numFmtId="9" fontId="0" fillId="0" borderId="36" xfId="0" applyNumberFormat="1" applyBorder="1" applyAlignment="1">
      <alignment horizontal="left"/>
    </xf>
    <xf numFmtId="9" fontId="0" fillId="0" borderId="37" xfId="0" applyNumberFormat="1" applyBorder="1" applyAlignment="1">
      <alignment horizontal="left"/>
    </xf>
    <xf numFmtId="9" fontId="0" fillId="0" borderId="38" xfId="0" applyNumberFormat="1" applyBorder="1" applyAlignment="1">
      <alignment horizontal="left"/>
    </xf>
    <xf numFmtId="9" fontId="0" fillId="0" borderId="31" xfId="0" applyNumberFormat="1" applyBorder="1" applyAlignment="1">
      <alignment horizontal="left"/>
    </xf>
    <xf numFmtId="9" fontId="0" fillId="0" borderId="32" xfId="0" applyNumberFormat="1" applyBorder="1" applyAlignment="1">
      <alignment horizontal="left"/>
    </xf>
    <xf numFmtId="9" fontId="0" fillId="0" borderId="39" xfId="0" applyNumberFormat="1" applyBorder="1" applyAlignment="1">
      <alignment horizontal="left"/>
    </xf>
    <xf numFmtId="9" fontId="0" fillId="0" borderId="40" xfId="0" applyNumberFormat="1" applyBorder="1" applyAlignment="1">
      <alignment horizontal="left"/>
    </xf>
    <xf numFmtId="9" fontId="0" fillId="0" borderId="30" xfId="0" pivotButton="1" applyNumberFormat="1" applyBorder="1" applyAlignment="1">
      <alignment horizontal="left"/>
    </xf>
    <xf numFmtId="9" fontId="0" fillId="0" borderId="30" xfId="0" applyNumberFormat="1" applyBorder="1" applyAlignment="1">
      <alignment horizontal="left"/>
    </xf>
    <xf numFmtId="9" fontId="14" fillId="0" borderId="41" xfId="0" applyNumberFormat="1" applyFont="1" applyBorder="1" applyAlignment="1">
      <alignment horizontal="left"/>
    </xf>
    <xf numFmtId="9" fontId="14" fillId="0" borderId="42" xfId="0" applyNumberFormat="1" applyFont="1" applyBorder="1" applyAlignment="1">
      <alignment horizontal="left"/>
    </xf>
    <xf numFmtId="9" fontId="0" fillId="0" borderId="41" xfId="0" applyNumberFormat="1" applyBorder="1" applyAlignment="1">
      <alignment horizontal="left"/>
    </xf>
    <xf numFmtId="9" fontId="0" fillId="0" borderId="42" xfId="0" applyNumberFormat="1" applyBorder="1" applyAlignment="1">
      <alignment horizontal="left"/>
    </xf>
    <xf numFmtId="9" fontId="0" fillId="0" borderId="43" xfId="0" applyNumberFormat="1" applyBorder="1" applyAlignment="1">
      <alignment horizontal="left"/>
    </xf>
    <xf numFmtId="9" fontId="14" fillId="0" borderId="43" xfId="0" applyNumberFormat="1" applyFont="1" applyBorder="1" applyAlignment="1">
      <alignment horizontal="left"/>
    </xf>
    <xf numFmtId="0" fontId="16" fillId="34" borderId="25" xfId="0" applyFont="1" applyFill="1" applyBorder="1"/>
    <xf numFmtId="0" fontId="16" fillId="35" borderId="17" xfId="0" applyFont="1" applyFill="1" applyBorder="1"/>
    <xf numFmtId="0" fontId="16" fillId="35" borderId="18" xfId="0" applyFont="1" applyFill="1" applyBorder="1"/>
    <xf numFmtId="173" fontId="0" fillId="35" borderId="19" xfId="0" applyNumberFormat="1" applyFill="1" applyBorder="1"/>
    <xf numFmtId="0" fontId="16" fillId="35" borderId="20" xfId="0" applyFont="1" applyFill="1" applyBorder="1"/>
    <xf numFmtId="0" fontId="16" fillId="35" borderId="0" xfId="0" applyFont="1" applyFill="1"/>
    <xf numFmtId="173" fontId="0" fillId="35" borderId="21" xfId="0" applyNumberFormat="1" applyFill="1" applyBorder="1"/>
    <xf numFmtId="0" fontId="22" fillId="35" borderId="20" xfId="0" applyFont="1" applyFill="1" applyBorder="1"/>
    <xf numFmtId="0" fontId="16" fillId="35" borderId="22" xfId="0" applyFont="1" applyFill="1" applyBorder="1"/>
    <xf numFmtId="0" fontId="16" fillId="35" borderId="23" xfId="0" applyFont="1" applyFill="1" applyBorder="1"/>
    <xf numFmtId="173" fontId="0" fillId="35" borderId="24" xfId="0" applyNumberFormat="1" applyFill="1" applyBorder="1"/>
    <xf numFmtId="0" fontId="0" fillId="0" borderId="0" xfId="0" applyNumberFormat="1"/>
    <xf numFmtId="0" fontId="14" fillId="0" borderId="0" xfId="0" applyFont="1"/>
    <xf numFmtId="0" fontId="2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7">
    <dxf>
      <font>
        <color rgb="FFFF0000"/>
      </font>
    </dxf>
    <dxf>
      <font>
        <color rgb="FFFF0000"/>
      </font>
    </dxf>
    <dxf>
      <font>
        <color rgb="FFFF0000"/>
      </font>
    </dxf>
    <dxf>
      <font>
        <u/>
      </font>
    </dxf>
    <dxf>
      <font>
        <color rgb="FFFF0000"/>
      </font>
    </dxf>
    <dxf>
      <font>
        <color rgb="FFFF0000"/>
      </font>
    </dxf>
    <dxf>
      <font>
        <color rgb="FFFF0000"/>
      </font>
    </dxf>
    <dxf>
      <font>
        <u/>
      </font>
    </dxf>
    <dxf>
      <font>
        <color rgb="FFFF0000"/>
      </font>
    </dxf>
    <dxf>
      <font>
        <color rgb="FFFF0000"/>
      </font>
    </dxf>
    <dxf>
      <font>
        <color rgb="FFFF0000"/>
      </font>
    </dxf>
    <dxf>
      <font>
        <u/>
      </font>
    </dxf>
    <dxf>
      <font>
        <color rgb="FFFF0000"/>
      </font>
    </dxf>
    <dxf>
      <font>
        <color rgb="FFFF0000"/>
      </font>
    </dxf>
    <dxf>
      <font>
        <color rgb="FFFF0000"/>
      </font>
    </dxf>
    <dxf>
      <font>
        <u/>
      </font>
    </dxf>
    <dxf>
      <font>
        <color rgb="FFFF0000"/>
      </font>
    </dxf>
    <dxf>
      <font>
        <color rgb="FFFF0000"/>
      </font>
    </dxf>
    <dxf>
      <font>
        <color rgb="FFFF0000"/>
      </font>
    </dxf>
    <dxf>
      <font>
        <u/>
      </font>
    </dxf>
    <dxf>
      <font>
        <color rgb="FFFF0000"/>
      </font>
    </dxf>
    <dxf>
      <font>
        <color rgb="FFFF0000"/>
      </font>
    </dxf>
    <dxf>
      <font>
        <color rgb="FFFF0000"/>
      </font>
    </dxf>
    <dxf>
      <font>
        <u/>
      </font>
    </dxf>
    <dxf>
      <font>
        <color rgb="FFFF0000"/>
      </font>
    </dxf>
    <dxf>
      <font>
        <color rgb="FFFF0000"/>
      </font>
    </dxf>
    <dxf>
      <font>
        <color rgb="FFFF0000"/>
      </font>
    </dxf>
    <dxf>
      <font>
        <u/>
      </font>
    </dxf>
    <dxf>
      <font>
        <color rgb="FFFF0000"/>
      </font>
    </dxf>
    <dxf>
      <font>
        <color rgb="FFFF0000"/>
      </font>
    </dxf>
    <dxf>
      <font>
        <color rgb="FFFF0000"/>
      </font>
    </dxf>
    <dxf>
      <font>
        <u/>
      </font>
    </dxf>
    <dxf>
      <font>
        <color rgb="FFFF0000"/>
      </font>
    </dxf>
    <dxf>
      <font>
        <color rgb="FFFF0000"/>
      </font>
    </dxf>
    <dxf>
      <font>
        <color rgb="FFFF0000"/>
      </font>
    </dxf>
    <dxf>
      <font>
        <u/>
      </font>
    </dxf>
    <dxf>
      <font>
        <color rgb="FFFF0000"/>
      </font>
    </dxf>
    <dxf>
      <font>
        <color rgb="FFFF0000"/>
      </font>
    </dxf>
    <dxf>
      <font>
        <color rgb="FFFF0000"/>
      </font>
    </dxf>
    <dxf>
      <font>
        <u/>
      </font>
    </dxf>
    <dxf>
      <font>
        <color rgb="FF9C5700"/>
      </font>
      <fill>
        <patternFill>
          <bgColor rgb="FFFFEB9C"/>
        </patternFill>
      </fill>
    </dxf>
    <dxf>
      <font>
        <color rgb="FF9C0006"/>
      </font>
      <fill>
        <patternFill>
          <bgColor rgb="FFFFC7CE"/>
        </patternFill>
      </fil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FF0000"/>
      </font>
    </dxf>
    <dxf>
      <font>
        <color rgb="FFFF0000"/>
      </font>
    </dxf>
    <dxf>
      <font>
        <color rgb="FFFF000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FF0000"/>
      </font>
    </dxf>
    <dxf>
      <font>
        <color rgb="FFFF0000"/>
      </font>
    </dxf>
    <dxf>
      <font>
        <color rgb="FFFF000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FF0000"/>
      </font>
    </dxf>
    <dxf>
      <font>
        <color rgb="FFFF0000"/>
      </font>
    </dxf>
    <dxf>
      <font>
        <color rgb="FFFF000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FF0000"/>
      </font>
    </dxf>
    <dxf>
      <font>
        <color rgb="FFFF0000"/>
      </font>
    </dxf>
    <dxf>
      <font>
        <color rgb="FFFF000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FF0000"/>
      </font>
    </dxf>
    <dxf>
      <font>
        <color rgb="FFFF0000"/>
      </font>
    </dxf>
    <dxf>
      <font>
        <color rgb="FFFF000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FF0000"/>
      </font>
    </dxf>
    <dxf>
      <font>
        <color rgb="FFFF0000"/>
      </font>
    </dxf>
    <dxf>
      <font>
        <color rgb="FFFF000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color rgb="FFFF0000"/>
      </font>
    </dxf>
    <dxf>
      <font>
        <color rgb="FFFF0000"/>
      </font>
    </dxf>
    <dxf>
      <font>
        <color rgb="FFFF000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dxf>
    <dxf>
      <numFmt numFmtId="19" formatCode="dd/mm/yyyy"/>
    </dxf>
    <dxf>
      <numFmt numFmtId="13" formatCode="0%"/>
    </dxf>
    <dxf>
      <numFmt numFmtId="13" formatCode="0%"/>
    </dxf>
    <dxf>
      <numFmt numFmtId="166" formatCode="_-[$£-809]* #,##0_-;\-[$£-809]* #,##0_-;_-[$£-8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4.xml"/><Relationship Id="rId39" Type="http://schemas.openxmlformats.org/officeDocument/2006/relationships/customXml" Target="../customXml/item17.xml"/><Relationship Id="rId21" Type="http://schemas.microsoft.com/office/2017/10/relationships/person" Target="persons/person.xml"/><Relationship Id="rId34"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2.xml"/><Relationship Id="rId19" Type="http://schemas.openxmlformats.org/officeDocument/2006/relationships/sheetMetadata" Target="metadata.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[retail_sales_dataset_Project_1.xlsx]Visualization!PivotTable1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 Sales By Gender &amp; Category</a:t>
            </a:r>
          </a:p>
        </c:rich>
      </c:tx>
      <c:layout>
        <c:manualLayout>
          <c:xMode val="edge"/>
          <c:yMode val="edge"/>
          <c:x val="0.27508340179634638"/>
          <c:y val="4.3178239083750902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Visualization!$B$11:$B$12</c:f>
              <c:strCache>
                <c:ptCount val="1"/>
                <c:pt idx="0">
                  <c:v>Female</c:v>
                </c:pt>
              </c:strCache>
            </c:strRef>
          </c:tx>
          <c:spPr>
            <a:solidFill>
              <a:srgbClr val="637C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Visualization!$A$13:$A$16</c:f>
              <c:strCache>
                <c:ptCount val="3"/>
                <c:pt idx="0">
                  <c:v>Beauty</c:v>
                </c:pt>
                <c:pt idx="1">
                  <c:v>Clothing</c:v>
                </c:pt>
                <c:pt idx="2">
                  <c:v>Electronics</c:v>
                </c:pt>
              </c:strCache>
            </c:strRef>
          </c:cat>
          <c:val>
            <c:numRef>
              <c:f>Visualization!$B$13:$B$16</c:f>
              <c:numCache>
                <c:formatCode>0%</c:formatCode>
                <c:ptCount val="3"/>
                <c:pt idx="0">
                  <c:v>0.16410087719298247</c:v>
                </c:pt>
                <c:pt idx="1">
                  <c:v>0.17823464912280701</c:v>
                </c:pt>
                <c:pt idx="2">
                  <c:v>0.16827850877192982</c:v>
                </c:pt>
              </c:numCache>
            </c:numRef>
          </c:val>
          <c:extLst>
            <c:ext xmlns:c16="http://schemas.microsoft.com/office/drawing/2014/chart" uri="{C3380CC4-5D6E-409C-BE32-E72D297353CC}">
              <c16:uniqueId val="{00000000-1758-4FE4-96C0-D40B25A1D6EF}"/>
            </c:ext>
          </c:extLst>
        </c:ser>
        <c:ser>
          <c:idx val="1"/>
          <c:order val="1"/>
          <c:tx>
            <c:strRef>
              <c:f>Visualization!$C$11:$C$12</c:f>
              <c:strCache>
                <c:ptCount val="1"/>
                <c:pt idx="0">
                  <c:v>Male</c:v>
                </c:pt>
              </c:strCache>
            </c:strRef>
          </c:tx>
          <c:spPr>
            <a:solidFill>
              <a:srgbClr val="E3008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Visualization!$A$13:$A$16</c:f>
              <c:strCache>
                <c:ptCount val="3"/>
                <c:pt idx="0">
                  <c:v>Beauty</c:v>
                </c:pt>
                <c:pt idx="1">
                  <c:v>Clothing</c:v>
                </c:pt>
                <c:pt idx="2">
                  <c:v>Electronics</c:v>
                </c:pt>
              </c:strCache>
            </c:strRef>
          </c:cat>
          <c:val>
            <c:numRef>
              <c:f>Visualization!$C$13:$C$16</c:f>
              <c:numCache>
                <c:formatCode>0%</c:formatCode>
                <c:ptCount val="3"/>
                <c:pt idx="0">
                  <c:v>0.15062500000000001</c:v>
                </c:pt>
                <c:pt idx="1">
                  <c:v>0.16294956140350877</c:v>
                </c:pt>
                <c:pt idx="2">
                  <c:v>0.17581140350877192</c:v>
                </c:pt>
              </c:numCache>
            </c:numRef>
          </c:val>
          <c:extLst>
            <c:ext xmlns:c16="http://schemas.microsoft.com/office/drawing/2014/chart" uri="{C3380CC4-5D6E-409C-BE32-E72D297353CC}">
              <c16:uniqueId val="{00000001-1758-4FE4-96C0-D40B25A1D6EF}"/>
            </c:ext>
          </c:extLst>
        </c:ser>
        <c:dLbls>
          <c:showLegendKey val="0"/>
          <c:showVal val="0"/>
          <c:showCatName val="0"/>
          <c:showSerName val="0"/>
          <c:showPercent val="0"/>
          <c:showBubbleSize val="0"/>
        </c:dLbls>
        <c:gapWidth val="219"/>
        <c:overlap val="-27"/>
        <c:axId val="1857167367"/>
        <c:axId val="1857169415"/>
      </c:barChart>
      <c:catAx>
        <c:axId val="1857167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7169415"/>
        <c:crosses val="autoZero"/>
        <c:auto val="1"/>
        <c:lblAlgn val="ctr"/>
        <c:lblOffset val="100"/>
        <c:noMultiLvlLbl val="0"/>
      </c:catAx>
      <c:valAx>
        <c:axId val="18571694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57167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[retail_sales_dataset_Project_1.xlsx]Slicers_Pivot_Table!PivotTable1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ln>
                  <a:noFill/>
                </a:ln>
                <a:solidFill>
                  <a:sysClr val="windowText" lastClr="000000">
                    <a:lumMod val="65000"/>
                    <a:lumOff val="35000"/>
                  </a:sysClr>
                </a:solidFill>
              </a:rPr>
              <a:t>Sale Products by Gender and by Generation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Slicers_Pivot_Table!$B$11:$B$13</c:f>
              <c:strCache>
                <c:ptCount val="1"/>
                <c:pt idx="0">
                  <c:v>Adult - Female</c:v>
                </c:pt>
              </c:strCache>
            </c:strRef>
          </c:tx>
          <c:spPr>
            <a:solidFill>
              <a:schemeClr val="accent1"/>
            </a:solidFill>
            <a:ln>
              <a:noFill/>
            </a:ln>
            <a:effectLst/>
          </c:spPr>
          <c:invertIfNegative val="0"/>
          <c:cat>
            <c:strRef>
              <c:f>Slicers_Pivot_Table!$A$14:$A$17</c:f>
              <c:strCache>
                <c:ptCount val="3"/>
                <c:pt idx="0">
                  <c:v>Beauty</c:v>
                </c:pt>
                <c:pt idx="1">
                  <c:v>Clothing</c:v>
                </c:pt>
                <c:pt idx="2">
                  <c:v>Electronics</c:v>
                </c:pt>
              </c:strCache>
            </c:strRef>
          </c:cat>
          <c:val>
            <c:numRef>
              <c:f>Slicers_Pivot_Table!$B$14:$B$17</c:f>
              <c:numCache>
                <c:formatCode>General</c:formatCode>
                <c:ptCount val="3"/>
                <c:pt idx="0">
                  <c:v>77020</c:v>
                </c:pt>
                <c:pt idx="1">
                  <c:v>15215</c:v>
                </c:pt>
                <c:pt idx="2">
                  <c:v>9615</c:v>
                </c:pt>
              </c:numCache>
            </c:numRef>
          </c:val>
          <c:extLst>
            <c:ext xmlns:c16="http://schemas.microsoft.com/office/drawing/2014/chart" uri="{C3380CC4-5D6E-409C-BE32-E72D297353CC}">
              <c16:uniqueId val="{00000000-DC59-4B73-A048-100AC5FE6AD7}"/>
            </c:ext>
          </c:extLst>
        </c:ser>
        <c:ser>
          <c:idx val="1"/>
          <c:order val="1"/>
          <c:tx>
            <c:strRef>
              <c:f>Slicers_Pivot_Table!$C$11:$C$13</c:f>
              <c:strCache>
                <c:ptCount val="1"/>
                <c:pt idx="0">
                  <c:v>Adult - Male</c:v>
                </c:pt>
              </c:strCache>
            </c:strRef>
          </c:tx>
          <c:spPr>
            <a:solidFill>
              <a:schemeClr val="accent2"/>
            </a:solidFill>
            <a:ln>
              <a:noFill/>
            </a:ln>
            <a:effectLst/>
          </c:spPr>
          <c:invertIfNegative val="0"/>
          <c:cat>
            <c:strRef>
              <c:f>Slicers_Pivot_Table!$A$14:$A$17</c:f>
              <c:strCache>
                <c:ptCount val="3"/>
                <c:pt idx="0">
                  <c:v>Beauty</c:v>
                </c:pt>
                <c:pt idx="1">
                  <c:v>Clothing</c:v>
                </c:pt>
                <c:pt idx="2">
                  <c:v>Electronics</c:v>
                </c:pt>
              </c:strCache>
            </c:strRef>
          </c:cat>
          <c:val>
            <c:numRef>
              <c:f>Slicers_Pivot_Table!$C$14:$C$17</c:f>
              <c:numCache>
                <c:formatCode>General</c:formatCode>
                <c:ptCount val="3"/>
                <c:pt idx="0">
                  <c:v>69370</c:v>
                </c:pt>
                <c:pt idx="1">
                  <c:v>14435</c:v>
                </c:pt>
                <c:pt idx="2">
                  <c:v>13880</c:v>
                </c:pt>
              </c:numCache>
            </c:numRef>
          </c:val>
          <c:extLst>
            <c:ext xmlns:c16="http://schemas.microsoft.com/office/drawing/2014/chart" uri="{C3380CC4-5D6E-409C-BE32-E72D297353CC}">
              <c16:uniqueId val="{00000001-DC59-4B73-A048-100AC5FE6AD7}"/>
            </c:ext>
          </c:extLst>
        </c:ser>
        <c:ser>
          <c:idx val="2"/>
          <c:order val="2"/>
          <c:tx>
            <c:strRef>
              <c:f>Slicers_Pivot_Table!$E$11:$E$13</c:f>
              <c:strCache>
                <c:ptCount val="1"/>
                <c:pt idx="0">
                  <c:v>Senior - Female</c:v>
                </c:pt>
              </c:strCache>
            </c:strRef>
          </c:tx>
          <c:spPr>
            <a:solidFill>
              <a:schemeClr val="accent3"/>
            </a:solidFill>
            <a:ln>
              <a:noFill/>
            </a:ln>
            <a:effectLst/>
          </c:spPr>
          <c:invertIfNegative val="0"/>
          <c:cat>
            <c:strRef>
              <c:f>Slicers_Pivot_Table!$A$14:$A$17</c:f>
              <c:strCache>
                <c:ptCount val="3"/>
                <c:pt idx="0">
                  <c:v>Beauty</c:v>
                </c:pt>
                <c:pt idx="1">
                  <c:v>Clothing</c:v>
                </c:pt>
                <c:pt idx="2">
                  <c:v>Electronics</c:v>
                </c:pt>
              </c:strCache>
            </c:strRef>
          </c:cat>
          <c:val>
            <c:numRef>
              <c:f>Slicers_Pivot_Table!$E$14:$E$17</c:f>
              <c:numCache>
                <c:formatCode>General</c:formatCode>
                <c:ptCount val="3"/>
                <c:pt idx="0">
                  <c:v>39175</c:v>
                </c:pt>
                <c:pt idx="1">
                  <c:v>15240</c:v>
                </c:pt>
                <c:pt idx="2">
                  <c:v>13050</c:v>
                </c:pt>
              </c:numCache>
            </c:numRef>
          </c:val>
          <c:extLst>
            <c:ext xmlns:c16="http://schemas.microsoft.com/office/drawing/2014/chart" uri="{C3380CC4-5D6E-409C-BE32-E72D297353CC}">
              <c16:uniqueId val="{00000002-DC59-4B73-A048-100AC5FE6AD7}"/>
            </c:ext>
          </c:extLst>
        </c:ser>
        <c:ser>
          <c:idx val="3"/>
          <c:order val="3"/>
          <c:tx>
            <c:strRef>
              <c:f>Slicers_Pivot_Table!$F$11:$F$13</c:f>
              <c:strCache>
                <c:ptCount val="1"/>
                <c:pt idx="0">
                  <c:v>Senior - Male</c:v>
                </c:pt>
              </c:strCache>
            </c:strRef>
          </c:tx>
          <c:spPr>
            <a:solidFill>
              <a:schemeClr val="accent4"/>
            </a:solidFill>
            <a:ln>
              <a:noFill/>
            </a:ln>
            <a:effectLst/>
          </c:spPr>
          <c:invertIfNegative val="0"/>
          <c:cat>
            <c:strRef>
              <c:f>Slicers_Pivot_Table!$A$14:$A$17</c:f>
              <c:strCache>
                <c:ptCount val="3"/>
                <c:pt idx="0">
                  <c:v>Beauty</c:v>
                </c:pt>
                <c:pt idx="1">
                  <c:v>Clothing</c:v>
                </c:pt>
                <c:pt idx="2">
                  <c:v>Electronics</c:v>
                </c:pt>
              </c:strCache>
            </c:strRef>
          </c:cat>
          <c:val>
            <c:numRef>
              <c:f>Slicers_Pivot_Table!$F$14:$F$17</c:f>
              <c:numCache>
                <c:formatCode>General</c:formatCode>
                <c:ptCount val="3"/>
                <c:pt idx="0">
                  <c:v>41920</c:v>
                </c:pt>
                <c:pt idx="1">
                  <c:v>11755</c:v>
                </c:pt>
                <c:pt idx="2">
                  <c:v>12170</c:v>
                </c:pt>
              </c:numCache>
            </c:numRef>
          </c:val>
          <c:extLst>
            <c:ext xmlns:c16="http://schemas.microsoft.com/office/drawing/2014/chart" uri="{C3380CC4-5D6E-409C-BE32-E72D297353CC}">
              <c16:uniqueId val="{0000000A-DC59-4B73-A048-100AC5FE6AD7}"/>
            </c:ext>
          </c:extLst>
        </c:ser>
        <c:ser>
          <c:idx val="4"/>
          <c:order val="4"/>
          <c:tx>
            <c:strRef>
              <c:f>Slicers_Pivot_Table!$H$11:$H$13</c:f>
              <c:strCache>
                <c:ptCount val="1"/>
                <c:pt idx="0">
                  <c:v>Young Adult - Female</c:v>
                </c:pt>
              </c:strCache>
            </c:strRef>
          </c:tx>
          <c:spPr>
            <a:solidFill>
              <a:schemeClr val="accent5"/>
            </a:solidFill>
            <a:ln>
              <a:noFill/>
            </a:ln>
            <a:effectLst/>
          </c:spPr>
          <c:invertIfNegative val="0"/>
          <c:cat>
            <c:strRef>
              <c:f>Slicers_Pivot_Table!$A$14:$A$17</c:f>
              <c:strCache>
                <c:ptCount val="3"/>
                <c:pt idx="0">
                  <c:v>Beauty</c:v>
                </c:pt>
                <c:pt idx="1">
                  <c:v>Clothing</c:v>
                </c:pt>
                <c:pt idx="2">
                  <c:v>Electronics</c:v>
                </c:pt>
              </c:strCache>
            </c:strRef>
          </c:cat>
          <c:val>
            <c:numRef>
              <c:f>Slicers_Pivot_Table!$H$14:$H$17</c:f>
              <c:numCache>
                <c:formatCode>General</c:formatCode>
                <c:ptCount val="3"/>
                <c:pt idx="0">
                  <c:v>47890</c:v>
                </c:pt>
                <c:pt idx="1">
                  <c:v>7445</c:v>
                </c:pt>
                <c:pt idx="2">
                  <c:v>8190</c:v>
                </c:pt>
              </c:numCache>
            </c:numRef>
          </c:val>
          <c:extLst>
            <c:ext xmlns:c16="http://schemas.microsoft.com/office/drawing/2014/chart" uri="{C3380CC4-5D6E-409C-BE32-E72D297353CC}">
              <c16:uniqueId val="{0000000B-DC59-4B73-A048-100AC5FE6AD7}"/>
            </c:ext>
          </c:extLst>
        </c:ser>
        <c:ser>
          <c:idx val="5"/>
          <c:order val="5"/>
          <c:tx>
            <c:strRef>
              <c:f>Slicers_Pivot_Table!$I$11:$I$13</c:f>
              <c:strCache>
                <c:ptCount val="1"/>
                <c:pt idx="0">
                  <c:v>Young Adult - Male</c:v>
                </c:pt>
              </c:strCache>
            </c:strRef>
          </c:tx>
          <c:spPr>
            <a:solidFill>
              <a:schemeClr val="accent6"/>
            </a:solidFill>
            <a:ln>
              <a:noFill/>
            </a:ln>
            <a:effectLst/>
          </c:spPr>
          <c:invertIfNegative val="0"/>
          <c:cat>
            <c:strRef>
              <c:f>Slicers_Pivot_Table!$A$14:$A$17</c:f>
              <c:strCache>
                <c:ptCount val="3"/>
                <c:pt idx="0">
                  <c:v>Beauty</c:v>
                </c:pt>
                <c:pt idx="1">
                  <c:v>Clothing</c:v>
                </c:pt>
                <c:pt idx="2">
                  <c:v>Electronics</c:v>
                </c:pt>
              </c:strCache>
            </c:strRef>
          </c:cat>
          <c:val>
            <c:numRef>
              <c:f>Slicers_Pivot_Table!$I$14:$I$17</c:f>
              <c:numCache>
                <c:formatCode>General</c:formatCode>
                <c:ptCount val="3"/>
                <c:pt idx="0">
                  <c:v>44625</c:v>
                </c:pt>
                <c:pt idx="1">
                  <c:v>6780</c:v>
                </c:pt>
                <c:pt idx="2">
                  <c:v>8225</c:v>
                </c:pt>
              </c:numCache>
            </c:numRef>
          </c:val>
          <c:extLst>
            <c:ext xmlns:c16="http://schemas.microsoft.com/office/drawing/2014/chart" uri="{C3380CC4-5D6E-409C-BE32-E72D297353CC}">
              <c16:uniqueId val="{0000000C-DC59-4B73-A048-100AC5FE6AD7}"/>
            </c:ext>
          </c:extLst>
        </c:ser>
        <c:dLbls>
          <c:showLegendKey val="0"/>
          <c:showVal val="0"/>
          <c:showCatName val="0"/>
          <c:showSerName val="0"/>
          <c:showPercent val="0"/>
          <c:showBubbleSize val="0"/>
        </c:dLbls>
        <c:gapWidth val="150"/>
        <c:overlap val="100"/>
        <c:axId val="1625549776"/>
        <c:axId val="1625550256"/>
      </c:barChart>
      <c:catAx>
        <c:axId val="162554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5550256"/>
        <c:crosses val="autoZero"/>
        <c:auto val="1"/>
        <c:lblAlgn val="ctr"/>
        <c:lblOffset val="100"/>
        <c:noMultiLvlLbl val="0"/>
      </c:catAx>
      <c:valAx>
        <c:axId val="16255502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54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[retail_sales_dataset_Project_1.xlsx]Slicers_Pivot_Tabler!PivotTable1</c:name>
    <c:fmtId val="0"/>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b="1"/>
              <a:t>Sale Products by Gender and by Generation</a:t>
            </a:r>
          </a:p>
        </c:rich>
      </c:tx>
      <c:layout>
        <c:manualLayout>
          <c:xMode val="edge"/>
          <c:yMode val="edge"/>
          <c:x val="0.24851509940567779"/>
          <c:y val="1.2317178025160646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37CE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3A96DD"/>
          </a:solidFill>
          <a:ln>
            <a:noFill/>
          </a:ln>
          <a:effectLst/>
        </c:spPr>
      </c:pivotFmt>
    </c:pivotFmts>
    <c:plotArea>
      <c:layout/>
      <c:barChart>
        <c:barDir val="col"/>
        <c:grouping val="stacked"/>
        <c:varyColors val="0"/>
        <c:ser>
          <c:idx val="0"/>
          <c:order val="0"/>
          <c:tx>
            <c:strRef>
              <c:f>Slicers_Pivot_Tabler!$B$12:$B$14</c:f>
              <c:strCache>
                <c:ptCount val="1"/>
                <c:pt idx="0">
                  <c:v>Adult - Female</c:v>
                </c:pt>
              </c:strCache>
            </c:strRef>
          </c:tx>
          <c:spPr>
            <a:solidFill>
              <a:srgbClr val="637CEF"/>
            </a:solidFill>
            <a:ln>
              <a:noFill/>
            </a:ln>
            <a:effectLst/>
          </c:spPr>
          <c:invertIfNegative val="0"/>
          <c:cat>
            <c:strRef>
              <c:f>Slicers_Pivot_Tabler!$A$15:$A$18</c:f>
              <c:strCache>
                <c:ptCount val="3"/>
                <c:pt idx="0">
                  <c:v>Beauty</c:v>
                </c:pt>
                <c:pt idx="1">
                  <c:v>Clothing</c:v>
                </c:pt>
                <c:pt idx="2">
                  <c:v>Electronics</c:v>
                </c:pt>
              </c:strCache>
            </c:strRef>
          </c:cat>
          <c:val>
            <c:numRef>
              <c:f>Slicers_Pivot_Tabler!$B$15:$B$18</c:f>
              <c:numCache>
                <c:formatCode>0%</c:formatCode>
                <c:ptCount val="3"/>
                <c:pt idx="0">
                  <c:v>0.16890350877192983</c:v>
                </c:pt>
                <c:pt idx="1">
                  <c:v>3.336622807017544E-2</c:v>
                </c:pt>
                <c:pt idx="2">
                  <c:v>2.1085526315789475E-2</c:v>
                </c:pt>
              </c:numCache>
            </c:numRef>
          </c:val>
          <c:extLst>
            <c:ext xmlns:c16="http://schemas.microsoft.com/office/drawing/2014/chart" uri="{C3380CC4-5D6E-409C-BE32-E72D297353CC}">
              <c16:uniqueId val="{00000000-DB69-4E15-BA21-26BCEA64DF1D}"/>
            </c:ext>
          </c:extLst>
        </c:ser>
        <c:ser>
          <c:idx val="1"/>
          <c:order val="1"/>
          <c:tx>
            <c:strRef>
              <c:f>Slicers_Pivot_Tabler!$C$12:$C$14</c:f>
              <c:strCache>
                <c:ptCount val="1"/>
                <c:pt idx="0">
                  <c:v>Adult - Male</c:v>
                </c:pt>
              </c:strCache>
            </c:strRef>
          </c:tx>
          <c:spPr>
            <a:solidFill>
              <a:srgbClr val="E3008C"/>
            </a:solidFill>
            <a:ln>
              <a:noFill/>
            </a:ln>
            <a:effectLst/>
          </c:spPr>
          <c:invertIfNegative val="0"/>
          <c:cat>
            <c:strRef>
              <c:f>Slicers_Pivot_Tabler!$A$15:$A$18</c:f>
              <c:strCache>
                <c:ptCount val="3"/>
                <c:pt idx="0">
                  <c:v>Beauty</c:v>
                </c:pt>
                <c:pt idx="1">
                  <c:v>Clothing</c:v>
                </c:pt>
                <c:pt idx="2">
                  <c:v>Electronics</c:v>
                </c:pt>
              </c:strCache>
            </c:strRef>
          </c:cat>
          <c:val>
            <c:numRef>
              <c:f>Slicers_Pivot_Tabler!$C$15:$C$18</c:f>
              <c:numCache>
                <c:formatCode>0%</c:formatCode>
                <c:ptCount val="3"/>
                <c:pt idx="0">
                  <c:v>0.15212719298245614</c:v>
                </c:pt>
                <c:pt idx="1">
                  <c:v>3.1655701754385965E-2</c:v>
                </c:pt>
                <c:pt idx="2">
                  <c:v>3.043859649122807E-2</c:v>
                </c:pt>
              </c:numCache>
            </c:numRef>
          </c:val>
          <c:extLst>
            <c:ext xmlns:c16="http://schemas.microsoft.com/office/drawing/2014/chart" uri="{C3380CC4-5D6E-409C-BE32-E72D297353CC}">
              <c16:uniqueId val="{00000001-1CA7-44B0-A062-A5E9AE10E0E6}"/>
            </c:ext>
          </c:extLst>
        </c:ser>
        <c:ser>
          <c:idx val="2"/>
          <c:order val="2"/>
          <c:tx>
            <c:strRef>
              <c:f>Slicers_Pivot_Tabler!$E$12:$E$14</c:f>
              <c:strCache>
                <c:ptCount val="1"/>
                <c:pt idx="0">
                  <c:v>Senior - Female</c:v>
                </c:pt>
              </c:strCache>
            </c:strRef>
          </c:tx>
          <c:spPr>
            <a:solidFill>
              <a:srgbClr val="2AA0A4"/>
            </a:solidFill>
            <a:ln>
              <a:noFill/>
            </a:ln>
            <a:effectLst/>
          </c:spPr>
          <c:invertIfNegative val="0"/>
          <c:cat>
            <c:strRef>
              <c:f>Slicers_Pivot_Tabler!$A$15:$A$18</c:f>
              <c:strCache>
                <c:ptCount val="3"/>
                <c:pt idx="0">
                  <c:v>Beauty</c:v>
                </c:pt>
                <c:pt idx="1">
                  <c:v>Clothing</c:v>
                </c:pt>
                <c:pt idx="2">
                  <c:v>Electronics</c:v>
                </c:pt>
              </c:strCache>
            </c:strRef>
          </c:cat>
          <c:val>
            <c:numRef>
              <c:f>Slicers_Pivot_Tabler!$E$15:$E$18</c:f>
              <c:numCache>
                <c:formatCode>0%</c:formatCode>
                <c:ptCount val="3"/>
                <c:pt idx="0">
                  <c:v>8.5910087719298242E-2</c:v>
                </c:pt>
                <c:pt idx="1">
                  <c:v>3.3421052631578949E-2</c:v>
                </c:pt>
                <c:pt idx="2">
                  <c:v>2.8618421052631578E-2</c:v>
                </c:pt>
              </c:numCache>
            </c:numRef>
          </c:val>
          <c:extLst>
            <c:ext xmlns:c16="http://schemas.microsoft.com/office/drawing/2014/chart" uri="{C3380CC4-5D6E-409C-BE32-E72D297353CC}">
              <c16:uniqueId val="{00000001-CD77-44CC-94B0-A64727CAB513}"/>
            </c:ext>
          </c:extLst>
        </c:ser>
        <c:ser>
          <c:idx val="3"/>
          <c:order val="3"/>
          <c:tx>
            <c:strRef>
              <c:f>Slicers_Pivot_Tabler!$F$12:$F$14</c:f>
              <c:strCache>
                <c:ptCount val="1"/>
                <c:pt idx="0">
                  <c:v>Senior - Male</c:v>
                </c:pt>
              </c:strCache>
            </c:strRef>
          </c:tx>
          <c:spPr>
            <a:solidFill>
              <a:srgbClr val="9373C0"/>
            </a:solidFill>
            <a:ln>
              <a:noFill/>
            </a:ln>
            <a:effectLst/>
          </c:spPr>
          <c:invertIfNegative val="0"/>
          <c:cat>
            <c:strRef>
              <c:f>Slicers_Pivot_Tabler!$A$15:$A$18</c:f>
              <c:strCache>
                <c:ptCount val="3"/>
                <c:pt idx="0">
                  <c:v>Beauty</c:v>
                </c:pt>
                <c:pt idx="1">
                  <c:v>Clothing</c:v>
                </c:pt>
                <c:pt idx="2">
                  <c:v>Electronics</c:v>
                </c:pt>
              </c:strCache>
            </c:strRef>
          </c:cat>
          <c:val>
            <c:numRef>
              <c:f>Slicers_Pivot_Tabler!$F$15:$F$18</c:f>
              <c:numCache>
                <c:formatCode>0%</c:formatCode>
                <c:ptCount val="3"/>
                <c:pt idx="0">
                  <c:v>9.1929824561403514E-2</c:v>
                </c:pt>
                <c:pt idx="1">
                  <c:v>2.5778508771929824E-2</c:v>
                </c:pt>
                <c:pt idx="2">
                  <c:v>2.6688596491228071E-2</c:v>
                </c:pt>
              </c:numCache>
            </c:numRef>
          </c:val>
          <c:extLst>
            <c:ext xmlns:c16="http://schemas.microsoft.com/office/drawing/2014/chart" uri="{C3380CC4-5D6E-409C-BE32-E72D297353CC}">
              <c16:uniqueId val="{00000002-CD77-44CC-94B0-A64727CAB513}"/>
            </c:ext>
          </c:extLst>
        </c:ser>
        <c:ser>
          <c:idx val="4"/>
          <c:order val="4"/>
          <c:tx>
            <c:strRef>
              <c:f>Slicers_Pivot_Tabler!$H$12:$H$14</c:f>
              <c:strCache>
                <c:ptCount val="1"/>
                <c:pt idx="0">
                  <c:v>Young Adult - Female</c:v>
                </c:pt>
              </c:strCache>
            </c:strRef>
          </c:tx>
          <c:spPr>
            <a:solidFill>
              <a:srgbClr val="13A10E"/>
            </a:solidFill>
            <a:ln>
              <a:noFill/>
            </a:ln>
            <a:effectLst/>
          </c:spPr>
          <c:invertIfNegative val="0"/>
          <c:cat>
            <c:strRef>
              <c:f>Slicers_Pivot_Tabler!$A$15:$A$18</c:f>
              <c:strCache>
                <c:ptCount val="3"/>
                <c:pt idx="0">
                  <c:v>Beauty</c:v>
                </c:pt>
                <c:pt idx="1">
                  <c:v>Clothing</c:v>
                </c:pt>
                <c:pt idx="2">
                  <c:v>Electronics</c:v>
                </c:pt>
              </c:strCache>
            </c:strRef>
          </c:cat>
          <c:val>
            <c:numRef>
              <c:f>Slicers_Pivot_Tabler!$H$15:$H$18</c:f>
              <c:numCache>
                <c:formatCode>0%</c:formatCode>
                <c:ptCount val="3"/>
                <c:pt idx="0">
                  <c:v>0.10502192982456141</c:v>
                </c:pt>
                <c:pt idx="1">
                  <c:v>1.6326754385964912E-2</c:v>
                </c:pt>
                <c:pt idx="2">
                  <c:v>1.7960526315789475E-2</c:v>
                </c:pt>
              </c:numCache>
            </c:numRef>
          </c:val>
          <c:extLst>
            <c:ext xmlns:c16="http://schemas.microsoft.com/office/drawing/2014/chart" uri="{C3380CC4-5D6E-409C-BE32-E72D297353CC}">
              <c16:uniqueId val="{00000003-CD77-44CC-94B0-A64727CAB513}"/>
            </c:ext>
          </c:extLst>
        </c:ser>
        <c:ser>
          <c:idx val="5"/>
          <c:order val="5"/>
          <c:tx>
            <c:strRef>
              <c:f>Slicers_Pivot_Tabler!$I$12:$I$14</c:f>
              <c:strCache>
                <c:ptCount val="1"/>
                <c:pt idx="0">
                  <c:v>Young Adult - Male</c:v>
                </c:pt>
              </c:strCache>
            </c:strRef>
          </c:tx>
          <c:spPr>
            <a:solidFill>
              <a:srgbClr val="3A96DD"/>
            </a:solidFill>
            <a:ln>
              <a:noFill/>
            </a:ln>
            <a:effectLst/>
          </c:spPr>
          <c:invertIfNegative val="0"/>
          <c:cat>
            <c:strRef>
              <c:f>Slicers_Pivot_Tabler!$A$15:$A$18</c:f>
              <c:strCache>
                <c:ptCount val="3"/>
                <c:pt idx="0">
                  <c:v>Beauty</c:v>
                </c:pt>
                <c:pt idx="1">
                  <c:v>Clothing</c:v>
                </c:pt>
                <c:pt idx="2">
                  <c:v>Electronics</c:v>
                </c:pt>
              </c:strCache>
            </c:strRef>
          </c:cat>
          <c:val>
            <c:numRef>
              <c:f>Slicers_Pivot_Tabler!$I$15:$I$18</c:f>
              <c:numCache>
                <c:formatCode>0%</c:formatCode>
                <c:ptCount val="3"/>
                <c:pt idx="0">
                  <c:v>9.7861842105263164E-2</c:v>
                </c:pt>
                <c:pt idx="1">
                  <c:v>1.4868421052631579E-2</c:v>
                </c:pt>
                <c:pt idx="2">
                  <c:v>1.8037280701754387E-2</c:v>
                </c:pt>
              </c:numCache>
            </c:numRef>
          </c:val>
          <c:extLst>
            <c:ext xmlns:c16="http://schemas.microsoft.com/office/drawing/2014/chart" uri="{C3380CC4-5D6E-409C-BE32-E72D297353CC}">
              <c16:uniqueId val="{00000004-CD77-44CC-94B0-A64727CAB513}"/>
            </c:ext>
          </c:extLst>
        </c:ser>
        <c:dLbls>
          <c:showLegendKey val="0"/>
          <c:showVal val="0"/>
          <c:showCatName val="0"/>
          <c:showSerName val="0"/>
          <c:showPercent val="0"/>
          <c:showBubbleSize val="0"/>
        </c:dLbls>
        <c:gapWidth val="219"/>
        <c:overlap val="100"/>
        <c:axId val="233656328"/>
        <c:axId val="233658376"/>
      </c:barChart>
      <c:catAx>
        <c:axId val="233656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233658376"/>
        <c:crosses val="autoZero"/>
        <c:auto val="1"/>
        <c:lblAlgn val="ctr"/>
        <c:lblOffset val="100"/>
        <c:noMultiLvlLbl val="0"/>
      </c:catAx>
      <c:valAx>
        <c:axId val="233658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233656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38100</xdr:rowOff>
    </xdr:from>
    <xdr:to>
      <xdr:col>2</xdr:col>
      <xdr:colOff>622300</xdr:colOff>
      <xdr:row>2</xdr:row>
      <xdr:rowOff>76200</xdr:rowOff>
    </xdr:to>
    <xdr:sp macro="" textlink="">
      <xdr:nvSpPr>
        <xdr:cNvPr id="2" name="TextBox 1">
          <a:extLst>
            <a:ext uri="{FF2B5EF4-FFF2-40B4-BE49-F238E27FC236}">
              <a16:creationId xmlns:a16="http://schemas.microsoft.com/office/drawing/2014/main" id="{110055FF-8ED4-BB8B-0D0E-31BB2641A577}"/>
            </a:ext>
          </a:extLst>
        </xdr:cNvPr>
        <xdr:cNvSpPr txBox="1"/>
      </xdr:nvSpPr>
      <xdr:spPr>
        <a:xfrm>
          <a:off x="57150" y="38100"/>
          <a:ext cx="2374900" cy="4699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u="sng">
              <a:solidFill>
                <a:schemeClr val="bg1"/>
              </a:solidFill>
            </a:rPr>
            <a:t>DATASET OVERVIEW</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12700</xdr:rowOff>
    </xdr:from>
    <xdr:to>
      <xdr:col>6</xdr:col>
      <xdr:colOff>209550</xdr:colOff>
      <xdr:row>9</xdr:row>
      <xdr:rowOff>0</xdr:rowOff>
    </xdr:to>
    <xdr:sp macro="" textlink="">
      <xdr:nvSpPr>
        <xdr:cNvPr id="2" name="TextBox 1">
          <a:extLst>
            <a:ext uri="{FF2B5EF4-FFF2-40B4-BE49-F238E27FC236}">
              <a16:creationId xmlns:a16="http://schemas.microsoft.com/office/drawing/2014/main" id="{16290081-D8B6-FBD3-B02F-77DF198A1338}"/>
            </a:ext>
          </a:extLst>
        </xdr:cNvPr>
        <xdr:cNvSpPr txBox="1"/>
      </xdr:nvSpPr>
      <xdr:spPr>
        <a:xfrm>
          <a:off x="0" y="12700"/>
          <a:ext cx="5251450" cy="1758950"/>
        </a:xfrm>
        <a:prstGeom prst="rect">
          <a:avLst/>
        </a:prstGeom>
        <a:solidFill>
          <a:schemeClr val="bg2"/>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200" b="1" i="0" u="sng" strike="noStrike">
              <a:solidFill>
                <a:srgbClr val="000000"/>
              </a:solidFill>
              <a:latin typeface="+mn-lt"/>
              <a:ea typeface="Calibri" panose="020F0502020204030204" pitchFamily="34" charset="0"/>
              <a:cs typeface="Calibri" panose="020F0502020204030204" pitchFamily="34" charset="0"/>
            </a:rPr>
            <a:t>TASK</a:t>
          </a:r>
          <a:endParaRPr lang="en-US" sz="1200" b="0" i="0" u="sng" strike="noStrike">
            <a:solidFill>
              <a:srgbClr val="000000"/>
            </a:solidFill>
            <a:latin typeface="+mn-lt"/>
            <a:ea typeface="Calibri" panose="020F0502020204030204" pitchFamily="34" charset="0"/>
            <a:cs typeface="Calibri" panose="020F0502020204030204" pitchFamily="34" charset="0"/>
          </a:endParaRPr>
        </a:p>
        <a:p>
          <a:pPr marL="0" indent="0" algn="l"/>
          <a:r>
            <a:rPr lang="en-US" sz="1200" b="0" i="0" u="none" strike="noStrike">
              <a:solidFill>
                <a:srgbClr val="000000"/>
              </a:solidFill>
              <a:latin typeface="+mn-lt"/>
              <a:ea typeface="Calibri" panose="020F0502020204030204" pitchFamily="34" charset="0"/>
              <a:cs typeface="Calibri" panose="020F0502020204030204" pitchFamily="34" charset="0"/>
            </a:rPr>
            <a:t>- </a:t>
          </a:r>
          <a:r>
            <a:rPr lang="en-US" sz="1200">
              <a:latin typeface="+mn-lt"/>
              <a:ea typeface="+mn-lt"/>
              <a:cs typeface="+mn-lt"/>
            </a:rPr>
            <a:t>Using the </a:t>
          </a:r>
          <a:r>
            <a:rPr lang="en-US" sz="1200" b="1">
              <a:latin typeface="+mn-lt"/>
              <a:ea typeface="+mn-lt"/>
              <a:cs typeface="+mn-lt"/>
            </a:rPr>
            <a:t>FILTER</a:t>
          </a:r>
          <a:r>
            <a:rPr lang="en-US" sz="1200" b="1" i="0" u="none" strike="noStrike">
              <a:solidFill>
                <a:srgbClr val="000000"/>
              </a:solidFill>
              <a:latin typeface="+mn-lt"/>
              <a:ea typeface="Calibri" panose="020F0502020204030204" pitchFamily="34" charset="0"/>
              <a:cs typeface="Calibri" panose="020F0502020204030204" pitchFamily="34" charset="0"/>
            </a:rPr>
            <a:t> </a:t>
          </a:r>
          <a:r>
            <a:rPr lang="en-US" sz="1200">
              <a:latin typeface="+mn-lt"/>
              <a:ea typeface="+mn-lt"/>
              <a:cs typeface="+mn-lt"/>
            </a:rPr>
            <a:t>function, filter ‘Age’ to ‘largest to smallest’ </a:t>
          </a:r>
          <a:endParaRPr lang="en-US" sz="1200" b="0" i="0" u="none" strike="noStrike">
            <a:solidFill>
              <a:srgbClr val="000000"/>
            </a:solidFill>
            <a:latin typeface="+mn-lt"/>
            <a:ea typeface="Calibri" panose="020F0502020204030204" pitchFamily="34" charset="0"/>
            <a:cs typeface="Calibri" panose="020F0502020204030204" pitchFamily="34" charset="0"/>
          </a:endParaRPr>
        </a:p>
        <a:p>
          <a:pPr marL="0" indent="0" algn="l"/>
          <a:r>
            <a:rPr lang="en-US" sz="1200" b="0" i="0" u="none" strike="noStrike">
              <a:solidFill>
                <a:srgbClr val="000000"/>
              </a:solidFill>
              <a:latin typeface="+mn-lt"/>
              <a:ea typeface="Calibri" panose="020F0502020204030204" pitchFamily="34" charset="0"/>
              <a:cs typeface="Calibri" panose="020F0502020204030204" pitchFamily="34" charset="0"/>
            </a:rPr>
            <a:t>- </a:t>
          </a:r>
          <a:r>
            <a:rPr lang="en-US" sz="1200">
              <a:latin typeface="+mn-lt"/>
              <a:ea typeface="+mn-lt"/>
              <a:cs typeface="+mn-lt"/>
            </a:rPr>
            <a:t>Using the </a:t>
          </a:r>
          <a:r>
            <a:rPr lang="en-US" sz="1200" b="1">
              <a:latin typeface="+mn-lt"/>
              <a:ea typeface="+mn-lt"/>
              <a:cs typeface="+mn-lt"/>
            </a:rPr>
            <a:t>SUM</a:t>
          </a:r>
          <a:r>
            <a:rPr lang="en-US" sz="1200" b="1" i="0" u="none" strike="noStrike">
              <a:solidFill>
                <a:srgbClr val="000000"/>
              </a:solidFill>
              <a:latin typeface="+mn-lt"/>
              <a:ea typeface="Calibri" panose="020F0502020204030204" pitchFamily="34" charset="0"/>
              <a:cs typeface="Calibri" panose="020F0502020204030204" pitchFamily="34" charset="0"/>
            </a:rPr>
            <a:t> </a:t>
          </a:r>
          <a:r>
            <a:rPr lang="en-US" sz="1200" b="1">
              <a:latin typeface="+mn-lt"/>
              <a:ea typeface="+mn-lt"/>
              <a:cs typeface="+mn-lt"/>
            </a:rPr>
            <a:t>function</a:t>
          </a:r>
          <a:r>
            <a:rPr lang="en-US" sz="1200">
              <a:latin typeface="+mn-lt"/>
              <a:ea typeface="+mn-lt"/>
              <a:cs typeface="+mn-lt"/>
            </a:rPr>
            <a:t>, show me the total commission </a:t>
          </a:r>
          <a:r>
            <a:rPr lang="en-US" sz="1200" b="0" i="0" u="none" strike="noStrike">
              <a:solidFill>
                <a:srgbClr val="000000"/>
              </a:solidFill>
              <a:latin typeface="+mn-lt"/>
              <a:ea typeface="Calibri" panose="020F0502020204030204" pitchFamily="34" charset="0"/>
              <a:cs typeface="Calibri" panose="020F0502020204030204" pitchFamily="34" charset="0"/>
            </a:rPr>
            <a:t>for 2023 and 2024</a:t>
          </a:r>
        </a:p>
        <a:p>
          <a:pPr marL="0" indent="0" algn="l"/>
          <a:r>
            <a:rPr lang="en-US" sz="1200" b="0" i="0" u="none" strike="noStrike">
              <a:solidFill>
                <a:srgbClr val="000000"/>
              </a:solidFill>
              <a:latin typeface="+mn-lt"/>
              <a:ea typeface="Calibri" panose="020F0502020204030204" pitchFamily="34" charset="0"/>
              <a:cs typeface="Calibri" panose="020F0502020204030204" pitchFamily="34" charset="0"/>
            </a:rPr>
            <a:t>- </a:t>
          </a:r>
          <a:r>
            <a:rPr lang="en-US" sz="1200">
              <a:latin typeface="+mn-lt"/>
              <a:ea typeface="+mn-lt"/>
              <a:cs typeface="+mn-lt"/>
            </a:rPr>
            <a:t>Using the </a:t>
          </a:r>
          <a:r>
            <a:rPr lang="en-US" sz="1200" b="1">
              <a:latin typeface="+mn-lt"/>
              <a:ea typeface="+mn-lt"/>
              <a:cs typeface="+mn-lt"/>
            </a:rPr>
            <a:t>AVERAGE’ function</a:t>
          </a:r>
          <a:r>
            <a:rPr lang="en-US" sz="1200">
              <a:latin typeface="+mn-lt"/>
              <a:ea typeface="+mn-lt"/>
              <a:cs typeface="+mn-lt"/>
            </a:rPr>
            <a:t>, show me the average commission for</a:t>
          </a:r>
          <a:r>
            <a:rPr lang="en-US" sz="1200" b="0" i="0" u="none" strike="noStrike">
              <a:solidFill>
                <a:srgbClr val="000000"/>
              </a:solidFill>
              <a:latin typeface="+mn-lt"/>
              <a:ea typeface="Calibri" panose="020F0502020204030204" pitchFamily="34" charset="0"/>
              <a:cs typeface="Calibri" panose="020F0502020204030204" pitchFamily="34" charset="0"/>
            </a:rPr>
            <a:t> 2023 and 2024</a:t>
          </a:r>
        </a:p>
      </xdr:txBody>
    </xdr:sp>
    <xdr:clientData/>
  </xdr:twoCellAnchor>
  <xdr:twoCellAnchor>
    <xdr:from>
      <xdr:col>6</xdr:col>
      <xdr:colOff>400050</xdr:colOff>
      <xdr:row>4</xdr:row>
      <xdr:rowOff>44450</xdr:rowOff>
    </xdr:from>
    <xdr:to>
      <xdr:col>7</xdr:col>
      <xdr:colOff>514350</xdr:colOff>
      <xdr:row>7</xdr:row>
      <xdr:rowOff>193675</xdr:rowOff>
    </xdr:to>
    <xdr:sp macro="" textlink="">
      <xdr:nvSpPr>
        <xdr:cNvPr id="3" name="Right Arrow 2">
          <a:extLst>
            <a:ext uri="{FF2B5EF4-FFF2-40B4-BE49-F238E27FC236}">
              <a16:creationId xmlns:a16="http://schemas.microsoft.com/office/drawing/2014/main" id="{56F2FC38-11A4-9C9E-1825-75BE5E630910}"/>
            </a:ext>
            <a:ext uri="{147F2762-F138-4A5C-976F-8EAC2B608ADB}">
              <a16:predDERef xmlns:a16="http://schemas.microsoft.com/office/drawing/2014/main" pred="{16290081-D8B6-FBD3-B02F-77DF198A1338}"/>
            </a:ext>
          </a:extLst>
        </xdr:cNvPr>
        <xdr:cNvSpPr/>
      </xdr:nvSpPr>
      <xdr:spPr>
        <a:xfrm>
          <a:off x="5441950" y="831850"/>
          <a:ext cx="1016000" cy="7397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6</xdr:col>
      <xdr:colOff>6350</xdr:colOff>
      <xdr:row>9</xdr:row>
      <xdr:rowOff>1</xdr:rowOff>
    </xdr:to>
    <xdr:sp macro="" textlink="">
      <xdr:nvSpPr>
        <xdr:cNvPr id="3" name="TextBox 2">
          <a:extLst>
            <a:ext uri="{FF2B5EF4-FFF2-40B4-BE49-F238E27FC236}">
              <a16:creationId xmlns:a16="http://schemas.microsoft.com/office/drawing/2014/main" id="{DC842265-3E52-4A8E-B9E9-31925840460F}"/>
            </a:ext>
          </a:extLst>
        </xdr:cNvPr>
        <xdr:cNvSpPr txBox="1"/>
      </xdr:nvSpPr>
      <xdr:spPr>
        <a:xfrm>
          <a:off x="0" y="1"/>
          <a:ext cx="4692650" cy="1771650"/>
        </a:xfrm>
        <a:prstGeom prst="rect">
          <a:avLst/>
        </a:prstGeom>
        <a:solidFill>
          <a:schemeClr val="bg2"/>
        </a:solidFill>
        <a:ln w="9525" cmpd="sng">
          <a:solidFill>
            <a:schemeClr val="lt1">
              <a:shade val="50000"/>
            </a:schemeClr>
          </a:solidFill>
        </a:ln>
      </xdr:spPr>
      <xdr:txBody>
        <a:bodyPr spcFirstLastPara="0" vertOverflow="clip" horzOverflow="clip" wrap="square" lIns="91440" tIns="45720" rIns="91440" bIns="45720" rtlCol="0" anchor="t">
          <a:noAutofit/>
        </a:bodyPr>
        <a:lstStyle/>
        <a:p>
          <a:r>
            <a:rPr lang="en-US" sz="1200" b="1" i="0" u="sng">
              <a:effectLst/>
              <a:latin typeface="+mn-lt"/>
              <a:ea typeface="+mn-ea"/>
              <a:cs typeface="+mn-cs"/>
            </a:rPr>
            <a:t>TASK</a:t>
          </a:r>
          <a:endParaRPr lang="en-GB" sz="1200" u="sng">
            <a:effectLst/>
          </a:endParaRPr>
        </a:p>
        <a:p>
          <a:r>
            <a:rPr lang="en-US" sz="1200" b="0" i="0">
              <a:effectLst/>
              <a:latin typeface="+mn-lt"/>
              <a:ea typeface="+mn-ea"/>
              <a:cs typeface="+mn-cs"/>
            </a:rPr>
            <a:t>- Using the </a:t>
          </a:r>
          <a:r>
            <a:rPr lang="en-US" sz="1200" b="1" i="0">
              <a:effectLst/>
              <a:latin typeface="+mn-lt"/>
              <a:ea typeface="+mn-ea"/>
              <a:cs typeface="+mn-cs"/>
            </a:rPr>
            <a:t>SUM IF FUNCTION</a:t>
          </a:r>
          <a:r>
            <a:rPr lang="en-US" sz="1200" b="0" i="0">
              <a:effectLst/>
              <a:latin typeface="+mn-lt"/>
              <a:ea typeface="+mn-ea"/>
              <a:cs typeface="+mn-cs"/>
            </a:rPr>
            <a:t> to calculate the total product quantities for female and male (column T-W)</a:t>
          </a:r>
          <a:endParaRPr lang="en-GB"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i="0">
              <a:effectLst/>
              <a:latin typeface="+mn-lt"/>
              <a:ea typeface="+mn-ea"/>
              <a:cs typeface="+mn-cs"/>
            </a:rPr>
            <a:t>- Using the </a:t>
          </a:r>
          <a:r>
            <a:rPr lang="en-US" sz="1200" b="1" i="0">
              <a:effectLst/>
              <a:latin typeface="+mn-lt"/>
              <a:ea typeface="+mn-ea"/>
              <a:cs typeface="+mn-cs"/>
            </a:rPr>
            <a:t>SUM IF FUNCTION</a:t>
          </a:r>
          <a:r>
            <a:rPr lang="en-US" sz="1200" b="0" i="0">
              <a:effectLst/>
              <a:latin typeface="+mn-lt"/>
              <a:ea typeface="+mn-ea"/>
              <a:cs typeface="+mn-cs"/>
            </a:rPr>
            <a:t> to calculate the total sales per product category (column T-W)</a:t>
          </a:r>
        </a:p>
        <a:p>
          <a:r>
            <a:rPr lang="en-US" sz="1200" b="0" i="0">
              <a:effectLst/>
              <a:latin typeface="+mn-lt"/>
              <a:ea typeface="+mn-ea"/>
              <a:cs typeface="+mn-cs"/>
            </a:rPr>
            <a:t>-</a:t>
          </a:r>
          <a:r>
            <a:rPr lang="en-US" sz="1200" b="0" i="0" baseline="0">
              <a:effectLst/>
              <a:latin typeface="+mn-lt"/>
              <a:ea typeface="+mn-ea"/>
              <a:cs typeface="+mn-cs"/>
            </a:rPr>
            <a:t> Calculation of commissions 2023 and 2024 (columns Q and R) using the commision rate and total sales (</a:t>
          </a:r>
          <a:r>
            <a:rPr lang="en-GB" sz="1200" b="1"/>
            <a:t>absolute reference </a:t>
          </a:r>
          <a:r>
            <a:rPr lang="en-GB" sz="1200">
              <a:latin typeface="+mn-lt"/>
              <a:ea typeface="+mn-ea"/>
              <a:cs typeface="+mn-cs"/>
            </a:rPr>
            <a:t>e.g. =P12</a:t>
          </a:r>
          <a:r>
            <a:rPr lang="en-GB" sz="1200" b="1">
              <a:latin typeface="+mn-lt"/>
              <a:ea typeface="+mn-ea"/>
              <a:cs typeface="+mn-cs"/>
            </a:rPr>
            <a:t>*$I$4</a:t>
          </a:r>
          <a:r>
            <a:rPr lang="en-US" sz="1200" b="0" i="0" baseline="0">
              <a:effectLst/>
              <a:latin typeface="+mn-lt"/>
              <a:ea typeface="+mn-ea"/>
              <a:cs typeface="+mn-cs"/>
            </a:rPr>
            <a:t>)</a:t>
          </a:r>
        </a:p>
        <a:p>
          <a:r>
            <a:rPr lang="en-US" sz="1200" b="1" i="0" baseline="0">
              <a:effectLst/>
              <a:latin typeface="+mn-lt"/>
              <a:ea typeface="+mn-ea"/>
              <a:cs typeface="+mn-cs"/>
            </a:rPr>
            <a:t>-CONDITIONAL FORMATTING -</a:t>
          </a:r>
          <a:r>
            <a:rPr lang="en-US" sz="1200" b="0" i="0" baseline="0">
              <a:effectLst/>
              <a:latin typeface="+mn-lt"/>
              <a:ea typeface="+mn-ea"/>
              <a:cs typeface="+mn-cs"/>
            </a:rPr>
            <a:t> Descending colour grade from hig to low value</a:t>
          </a:r>
          <a:endParaRPr lang="en-GB" sz="1200">
            <a:effectLst/>
          </a:endParaRPr>
        </a:p>
      </xdr:txBody>
    </xdr:sp>
    <xdr:clientData/>
  </xdr:twoCellAnchor>
  <xdr:twoCellAnchor>
    <xdr:from>
      <xdr:col>6</xdr:col>
      <xdr:colOff>196850</xdr:colOff>
      <xdr:row>5</xdr:row>
      <xdr:rowOff>114301</xdr:rowOff>
    </xdr:from>
    <xdr:to>
      <xdr:col>9</xdr:col>
      <xdr:colOff>730250</xdr:colOff>
      <xdr:row>7</xdr:row>
      <xdr:rowOff>107950</xdr:rowOff>
    </xdr:to>
    <xdr:sp macro="" textlink="">
      <xdr:nvSpPr>
        <xdr:cNvPr id="4" name="Right Arrow 2">
          <a:extLst>
            <a:ext uri="{FF2B5EF4-FFF2-40B4-BE49-F238E27FC236}">
              <a16:creationId xmlns:a16="http://schemas.microsoft.com/office/drawing/2014/main" id="{F47E2EE2-699E-4EEF-BAAE-814DF085FBC7}"/>
            </a:ext>
            <a:ext uri="{147F2762-F138-4A5C-976F-8EAC2B608ADB}">
              <a16:predDERef xmlns:a16="http://schemas.microsoft.com/office/drawing/2014/main" pred="{16290081-D8B6-FBD3-B02F-77DF198A1338}"/>
            </a:ext>
          </a:extLst>
        </xdr:cNvPr>
        <xdr:cNvSpPr/>
      </xdr:nvSpPr>
      <xdr:spPr>
        <a:xfrm>
          <a:off x="4883150" y="1098551"/>
          <a:ext cx="4006850" cy="38734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3</xdr:col>
      <xdr:colOff>1339850</xdr:colOff>
      <xdr:row>9</xdr:row>
      <xdr:rowOff>0</xdr:rowOff>
    </xdr:to>
    <xdr:sp macro="" textlink="">
      <xdr:nvSpPr>
        <xdr:cNvPr id="3" name="TextBox 2">
          <a:extLst>
            <a:ext uri="{FF2B5EF4-FFF2-40B4-BE49-F238E27FC236}">
              <a16:creationId xmlns:a16="http://schemas.microsoft.com/office/drawing/2014/main" id="{52C25762-FECE-4A64-8A39-602E78DF1D30}"/>
            </a:ext>
          </a:extLst>
        </xdr:cNvPr>
        <xdr:cNvSpPr txBox="1"/>
      </xdr:nvSpPr>
      <xdr:spPr>
        <a:xfrm>
          <a:off x="0" y="1"/>
          <a:ext cx="4673600" cy="1771649"/>
        </a:xfrm>
        <a:prstGeom prst="rect">
          <a:avLst/>
        </a:prstGeom>
        <a:solidFill>
          <a:schemeClr val="bg2"/>
        </a:solidFill>
        <a:ln w="9525" cmpd="sng">
          <a:solidFill>
            <a:schemeClr val="lt1">
              <a:shade val="50000"/>
            </a:schemeClr>
          </a:solidFill>
        </a:ln>
      </xdr:spPr>
      <xdr:txBody>
        <a:bodyPr spcFirstLastPara="0" vertOverflow="clip" horzOverflow="clip" wrap="square" lIns="91440" tIns="45720" rIns="91440" bIns="45720" rtlCol="0" anchor="t">
          <a:noAutofit/>
        </a:bodyPr>
        <a:lstStyle/>
        <a:p>
          <a:r>
            <a:rPr lang="en-US" sz="1200" b="1" i="0" u="sng">
              <a:effectLst/>
              <a:latin typeface="+mn-lt"/>
              <a:ea typeface="+mn-ea"/>
              <a:cs typeface="+mn-cs"/>
            </a:rPr>
            <a:t>TASK</a:t>
          </a:r>
          <a:endParaRPr lang="en-GB" sz="1200" u="sng">
            <a:effectLst/>
          </a:endParaRPr>
        </a:p>
        <a:p>
          <a:r>
            <a:rPr lang="en-US" sz="1200" b="0" i="0">
              <a:effectLst/>
              <a:latin typeface="+mn-lt"/>
              <a:ea typeface="+mn-ea"/>
              <a:cs typeface="+mn-cs"/>
            </a:rPr>
            <a:t>- Using </a:t>
          </a:r>
          <a:r>
            <a:rPr lang="en-US" sz="1200" b="1" i="0">
              <a:effectLst/>
              <a:latin typeface="+mn-lt"/>
              <a:ea typeface="+mn-ea"/>
              <a:cs typeface="+mn-cs"/>
            </a:rPr>
            <a:t>VLOOKUP </a:t>
          </a:r>
          <a:r>
            <a:rPr lang="en-US" sz="1200" b="0" i="0">
              <a:effectLst/>
              <a:latin typeface="+mn-lt"/>
              <a:ea typeface="+mn-ea"/>
              <a:cs typeface="+mn-cs"/>
            </a:rPr>
            <a:t>for column B and C</a:t>
          </a:r>
          <a:endParaRPr lang="en-GB" sz="1200" b="0">
            <a:effectLst/>
          </a:endParaRPr>
        </a:p>
        <a:p>
          <a:r>
            <a:rPr lang="en-US" sz="1200" b="0" i="0">
              <a:effectLst/>
              <a:latin typeface="+mn-lt"/>
              <a:ea typeface="+mn-ea"/>
              <a:cs typeface="+mn-cs"/>
            </a:rPr>
            <a:t>- Using </a:t>
          </a:r>
          <a:r>
            <a:rPr lang="en-US" sz="1200" b="1" i="0">
              <a:effectLst/>
              <a:latin typeface="+mn-lt"/>
              <a:ea typeface="+mn-ea"/>
              <a:cs typeface="+mn-cs"/>
            </a:rPr>
            <a:t>CONCAT</a:t>
          </a:r>
          <a:r>
            <a:rPr lang="en-US" sz="1200" b="0" i="0">
              <a:effectLst/>
              <a:latin typeface="+mn-lt"/>
              <a:ea typeface="+mn-ea"/>
              <a:cs typeface="+mn-cs"/>
            </a:rPr>
            <a:t> Function for column D</a:t>
          </a:r>
          <a:endParaRPr lang="en-GB" sz="1200">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342900</xdr:colOff>
      <xdr:row>9</xdr:row>
      <xdr:rowOff>190500</xdr:rowOff>
    </xdr:from>
    <xdr:to>
      <xdr:col>12</xdr:col>
      <xdr:colOff>317500</xdr:colOff>
      <xdr:row>27</xdr:row>
      <xdr:rowOff>139700</xdr:rowOff>
    </xdr:to>
    <xdr:graphicFrame macro="">
      <xdr:nvGraphicFramePr>
        <xdr:cNvPr id="3" name="Chart 2">
          <a:extLst>
            <a:ext uri="{FF2B5EF4-FFF2-40B4-BE49-F238E27FC236}">
              <a16:creationId xmlns:a16="http://schemas.microsoft.com/office/drawing/2014/main" id="{7268E14B-B094-46CF-863C-69AAE7C1B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xdr:rowOff>
    </xdr:from>
    <xdr:to>
      <xdr:col>5</xdr:col>
      <xdr:colOff>476250</xdr:colOff>
      <xdr:row>7</xdr:row>
      <xdr:rowOff>184151</xdr:rowOff>
    </xdr:to>
    <xdr:sp macro="" textlink="">
      <xdr:nvSpPr>
        <xdr:cNvPr id="2" name="TextBox 1">
          <a:extLst>
            <a:ext uri="{FF2B5EF4-FFF2-40B4-BE49-F238E27FC236}">
              <a16:creationId xmlns:a16="http://schemas.microsoft.com/office/drawing/2014/main" id="{F70E9997-6980-4D66-B545-B27F45AD751A}"/>
            </a:ext>
          </a:extLst>
        </xdr:cNvPr>
        <xdr:cNvSpPr txBox="1"/>
      </xdr:nvSpPr>
      <xdr:spPr>
        <a:xfrm>
          <a:off x="0" y="1"/>
          <a:ext cx="4673600" cy="1562100"/>
        </a:xfrm>
        <a:prstGeom prst="rect">
          <a:avLst/>
        </a:prstGeom>
        <a:solidFill>
          <a:schemeClr val="bg2"/>
        </a:solidFill>
        <a:ln w="9525" cmpd="sng">
          <a:solidFill>
            <a:schemeClr val="lt1">
              <a:shade val="50000"/>
            </a:schemeClr>
          </a:solidFill>
        </a:ln>
      </xdr:spPr>
      <xdr:txBody>
        <a:bodyPr spcFirstLastPara="0" vertOverflow="clip" horzOverflow="clip" wrap="square" lIns="91440" tIns="45720" rIns="91440" bIns="45720" rtlCol="0" anchor="t">
          <a:noAutofit/>
        </a:bodyPr>
        <a:lstStyle/>
        <a:p>
          <a:r>
            <a:rPr lang="en-US" sz="1200" b="1" i="0" u="sng">
              <a:effectLst/>
              <a:latin typeface="+mn-lt"/>
              <a:ea typeface="+mn-ea"/>
              <a:cs typeface="+mn-cs"/>
            </a:rPr>
            <a:t>TASK</a:t>
          </a:r>
          <a:endParaRPr lang="en-GB" sz="1200" u="sng">
            <a:effectLst/>
          </a:endParaRPr>
        </a:p>
        <a:p>
          <a:r>
            <a:rPr lang="en-GB" sz="1200" b="0" i="0">
              <a:effectLst/>
              <a:latin typeface="+mn-lt"/>
              <a:ea typeface="+mn-ea"/>
              <a:cs typeface="+mn-cs"/>
            </a:rPr>
            <a:t>- Create a </a:t>
          </a:r>
          <a:r>
            <a:rPr lang="en-GB" sz="1200" b="1" i="0">
              <a:effectLst/>
              <a:latin typeface="+mn-lt"/>
              <a:ea typeface="+mn-ea"/>
              <a:cs typeface="+mn-cs"/>
            </a:rPr>
            <a:t>summary table </a:t>
          </a:r>
          <a:r>
            <a:rPr lang="en-GB" sz="1200" b="0" i="0">
              <a:effectLst/>
              <a:latin typeface="+mn-lt"/>
              <a:ea typeface="+mn-ea"/>
              <a:cs typeface="+mn-cs"/>
            </a:rPr>
            <a:t>of the % of sales by category and gender and </a:t>
          </a:r>
          <a:r>
            <a:rPr lang="en-GB" sz="1200" b="1" i="0">
              <a:effectLst/>
              <a:latin typeface="+mn-lt"/>
              <a:ea typeface="+mn-ea"/>
              <a:cs typeface="+mn-cs"/>
            </a:rPr>
            <a:t>visualization (bar chart)</a:t>
          </a:r>
          <a:endParaRPr lang="en-GB" sz="1200" b="1">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38100</xdr:colOff>
      <xdr:row>17</xdr:row>
      <xdr:rowOff>190500</xdr:rowOff>
    </xdr:from>
    <xdr:to>
      <xdr:col>1</xdr:col>
      <xdr:colOff>647700</xdr:colOff>
      <xdr:row>24</xdr:row>
      <xdr:rowOff>184149</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9EE49D60-5EE0-EF3D-8548-51804A4D726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8100" y="3536950"/>
              <a:ext cx="1828800" cy="13715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xdr:colOff>
      <xdr:row>0</xdr:row>
      <xdr:rowOff>19050</xdr:rowOff>
    </xdr:from>
    <xdr:to>
      <xdr:col>4</xdr:col>
      <xdr:colOff>152400</xdr:colOff>
      <xdr:row>8</xdr:row>
      <xdr:rowOff>114300</xdr:rowOff>
    </xdr:to>
    <xdr:sp macro="" textlink="">
      <xdr:nvSpPr>
        <xdr:cNvPr id="4" name="TextBox 3">
          <a:extLst>
            <a:ext uri="{FF2B5EF4-FFF2-40B4-BE49-F238E27FC236}">
              <a16:creationId xmlns:a16="http://schemas.microsoft.com/office/drawing/2014/main" id="{C3A68F27-D9DD-42C0-B072-8762EF0F5370}"/>
            </a:ext>
          </a:extLst>
        </xdr:cNvPr>
        <xdr:cNvSpPr txBox="1"/>
      </xdr:nvSpPr>
      <xdr:spPr>
        <a:xfrm>
          <a:off x="12700" y="19050"/>
          <a:ext cx="3803650" cy="1670050"/>
        </a:xfrm>
        <a:prstGeom prst="rect">
          <a:avLst/>
        </a:prstGeom>
        <a:solidFill>
          <a:schemeClr val="bg2"/>
        </a:solidFill>
        <a:ln w="9525" cmpd="sng">
          <a:solidFill>
            <a:schemeClr val="lt1">
              <a:shade val="50000"/>
            </a:schemeClr>
          </a:solidFill>
        </a:ln>
      </xdr:spPr>
      <xdr:txBody>
        <a:bodyPr spcFirstLastPara="0" vertOverflow="clip" horzOverflow="clip" wrap="square" lIns="91440" tIns="45720" rIns="91440" bIns="45720" rtlCol="0" anchor="t">
          <a:noAutofit/>
        </a:bodyPr>
        <a:lstStyle/>
        <a:p>
          <a:r>
            <a:rPr lang="en-US" sz="1200" b="1" i="0" u="sng">
              <a:effectLst/>
              <a:latin typeface="+mn-lt"/>
              <a:ea typeface="+mn-ea"/>
              <a:cs typeface="+mn-cs"/>
            </a:rPr>
            <a:t>TASK</a:t>
          </a:r>
        </a:p>
        <a:p>
          <a:r>
            <a:rPr lang="en-US" sz="1200" b="0" i="0" u="none">
              <a:effectLst/>
              <a:latin typeface="+mn-lt"/>
              <a:ea typeface="+mn-ea"/>
              <a:cs typeface="+mn-cs"/>
            </a:rPr>
            <a:t>- Create</a:t>
          </a:r>
          <a:r>
            <a:rPr lang="en-US" sz="1200" b="0" i="0" u="none" baseline="0">
              <a:effectLst/>
              <a:latin typeface="+mn-lt"/>
              <a:ea typeface="+mn-ea"/>
              <a:cs typeface="+mn-cs"/>
            </a:rPr>
            <a:t> a Pivot Table by Gender and Generation</a:t>
          </a:r>
        </a:p>
        <a:p>
          <a:r>
            <a:rPr lang="en-US" sz="1200" b="0" i="0" u="none" baseline="0">
              <a:effectLst/>
              <a:latin typeface="+mn-lt"/>
              <a:ea typeface="+mn-ea"/>
              <a:cs typeface="+mn-cs"/>
            </a:rPr>
            <a:t>- Create a Visual (Bar Chart)</a:t>
          </a:r>
        </a:p>
        <a:p>
          <a:r>
            <a:rPr lang="en-US" sz="1200" b="0" i="0" u="none" baseline="0">
              <a:effectLst/>
              <a:latin typeface="+mn-lt"/>
              <a:ea typeface="+mn-ea"/>
              <a:cs typeface="+mn-cs"/>
            </a:rPr>
            <a:t>- Include interactive slicers: Gender, Category, Age Category</a:t>
          </a:r>
          <a:endParaRPr lang="en-GB" sz="1400" b="0" i="0" u="none">
            <a:effectLst/>
            <a:latin typeface="+mn-lt"/>
            <a:ea typeface="+mn-ea"/>
            <a:cs typeface="+mn-cs"/>
          </a:endParaRPr>
        </a:p>
      </xdr:txBody>
    </xdr:sp>
    <xdr:clientData/>
  </xdr:twoCellAnchor>
  <xdr:twoCellAnchor>
    <xdr:from>
      <xdr:col>11</xdr:col>
      <xdr:colOff>136524</xdr:colOff>
      <xdr:row>1</xdr:row>
      <xdr:rowOff>171450</xdr:rowOff>
    </xdr:from>
    <xdr:to>
      <xdr:col>18</xdr:col>
      <xdr:colOff>368299</xdr:colOff>
      <xdr:row>21</xdr:row>
      <xdr:rowOff>171450</xdr:rowOff>
    </xdr:to>
    <xdr:graphicFrame macro="">
      <xdr:nvGraphicFramePr>
        <xdr:cNvPr id="5" name="Chart 4">
          <a:extLst>
            <a:ext uri="{FF2B5EF4-FFF2-40B4-BE49-F238E27FC236}">
              <a16:creationId xmlns:a16="http://schemas.microsoft.com/office/drawing/2014/main" id="{E22F36C0-C3AB-6F07-23A4-E67503599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908050</xdr:colOff>
      <xdr:row>18</xdr:row>
      <xdr:rowOff>12701</xdr:rowOff>
    </xdr:from>
    <xdr:to>
      <xdr:col>4</xdr:col>
      <xdr:colOff>387350</xdr:colOff>
      <xdr:row>24</xdr:row>
      <xdr:rowOff>190501</xdr:rowOff>
    </xdr:to>
    <mc:AlternateContent xmlns:mc="http://schemas.openxmlformats.org/markup-compatibility/2006">
      <mc:Choice xmlns:a14="http://schemas.microsoft.com/office/drawing/2010/main" Requires="a14">
        <xdr:graphicFrame macro="">
          <xdr:nvGraphicFramePr>
            <xdr:cNvPr id="7" name="Age  category">
              <a:extLst>
                <a:ext uri="{FF2B5EF4-FFF2-40B4-BE49-F238E27FC236}">
                  <a16:creationId xmlns:a16="http://schemas.microsoft.com/office/drawing/2014/main" id="{5FF6254D-DF24-CB4D-AA00-6AA9CEB35FCC}"/>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dr:sp macro="" textlink="">
          <xdr:nvSpPr>
            <xdr:cNvPr id="0" name=""/>
            <xdr:cNvSpPr>
              <a:spLocks noTextEdit="1"/>
            </xdr:cNvSpPr>
          </xdr:nvSpPr>
          <xdr:spPr>
            <a:xfrm>
              <a:off x="2127250" y="3556001"/>
              <a:ext cx="1828800" cy="1358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6350</xdr:colOff>
      <xdr:row>18</xdr:row>
      <xdr:rowOff>25401</xdr:rowOff>
    </xdr:from>
    <xdr:to>
      <xdr:col>7</xdr:col>
      <xdr:colOff>577850</xdr:colOff>
      <xdr:row>25</xdr:row>
      <xdr:rowOff>6351</xdr:rowOff>
    </xdr:to>
    <mc:AlternateContent xmlns:mc="http://schemas.openxmlformats.org/markup-compatibility/2006">
      <mc:Choice xmlns:a14="http://schemas.microsoft.com/office/drawing/2010/main" Requires="a14">
        <xdr:graphicFrame macro="">
          <xdr:nvGraphicFramePr>
            <xdr:cNvPr id="8" name="Product Category">
              <a:extLst>
                <a:ext uri="{FF2B5EF4-FFF2-40B4-BE49-F238E27FC236}">
                  <a16:creationId xmlns:a16="http://schemas.microsoft.com/office/drawing/2014/main" id="{4BA99505-E5F2-BF02-22B5-946FA0DE327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4171950" y="3568701"/>
              <a:ext cx="1828800" cy="1358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9</xdr:col>
      <xdr:colOff>50800</xdr:colOff>
      <xdr:row>1</xdr:row>
      <xdr:rowOff>133350</xdr:rowOff>
    </xdr:from>
    <xdr:to>
      <xdr:col>15</xdr:col>
      <xdr:colOff>44450</xdr:colOff>
      <xdr:row>23</xdr:row>
      <xdr:rowOff>19050</xdr:rowOff>
    </xdr:to>
    <xdr:graphicFrame macro="">
      <xdr:nvGraphicFramePr>
        <xdr:cNvPr id="2" name="Chart 1">
          <a:extLst>
            <a:ext uri="{FF2B5EF4-FFF2-40B4-BE49-F238E27FC236}">
              <a16:creationId xmlns:a16="http://schemas.microsoft.com/office/drawing/2014/main" id="{4C38F769-27C3-50E7-8C1A-E921926A5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4</xdr:col>
      <xdr:colOff>349250</xdr:colOff>
      <xdr:row>8</xdr:row>
      <xdr:rowOff>152400</xdr:rowOff>
    </xdr:to>
    <xdr:sp macro="" textlink="">
      <xdr:nvSpPr>
        <xdr:cNvPr id="6" name="TextBox 5">
          <a:extLst>
            <a:ext uri="{FF2B5EF4-FFF2-40B4-BE49-F238E27FC236}">
              <a16:creationId xmlns:a16="http://schemas.microsoft.com/office/drawing/2014/main" id="{5AE33042-EF78-4A76-8D7C-70CDBC50685A}"/>
            </a:ext>
          </a:extLst>
        </xdr:cNvPr>
        <xdr:cNvSpPr txBox="1"/>
      </xdr:nvSpPr>
      <xdr:spPr>
        <a:xfrm>
          <a:off x="0" y="0"/>
          <a:ext cx="4794250" cy="1727200"/>
        </a:xfrm>
        <a:prstGeom prst="rect">
          <a:avLst/>
        </a:prstGeom>
        <a:solidFill>
          <a:schemeClr val="bg2"/>
        </a:solidFill>
        <a:ln w="9525" cmpd="sng">
          <a:solidFill>
            <a:schemeClr val="lt1">
              <a:shade val="50000"/>
            </a:schemeClr>
          </a:solidFill>
        </a:ln>
      </xdr:spPr>
      <xdr:txBody>
        <a:bodyPr spcFirstLastPara="0" vertOverflow="clip" horzOverflow="clip" wrap="square" lIns="91440" tIns="45720" rIns="91440" bIns="45720" rtlCol="0" anchor="t">
          <a:noAutofit/>
        </a:bodyPr>
        <a:lstStyle/>
        <a:p>
          <a:r>
            <a:rPr lang="en-US" sz="1200" b="1" i="0" u="sng">
              <a:effectLst/>
              <a:latin typeface="+mn-lt"/>
              <a:ea typeface="+mn-ea"/>
              <a:cs typeface="+mn-cs"/>
            </a:rPr>
            <a:t>TASK</a:t>
          </a:r>
        </a:p>
        <a:p>
          <a:r>
            <a:rPr lang="en-US" sz="1200" b="0" i="0" u="none">
              <a:effectLst/>
              <a:latin typeface="+mn-lt"/>
              <a:ea typeface="+mn-ea"/>
              <a:cs typeface="+mn-cs"/>
            </a:rPr>
            <a:t>- Create</a:t>
          </a:r>
          <a:r>
            <a:rPr lang="en-US" sz="1200" b="0" i="0" u="none" baseline="0">
              <a:effectLst/>
              <a:latin typeface="+mn-lt"/>
              <a:ea typeface="+mn-ea"/>
              <a:cs typeface="+mn-cs"/>
            </a:rPr>
            <a:t> a Pivot Table by Gender and Generation</a:t>
          </a:r>
        </a:p>
        <a:p>
          <a:r>
            <a:rPr lang="en-US" sz="1200" b="0" i="0" u="none" baseline="0">
              <a:effectLst/>
              <a:latin typeface="+mn-lt"/>
              <a:ea typeface="+mn-ea"/>
              <a:cs typeface="+mn-cs"/>
            </a:rPr>
            <a:t>- Create a Visual (Bar Chart)</a:t>
          </a:r>
        </a:p>
        <a:p>
          <a:r>
            <a:rPr lang="en-US" sz="1200" b="0" i="0" u="none" baseline="0">
              <a:effectLst/>
              <a:latin typeface="+mn-lt"/>
              <a:ea typeface="+mn-ea"/>
              <a:cs typeface="+mn-cs"/>
            </a:rPr>
            <a:t>- Include slicers - Gener, Category, Age  category</a:t>
          </a:r>
          <a:endParaRPr lang="en-GB" sz="1400" b="0" i="0" u="none">
            <a:effectLst/>
            <a:latin typeface="+mn-lt"/>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xdr:colOff>
      <xdr:row>0</xdr:row>
      <xdr:rowOff>38100</xdr:rowOff>
    </xdr:from>
    <xdr:to>
      <xdr:col>5</xdr:col>
      <xdr:colOff>152400</xdr:colOff>
      <xdr:row>8</xdr:row>
      <xdr:rowOff>171450</xdr:rowOff>
    </xdr:to>
    <xdr:sp macro="" textlink="">
      <xdr:nvSpPr>
        <xdr:cNvPr id="2" name="TextBox 1">
          <a:extLst>
            <a:ext uri="{FF2B5EF4-FFF2-40B4-BE49-F238E27FC236}">
              <a16:creationId xmlns:a16="http://schemas.microsoft.com/office/drawing/2014/main" id="{447D0A83-9188-4FEB-A0B2-CFB69F1E9E8B}"/>
            </a:ext>
          </a:extLst>
        </xdr:cNvPr>
        <xdr:cNvSpPr txBox="1"/>
      </xdr:nvSpPr>
      <xdr:spPr>
        <a:xfrm>
          <a:off x="19050" y="38100"/>
          <a:ext cx="4794250" cy="1727200"/>
        </a:xfrm>
        <a:prstGeom prst="rect">
          <a:avLst/>
        </a:prstGeom>
        <a:solidFill>
          <a:schemeClr val="bg2"/>
        </a:solidFill>
        <a:ln w="9525" cmpd="sng">
          <a:solidFill>
            <a:schemeClr val="lt1">
              <a:shade val="50000"/>
            </a:schemeClr>
          </a:solidFill>
        </a:ln>
      </xdr:spPr>
      <xdr:txBody>
        <a:bodyPr spcFirstLastPara="0" vertOverflow="clip" horzOverflow="clip" wrap="square" lIns="91440" tIns="45720" rIns="91440" bIns="45720" rtlCol="0" anchor="t">
          <a:noAutofit/>
        </a:bodyPr>
        <a:lstStyle/>
        <a:p>
          <a:r>
            <a:rPr lang="en-US" sz="1200" b="1" i="0" u="sng">
              <a:effectLst/>
              <a:latin typeface="+mn-lt"/>
              <a:ea typeface="+mn-ea"/>
              <a:cs typeface="+mn-cs"/>
            </a:rPr>
            <a:t>TASK</a:t>
          </a:r>
          <a:endParaRPr lang="en-GB" sz="1200" u="sng">
            <a:effectLst/>
          </a:endParaRPr>
        </a:p>
        <a:p>
          <a:r>
            <a:rPr lang="en-GB" sz="1200" b="0" i="0">
              <a:effectLst/>
              <a:latin typeface="+mn-lt"/>
              <a:ea typeface="+mn-ea"/>
              <a:cs typeface="+mn-cs"/>
            </a:rPr>
            <a:t>- Apply </a:t>
          </a:r>
          <a:r>
            <a:rPr lang="en-GB" sz="1200" b="1" i="0">
              <a:effectLst/>
              <a:latin typeface="+mn-lt"/>
              <a:ea typeface="+mn-ea"/>
              <a:cs typeface="+mn-cs"/>
            </a:rPr>
            <a:t>FILTER </a:t>
          </a:r>
          <a:r>
            <a:rPr lang="en-GB" sz="1200" b="0" i="0">
              <a:effectLst/>
              <a:latin typeface="+mn-lt"/>
              <a:ea typeface="+mn-ea"/>
              <a:cs typeface="+mn-cs"/>
            </a:rPr>
            <a:t>and sorting to show the best students in English</a:t>
          </a:r>
        </a:p>
        <a:p>
          <a:r>
            <a:rPr lang="en-GB" sz="1200" b="0">
              <a:effectLst/>
            </a:rPr>
            <a:t>- Calculate the </a:t>
          </a:r>
          <a:r>
            <a:rPr lang="en-GB" sz="1200" b="1">
              <a:effectLst/>
            </a:rPr>
            <a:t>AVERAGE</a:t>
          </a:r>
          <a:r>
            <a:rPr lang="en-GB" sz="1200" b="0">
              <a:effectLst/>
            </a:rPr>
            <a:t> for all students and fill into Column H (Use formula)</a:t>
          </a:r>
        </a:p>
        <a:p>
          <a:r>
            <a:rPr lang="en-GB" sz="1200" b="0">
              <a:effectLst/>
            </a:rPr>
            <a:t>- Using the =</a:t>
          </a:r>
          <a:r>
            <a:rPr lang="en-GB" sz="1200" b="1">
              <a:effectLst/>
            </a:rPr>
            <a:t>MAX function</a:t>
          </a:r>
          <a:r>
            <a:rPr lang="en-GB" sz="1200" b="0">
              <a:effectLst/>
            </a:rPr>
            <a:t>, tell me what the students highest score</a:t>
          </a:r>
        </a:p>
        <a:p>
          <a:r>
            <a:rPr lang="en-GB" sz="1200" b="0">
              <a:effectLst/>
            </a:rPr>
            <a:t>- Apply </a:t>
          </a:r>
          <a:r>
            <a:rPr lang="en-GB" sz="1200" b="1">
              <a:effectLst/>
            </a:rPr>
            <a:t>FILTER</a:t>
          </a:r>
          <a:r>
            <a:rPr lang="en-GB" sz="1200" b="0">
              <a:effectLst/>
            </a:rPr>
            <a:t> and sorting to show the best student in this classroom by average (column H)</a:t>
          </a:r>
        </a:p>
        <a:p>
          <a:r>
            <a:rPr lang="en-GB" sz="1200" b="0">
              <a:effectLst/>
            </a:rPr>
            <a:t>- Use </a:t>
          </a:r>
          <a:r>
            <a:rPr lang="en-GB" sz="1200" b="1">
              <a:effectLst/>
            </a:rPr>
            <a:t>CONDITIONAL FORMATTING </a:t>
          </a:r>
          <a:r>
            <a:rPr lang="en-GB" sz="1200" b="0">
              <a:effectLst/>
            </a:rPr>
            <a:t>to clearly identify the highest and lowest scores (column H and I)</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40.713329398146" createdVersion="8" refreshedVersion="8" minRefreshableVersion="3" recordCount="1001" xr:uid="{F6E7C8AE-598E-4761-94D8-18D1156D83B8}">
  <cacheSource type="worksheet">
    <worksheetSource ref="A1:R1048576" sheet="SUM_IF_&amp;_CONDITIONAL_FORMATTING"/>
  </cacheSource>
  <cacheFields count="18">
    <cacheField name="Transaction ID" numFmtId="0">
      <sharedItems containsString="0" containsBlank="1" containsNumber="1" containsInteger="1" minValue="1" maxValue="1000"/>
    </cacheField>
    <cacheField name="Day" numFmtId="0">
      <sharedItems containsString="0" containsBlank="1" containsNumber="1" containsInteger="1" minValue="1" maxValue="31"/>
    </cacheField>
    <cacheField name="Month" numFmtId="0">
      <sharedItems containsString="0" containsBlank="1" containsNumber="1" containsInteger="1" minValue="1" maxValue="12"/>
    </cacheField>
    <cacheField name="Year " numFmtId="0">
      <sharedItems containsString="0" containsBlank="1" containsNumber="1" containsInteger="1" minValue="2023" maxValue="2024"/>
    </cacheField>
    <cacheField name="Day name" numFmtId="0">
      <sharedItems containsBlank="1"/>
    </cacheField>
    <cacheField name="Month name" numFmtId="0">
      <sharedItems containsBlank="1"/>
    </cacheField>
    <cacheField name="Year name" numFmtId="0">
      <sharedItems containsBlank="1"/>
    </cacheField>
    <cacheField name="Date" numFmtId="0">
      <sharedItems containsNonDate="0" containsDate="1" containsString="0" containsBlank="1" minDate="2023-01-01T00:00:00" maxDate="2024-01-02T00:00:00"/>
    </cacheField>
    <cacheField name="Customer ID" numFmtId="0">
      <sharedItems containsBlank="1"/>
    </cacheField>
    <cacheField name="Gender" numFmtId="0">
      <sharedItems containsBlank="1" count="3">
        <s v="Male"/>
        <s v="Female"/>
        <m/>
      </sharedItems>
    </cacheField>
    <cacheField name="Age 1" numFmtId="0">
      <sharedItems containsBlank="1" count="4">
        <s v="Adult"/>
        <s v="Young Adult"/>
        <s v="Senior"/>
        <m/>
      </sharedItems>
    </cacheField>
    <cacheField name="Age" numFmtId="0">
      <sharedItems containsString="0" containsBlank="1" containsNumber="1" containsInteger="1" minValue="18" maxValue="64"/>
    </cacheField>
    <cacheField name="Product Category" numFmtId="0">
      <sharedItems containsBlank="1" count="4">
        <s v="Beauty"/>
        <s v="Electronics"/>
        <s v="Clothing"/>
        <m/>
      </sharedItems>
    </cacheField>
    <cacheField name="Quantity" numFmtId="0">
      <sharedItems containsString="0" containsBlank="1" containsNumber="1" containsInteger="1" minValue="1" maxValue="4"/>
    </cacheField>
    <cacheField name="Price per Unit" numFmtId="0">
      <sharedItems containsString="0" containsBlank="1" containsNumber="1" containsInteger="1" minValue="25" maxValue="500"/>
    </cacheField>
    <cacheField name="Total Sales" numFmtId="0">
      <sharedItems containsString="0" containsBlank="1" containsNumber="1" containsInteger="1" minValue="25" maxValue="2000"/>
    </cacheField>
    <cacheField name="Commission 2023" numFmtId="165">
      <sharedItems containsString="0" containsBlank="1" containsNumber="1" minValue="0.375" maxValue="30"/>
    </cacheField>
    <cacheField name="Commission 2024" numFmtId="0">
      <sharedItems containsString="0" containsBlank="1" containsNumber="1" minValue="0.5" maxValue="40"/>
    </cacheField>
  </cacheFields>
  <extLst>
    <ext xmlns:x14="http://schemas.microsoft.com/office/spreadsheetml/2009/9/main" uri="{725AE2AE-9491-48be-B2B4-4EB974FC3084}">
      <x14:pivotCacheDefinition pivotCacheId="4520390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a" refreshedDate="45979.613968865742" createdVersion="8" refreshedVersion="8" minRefreshableVersion="3" recordCount="1000" xr:uid="{40799163-BD85-4046-8204-8CFE6DD4CED5}">
  <cacheSource type="worksheet">
    <worksheetSource ref="A11:R1011" sheet="SUM_IF_&amp;_CONDITIONAL_FORMATTING"/>
  </cacheSource>
  <cacheFields count="18">
    <cacheField name="Transaction ID" numFmtId="0">
      <sharedItems containsSemiMixedTypes="0" containsString="0" containsNumber="1" containsInteger="1" minValue="1" maxValue="1000"/>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acheField>
    <cacheField name="Year " numFmtId="0">
      <sharedItems containsSemiMixedTypes="0" containsString="0" containsNumber="1" containsInteger="1" minValue="2023" maxValue="2024"/>
    </cacheField>
    <cacheField name="Day name" numFmtId="0">
      <sharedItems/>
    </cacheField>
    <cacheField name="Month name" numFmtId="0">
      <sharedItems/>
    </cacheField>
    <cacheField name="Year name" numFmtId="0">
      <sharedItems/>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1" numFmtId="0">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Sales" numFmtId="0">
      <sharedItems containsSemiMixedTypes="0" containsString="0" containsNumber="1" containsInteger="1" minValue="25" maxValue="2000"/>
    </cacheField>
    <cacheField name="Commission 2023" numFmtId="165">
      <sharedItems containsMixedTypes="1" containsNumber="1" minValue="0.375" maxValue="30"/>
    </cacheField>
    <cacheField name="Commission 2024" numFmtId="165">
      <sharedItems containsMixedTypes="1" containsNumber="1" minValue="0.5" maxValue="4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a" refreshedDate="45979.669463310187" createdVersion="8" refreshedVersion="8" minRefreshableVersion="3" recordCount="1000" xr:uid="{7945EC6D-5112-4FC9-B29A-08FF038E0AAB}">
  <cacheSource type="worksheet">
    <worksheetSource name="Table2"/>
  </cacheSource>
  <cacheFields count="18">
    <cacheField name="Transaction ID" numFmtId="0">
      <sharedItems containsSemiMixedTypes="0" containsString="0" containsNumber="1" containsInteger="1" minValue="1" maxValue="1000"/>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acheField>
    <cacheField name="Year " numFmtId="0">
      <sharedItems containsSemiMixedTypes="0" containsString="0" containsNumber="1" containsInteger="1" minValue="2023" maxValue="2024"/>
    </cacheField>
    <cacheField name="Day name" numFmtId="0">
      <sharedItems/>
    </cacheField>
    <cacheField name="Month name" numFmtId="0">
      <sharedItems/>
    </cacheField>
    <cacheField name="Year name" numFmtId="0">
      <sharedItems/>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category" numFmtId="0">
      <sharedItems count="3">
        <s v="Adult"/>
        <s v="Young Adult"/>
        <s v="Senior"/>
      </sharedItems>
    </cacheField>
    <cacheField name="Age" numFmtId="0">
      <sharedItems containsSemiMixedTypes="0" containsString="0" containsNumber="1" containsInteger="1" minValue="18" maxValue="64"/>
    </cacheField>
    <cacheField name="Product Category" numFmtId="0">
      <sharedItems count="3">
        <s v="Beauty"/>
        <s v="Electronics"/>
        <s v="Clothing"/>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Sales" numFmtId="0">
      <sharedItems containsSemiMixedTypes="0" containsString="0" containsNumber="1" containsInteger="1" minValue="25" maxValue="2000"/>
    </cacheField>
    <cacheField name="Commission 2023" numFmtId="0">
      <sharedItems containsSemiMixedTypes="0" containsString="0" containsNumber="1" minValue="0.375" maxValue="30"/>
    </cacheField>
    <cacheField name="Commission 2024" numFmtId="0">
      <sharedItems containsSemiMixedTypes="0" containsString="0" containsNumber="1" minValue="0.5" maxValue="40"/>
    </cacheField>
  </cacheFields>
  <extLst>
    <ext xmlns:x14="http://schemas.microsoft.com/office/spreadsheetml/2009/9/main" uri="{725AE2AE-9491-48be-B2B4-4EB974FC3084}">
      <x14:pivotCacheDefinition pivotCacheId="3436377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n v="24"/>
    <n v="11"/>
    <n v="2023"/>
    <s v="Friday"/>
    <s v="November"/>
    <s v="2023"/>
    <d v="2023-11-24T00:00:00"/>
    <s v="CUST001"/>
    <x v="0"/>
    <x v="0"/>
    <n v="34"/>
    <x v="0"/>
    <n v="3"/>
    <n v="50"/>
    <n v="150"/>
    <n v="2.25"/>
    <n v="3"/>
  </r>
  <r>
    <n v="2"/>
    <n v="27"/>
    <n v="2"/>
    <n v="2023"/>
    <s v="Monday"/>
    <s v="February"/>
    <s v="2023"/>
    <d v="2023-02-27T00:00:00"/>
    <s v="CUST002"/>
    <x v="1"/>
    <x v="1"/>
    <n v="26"/>
    <x v="0"/>
    <n v="2"/>
    <n v="500"/>
    <n v="1000"/>
    <n v="15"/>
    <n v="20"/>
  </r>
  <r>
    <n v="3"/>
    <n v="13"/>
    <n v="1"/>
    <n v="2023"/>
    <s v="Friday"/>
    <s v="January"/>
    <s v="2023"/>
    <d v="2023-01-13T00:00:00"/>
    <s v="CUST003"/>
    <x v="0"/>
    <x v="0"/>
    <n v="50"/>
    <x v="0"/>
    <n v="1"/>
    <n v="30"/>
    <n v="30"/>
    <n v="0.44999999999999996"/>
    <n v="0.6"/>
  </r>
  <r>
    <n v="4"/>
    <n v="21"/>
    <n v="5"/>
    <n v="2023"/>
    <s v="Sunday"/>
    <s v="May"/>
    <s v="2023"/>
    <d v="2023-05-21T00:00:00"/>
    <s v="CUST004"/>
    <x v="0"/>
    <x v="0"/>
    <n v="37"/>
    <x v="0"/>
    <n v="1"/>
    <n v="500"/>
    <n v="500"/>
    <n v="7.5"/>
    <n v="10"/>
  </r>
  <r>
    <n v="5"/>
    <n v="6"/>
    <n v="5"/>
    <n v="2023"/>
    <s v="Saturday"/>
    <s v="May"/>
    <s v="2023"/>
    <d v="2023-05-06T00:00:00"/>
    <s v="CUST005"/>
    <x v="0"/>
    <x v="0"/>
    <n v="30"/>
    <x v="0"/>
    <n v="2"/>
    <n v="50"/>
    <n v="100"/>
    <n v="1.5"/>
    <n v="2"/>
  </r>
  <r>
    <n v="6"/>
    <n v="25"/>
    <n v="4"/>
    <n v="2023"/>
    <s v="Tuesday"/>
    <s v="April"/>
    <s v="2023"/>
    <d v="2023-04-25T00:00:00"/>
    <s v="CUST006"/>
    <x v="1"/>
    <x v="0"/>
    <n v="45"/>
    <x v="0"/>
    <n v="1"/>
    <n v="30"/>
    <n v="30"/>
    <n v="0.44999999999999996"/>
    <n v="0.6"/>
  </r>
  <r>
    <n v="7"/>
    <n v="13"/>
    <n v="3"/>
    <n v="2023"/>
    <s v="Monday"/>
    <s v="March"/>
    <s v="2023"/>
    <d v="2023-03-13T00:00:00"/>
    <s v="CUST007"/>
    <x v="0"/>
    <x v="0"/>
    <n v="46"/>
    <x v="0"/>
    <n v="2"/>
    <n v="25"/>
    <n v="50"/>
    <n v="0.75"/>
    <n v="1"/>
  </r>
  <r>
    <n v="8"/>
    <n v="22"/>
    <n v="2"/>
    <n v="2023"/>
    <s v="Wednesday"/>
    <s v="February"/>
    <s v="2023"/>
    <d v="2023-02-22T00:00:00"/>
    <s v="CUST008"/>
    <x v="0"/>
    <x v="0"/>
    <n v="30"/>
    <x v="0"/>
    <n v="4"/>
    <n v="25"/>
    <n v="100"/>
    <n v="1.5"/>
    <n v="2"/>
  </r>
  <r>
    <n v="9"/>
    <n v="13"/>
    <n v="12"/>
    <n v="2023"/>
    <s v="Wednesday"/>
    <s v="December"/>
    <s v="2023"/>
    <d v="2023-12-13T00:00:00"/>
    <s v="CUST009"/>
    <x v="0"/>
    <x v="2"/>
    <n v="63"/>
    <x v="0"/>
    <n v="2"/>
    <n v="300"/>
    <n v="600"/>
    <n v="9"/>
    <n v="12"/>
  </r>
  <r>
    <n v="10"/>
    <n v="7"/>
    <n v="10"/>
    <n v="2023"/>
    <s v="Saturday"/>
    <s v="October"/>
    <s v="2023"/>
    <d v="2023-10-07T00:00:00"/>
    <s v="CUST010"/>
    <x v="1"/>
    <x v="2"/>
    <n v="52"/>
    <x v="0"/>
    <n v="4"/>
    <n v="50"/>
    <n v="200"/>
    <n v="3"/>
    <n v="4"/>
  </r>
  <r>
    <n v="11"/>
    <n v="14"/>
    <n v="2"/>
    <n v="2023"/>
    <s v="Tuesday"/>
    <s v="February"/>
    <s v="2023"/>
    <d v="2023-02-14T00:00:00"/>
    <s v="CUST011"/>
    <x v="0"/>
    <x v="1"/>
    <n v="23"/>
    <x v="0"/>
    <n v="2"/>
    <n v="50"/>
    <n v="100"/>
    <n v="1.5"/>
    <n v="2"/>
  </r>
  <r>
    <n v="12"/>
    <n v="30"/>
    <n v="10"/>
    <n v="2023"/>
    <s v="Monday"/>
    <s v="October"/>
    <s v="2023"/>
    <d v="2023-10-30T00:00:00"/>
    <s v="CUST012"/>
    <x v="0"/>
    <x v="0"/>
    <n v="35"/>
    <x v="0"/>
    <n v="3"/>
    <n v="25"/>
    <n v="75"/>
    <n v="1.125"/>
    <n v="1.5"/>
  </r>
  <r>
    <n v="13"/>
    <n v="5"/>
    <n v="8"/>
    <n v="2023"/>
    <s v="Saturday"/>
    <s v="August"/>
    <s v="2023"/>
    <d v="2023-08-05T00:00:00"/>
    <s v="CUST013"/>
    <x v="0"/>
    <x v="1"/>
    <n v="22"/>
    <x v="0"/>
    <n v="3"/>
    <n v="500"/>
    <n v="1500"/>
    <n v="22.5"/>
    <n v="30"/>
  </r>
  <r>
    <n v="14"/>
    <n v="17"/>
    <n v="1"/>
    <n v="2023"/>
    <s v="Tuesday"/>
    <s v="January"/>
    <s v="2023"/>
    <d v="2023-01-17T00:00:00"/>
    <s v="CUST014"/>
    <x v="0"/>
    <x v="2"/>
    <n v="64"/>
    <x v="0"/>
    <n v="4"/>
    <n v="30"/>
    <n v="120"/>
    <n v="1.7999999999999998"/>
    <n v="2.4"/>
  </r>
  <r>
    <n v="15"/>
    <n v="16"/>
    <n v="1"/>
    <n v="2023"/>
    <s v="Monday"/>
    <s v="January"/>
    <s v="2023"/>
    <d v="2023-01-16T00:00:00"/>
    <s v="CUST015"/>
    <x v="1"/>
    <x v="0"/>
    <n v="42"/>
    <x v="0"/>
    <n v="4"/>
    <n v="500"/>
    <n v="2000"/>
    <n v="30"/>
    <n v="40"/>
  </r>
  <r>
    <n v="16"/>
    <n v="17"/>
    <n v="2"/>
    <n v="2023"/>
    <s v="Friday"/>
    <s v="February"/>
    <s v="2023"/>
    <d v="2023-02-17T00:00:00"/>
    <s v="CUST016"/>
    <x v="0"/>
    <x v="1"/>
    <n v="19"/>
    <x v="0"/>
    <n v="3"/>
    <n v="500"/>
    <n v="1500"/>
    <n v="22.5"/>
    <n v="30"/>
  </r>
  <r>
    <n v="17"/>
    <n v="22"/>
    <n v="4"/>
    <n v="2023"/>
    <s v="Saturday"/>
    <s v="April"/>
    <s v="2023"/>
    <d v="2023-04-22T00:00:00"/>
    <s v="CUST017"/>
    <x v="1"/>
    <x v="1"/>
    <n v="27"/>
    <x v="0"/>
    <n v="4"/>
    <n v="25"/>
    <n v="100"/>
    <n v="1.5"/>
    <n v="2"/>
  </r>
  <r>
    <n v="18"/>
    <n v="30"/>
    <n v="4"/>
    <n v="2023"/>
    <s v="Sunday"/>
    <s v="April"/>
    <s v="2023"/>
    <d v="2023-04-30T00:00:00"/>
    <s v="CUST018"/>
    <x v="1"/>
    <x v="0"/>
    <n v="47"/>
    <x v="0"/>
    <n v="2"/>
    <n v="25"/>
    <n v="50"/>
    <n v="0.75"/>
    <n v="1"/>
  </r>
  <r>
    <n v="19"/>
    <n v="16"/>
    <n v="9"/>
    <n v="2023"/>
    <s v="Saturday"/>
    <s v="September"/>
    <s v="2023"/>
    <d v="2023-09-16T00:00:00"/>
    <s v="CUST019"/>
    <x v="1"/>
    <x v="2"/>
    <n v="62"/>
    <x v="0"/>
    <n v="2"/>
    <n v="25"/>
    <n v="50"/>
    <n v="0.75"/>
    <n v="1"/>
  </r>
  <r>
    <n v="20"/>
    <n v="5"/>
    <n v="11"/>
    <n v="2023"/>
    <s v="Sunday"/>
    <s v="November"/>
    <s v="2023"/>
    <d v="2023-11-05T00:00:00"/>
    <s v="CUST020"/>
    <x v="0"/>
    <x v="1"/>
    <n v="22"/>
    <x v="0"/>
    <n v="3"/>
    <n v="300"/>
    <n v="900"/>
    <n v="13.5"/>
    <n v="18"/>
  </r>
  <r>
    <n v="21"/>
    <n v="14"/>
    <n v="1"/>
    <n v="2023"/>
    <s v="Saturday"/>
    <s v="January"/>
    <s v="2023"/>
    <d v="2023-01-14T00:00:00"/>
    <s v="CUST021"/>
    <x v="1"/>
    <x v="0"/>
    <n v="50"/>
    <x v="0"/>
    <n v="1"/>
    <n v="500"/>
    <n v="500"/>
    <n v="7.5"/>
    <n v="10"/>
  </r>
  <r>
    <n v="22"/>
    <n v="15"/>
    <n v="10"/>
    <n v="2023"/>
    <s v="Sunday"/>
    <s v="October"/>
    <s v="2023"/>
    <d v="2023-10-15T00:00:00"/>
    <s v="CUST022"/>
    <x v="0"/>
    <x v="1"/>
    <n v="18"/>
    <x v="0"/>
    <n v="2"/>
    <n v="50"/>
    <n v="100"/>
    <n v="1.5"/>
    <n v="2"/>
  </r>
  <r>
    <n v="23"/>
    <n v="12"/>
    <n v="4"/>
    <n v="2023"/>
    <s v="Wednesday"/>
    <s v="April"/>
    <s v="2023"/>
    <d v="2023-04-12T00:00:00"/>
    <s v="CUST023"/>
    <x v="1"/>
    <x v="0"/>
    <n v="35"/>
    <x v="0"/>
    <n v="4"/>
    <n v="30"/>
    <n v="120"/>
    <n v="1.7999999999999998"/>
    <n v="2.4"/>
  </r>
  <r>
    <n v="24"/>
    <n v="29"/>
    <n v="11"/>
    <n v="2023"/>
    <s v="Wednesday"/>
    <s v="November"/>
    <s v="2023"/>
    <d v="2023-11-29T00:00:00"/>
    <s v="CUST024"/>
    <x v="1"/>
    <x v="0"/>
    <n v="49"/>
    <x v="0"/>
    <n v="1"/>
    <n v="300"/>
    <n v="300"/>
    <n v="4.5"/>
    <n v="6"/>
  </r>
  <r>
    <n v="25"/>
    <n v="26"/>
    <n v="12"/>
    <n v="2023"/>
    <s v="Tuesday"/>
    <s v="December"/>
    <s v="2023"/>
    <d v="2023-12-26T00:00:00"/>
    <s v="CUST025"/>
    <x v="1"/>
    <x v="2"/>
    <n v="64"/>
    <x v="0"/>
    <n v="1"/>
    <n v="50"/>
    <n v="50"/>
    <n v="0.75"/>
    <n v="1"/>
  </r>
  <r>
    <n v="26"/>
    <n v="7"/>
    <n v="10"/>
    <n v="2023"/>
    <s v="Saturday"/>
    <s v="October"/>
    <s v="2023"/>
    <d v="2023-10-07T00:00:00"/>
    <s v="CUST026"/>
    <x v="1"/>
    <x v="1"/>
    <n v="28"/>
    <x v="0"/>
    <n v="2"/>
    <n v="500"/>
    <n v="1000"/>
    <n v="15"/>
    <n v="20"/>
  </r>
  <r>
    <n v="27"/>
    <n v="3"/>
    <n v="8"/>
    <n v="2023"/>
    <s v="Thursday"/>
    <s v="August"/>
    <s v="2023"/>
    <d v="2023-08-03T00:00:00"/>
    <s v="CUST027"/>
    <x v="1"/>
    <x v="0"/>
    <n v="38"/>
    <x v="0"/>
    <n v="2"/>
    <n v="25"/>
    <n v="50"/>
    <n v="0.75"/>
    <n v="1"/>
  </r>
  <r>
    <n v="28"/>
    <n v="23"/>
    <n v="4"/>
    <n v="2023"/>
    <s v="Sunday"/>
    <s v="April"/>
    <s v="2023"/>
    <d v="2023-04-23T00:00:00"/>
    <s v="CUST028"/>
    <x v="1"/>
    <x v="0"/>
    <n v="43"/>
    <x v="0"/>
    <n v="1"/>
    <n v="500"/>
    <n v="500"/>
    <n v="7.5"/>
    <n v="10"/>
  </r>
  <r>
    <n v="29"/>
    <n v="18"/>
    <n v="8"/>
    <n v="2023"/>
    <s v="Friday"/>
    <s v="August"/>
    <s v="2023"/>
    <d v="2023-08-18T00:00:00"/>
    <s v="CUST029"/>
    <x v="1"/>
    <x v="0"/>
    <n v="42"/>
    <x v="0"/>
    <n v="1"/>
    <n v="30"/>
    <n v="30"/>
    <n v="0.44999999999999996"/>
    <n v="0.6"/>
  </r>
  <r>
    <n v="30"/>
    <n v="29"/>
    <n v="10"/>
    <n v="2023"/>
    <s v="Sunday"/>
    <s v="October"/>
    <s v="2023"/>
    <d v="2023-10-29T00:00:00"/>
    <s v="CUST030"/>
    <x v="1"/>
    <x v="0"/>
    <n v="39"/>
    <x v="0"/>
    <n v="3"/>
    <n v="300"/>
    <n v="900"/>
    <n v="13.5"/>
    <n v="18"/>
  </r>
  <r>
    <n v="31"/>
    <n v="23"/>
    <n v="5"/>
    <n v="2023"/>
    <s v="Tuesday"/>
    <s v="May"/>
    <s v="2023"/>
    <d v="2023-05-23T00:00:00"/>
    <s v="CUST031"/>
    <x v="0"/>
    <x v="0"/>
    <n v="44"/>
    <x v="0"/>
    <n v="4"/>
    <n v="300"/>
    <n v="1200"/>
    <n v="18"/>
    <n v="24"/>
  </r>
  <r>
    <n v="32"/>
    <n v="4"/>
    <n v="1"/>
    <n v="2023"/>
    <s v="Wednesday"/>
    <s v="January"/>
    <s v="2023"/>
    <d v="2023-01-04T00:00:00"/>
    <s v="CUST032"/>
    <x v="0"/>
    <x v="0"/>
    <n v="30"/>
    <x v="0"/>
    <n v="3"/>
    <n v="30"/>
    <n v="90"/>
    <n v="1.3499999999999999"/>
    <n v="1.8"/>
  </r>
  <r>
    <n v="33"/>
    <n v="23"/>
    <n v="3"/>
    <n v="2023"/>
    <s v="Thursday"/>
    <s v="March"/>
    <s v="2023"/>
    <d v="2023-03-23T00:00:00"/>
    <s v="CUST033"/>
    <x v="1"/>
    <x v="0"/>
    <n v="50"/>
    <x v="0"/>
    <n v="2"/>
    <n v="50"/>
    <n v="100"/>
    <n v="1.5"/>
    <n v="2"/>
  </r>
  <r>
    <n v="34"/>
    <n v="24"/>
    <n v="12"/>
    <n v="2023"/>
    <s v="Sunday"/>
    <s v="December"/>
    <s v="2023"/>
    <d v="2023-12-24T00:00:00"/>
    <s v="CUST034"/>
    <x v="1"/>
    <x v="2"/>
    <n v="51"/>
    <x v="0"/>
    <n v="3"/>
    <n v="50"/>
    <n v="150"/>
    <n v="2.25"/>
    <n v="3"/>
  </r>
  <r>
    <n v="35"/>
    <n v="5"/>
    <n v="8"/>
    <n v="2023"/>
    <s v="Saturday"/>
    <s v="August"/>
    <s v="2023"/>
    <d v="2023-08-05T00:00:00"/>
    <s v="CUST035"/>
    <x v="1"/>
    <x v="2"/>
    <n v="58"/>
    <x v="0"/>
    <n v="3"/>
    <n v="300"/>
    <n v="900"/>
    <n v="13.5"/>
    <n v="18"/>
  </r>
  <r>
    <n v="36"/>
    <n v="24"/>
    <n v="6"/>
    <n v="2023"/>
    <s v="Saturday"/>
    <s v="June"/>
    <s v="2023"/>
    <d v="2023-06-24T00:00:00"/>
    <s v="CUST036"/>
    <x v="0"/>
    <x v="2"/>
    <n v="52"/>
    <x v="0"/>
    <n v="3"/>
    <n v="300"/>
    <n v="900"/>
    <n v="13.5"/>
    <n v="18"/>
  </r>
  <r>
    <n v="37"/>
    <n v="23"/>
    <n v="5"/>
    <n v="2023"/>
    <s v="Tuesday"/>
    <s v="May"/>
    <s v="2023"/>
    <d v="2023-05-23T00:00:00"/>
    <s v="CUST037"/>
    <x v="1"/>
    <x v="1"/>
    <n v="18"/>
    <x v="0"/>
    <n v="3"/>
    <n v="25"/>
    <n v="75"/>
    <n v="1.125"/>
    <n v="1.5"/>
  </r>
  <r>
    <n v="38"/>
    <n v="21"/>
    <n v="3"/>
    <n v="2023"/>
    <s v="Tuesday"/>
    <s v="March"/>
    <s v="2023"/>
    <d v="2023-03-21T00:00:00"/>
    <s v="CUST038"/>
    <x v="0"/>
    <x v="0"/>
    <n v="38"/>
    <x v="0"/>
    <n v="4"/>
    <n v="50"/>
    <n v="200"/>
    <n v="3"/>
    <n v="4"/>
  </r>
  <r>
    <n v="39"/>
    <n v="21"/>
    <n v="4"/>
    <n v="2023"/>
    <s v="Friday"/>
    <s v="April"/>
    <s v="2023"/>
    <d v="2023-04-21T00:00:00"/>
    <s v="CUST039"/>
    <x v="0"/>
    <x v="1"/>
    <n v="23"/>
    <x v="0"/>
    <n v="4"/>
    <n v="30"/>
    <n v="120"/>
    <n v="1.7999999999999998"/>
    <n v="2.4"/>
  </r>
  <r>
    <n v="40"/>
    <n v="22"/>
    <n v="6"/>
    <n v="2023"/>
    <s v="Thursday"/>
    <s v="June"/>
    <s v="2023"/>
    <d v="2023-06-22T00:00:00"/>
    <s v="CUST040"/>
    <x v="0"/>
    <x v="0"/>
    <n v="45"/>
    <x v="0"/>
    <n v="1"/>
    <n v="50"/>
    <n v="50"/>
    <n v="0.75"/>
    <n v="1"/>
  </r>
  <r>
    <n v="41"/>
    <n v="22"/>
    <n v="2"/>
    <n v="2023"/>
    <s v="Wednesday"/>
    <s v="February"/>
    <s v="2023"/>
    <d v="2023-02-22T00:00:00"/>
    <s v="CUST041"/>
    <x v="0"/>
    <x v="0"/>
    <n v="34"/>
    <x v="0"/>
    <n v="2"/>
    <n v="25"/>
    <n v="50"/>
    <n v="0.75"/>
    <n v="1"/>
  </r>
  <r>
    <n v="42"/>
    <n v="17"/>
    <n v="2"/>
    <n v="2023"/>
    <s v="Friday"/>
    <s v="February"/>
    <s v="2023"/>
    <d v="2023-02-17T00:00:00"/>
    <s v="CUST042"/>
    <x v="0"/>
    <x v="1"/>
    <n v="22"/>
    <x v="0"/>
    <n v="3"/>
    <n v="300"/>
    <n v="900"/>
    <n v="13.5"/>
    <n v="18"/>
  </r>
  <r>
    <n v="43"/>
    <n v="14"/>
    <n v="7"/>
    <n v="2023"/>
    <s v="Friday"/>
    <s v="July"/>
    <s v="2023"/>
    <d v="2023-07-14T00:00:00"/>
    <s v="CUST043"/>
    <x v="1"/>
    <x v="0"/>
    <n v="48"/>
    <x v="0"/>
    <n v="1"/>
    <n v="300"/>
    <n v="300"/>
    <n v="4.5"/>
    <n v="6"/>
  </r>
  <r>
    <n v="44"/>
    <n v="19"/>
    <n v="2"/>
    <n v="2023"/>
    <s v="Sunday"/>
    <s v="February"/>
    <s v="2023"/>
    <d v="2023-02-19T00:00:00"/>
    <s v="CUST044"/>
    <x v="1"/>
    <x v="1"/>
    <n v="22"/>
    <x v="0"/>
    <n v="1"/>
    <n v="25"/>
    <n v="25"/>
    <n v="0.375"/>
    <n v="0.5"/>
  </r>
  <r>
    <n v="45"/>
    <n v="3"/>
    <n v="7"/>
    <n v="2023"/>
    <s v="Monday"/>
    <s v="July"/>
    <s v="2023"/>
    <d v="2023-07-03T00:00:00"/>
    <s v="CUST045"/>
    <x v="1"/>
    <x v="2"/>
    <n v="55"/>
    <x v="0"/>
    <n v="1"/>
    <n v="30"/>
    <n v="30"/>
    <n v="0.44999999999999996"/>
    <n v="0.6"/>
  </r>
  <r>
    <n v="46"/>
    <n v="26"/>
    <n v="6"/>
    <n v="2023"/>
    <s v="Monday"/>
    <s v="June"/>
    <s v="2023"/>
    <d v="2023-06-26T00:00:00"/>
    <s v="CUST046"/>
    <x v="1"/>
    <x v="1"/>
    <n v="20"/>
    <x v="0"/>
    <n v="4"/>
    <n v="300"/>
    <n v="1200"/>
    <n v="18"/>
    <n v="24"/>
  </r>
  <r>
    <n v="47"/>
    <n v="6"/>
    <n v="11"/>
    <n v="2023"/>
    <s v="Monday"/>
    <s v="November"/>
    <s v="2023"/>
    <d v="2023-11-06T00:00:00"/>
    <s v="CUST047"/>
    <x v="1"/>
    <x v="0"/>
    <n v="40"/>
    <x v="0"/>
    <n v="3"/>
    <n v="500"/>
    <n v="1500"/>
    <n v="22.5"/>
    <n v="30"/>
  </r>
  <r>
    <n v="48"/>
    <n v="16"/>
    <n v="5"/>
    <n v="2023"/>
    <s v="Tuesday"/>
    <s v="May"/>
    <s v="2023"/>
    <d v="2023-05-16T00:00:00"/>
    <s v="CUST048"/>
    <x v="0"/>
    <x v="2"/>
    <n v="54"/>
    <x v="0"/>
    <n v="3"/>
    <n v="300"/>
    <n v="900"/>
    <n v="13.5"/>
    <n v="18"/>
  </r>
  <r>
    <n v="49"/>
    <n v="23"/>
    <n v="1"/>
    <n v="2023"/>
    <s v="Monday"/>
    <s v="January"/>
    <s v="2023"/>
    <d v="2023-01-23T00:00:00"/>
    <s v="CUST049"/>
    <x v="1"/>
    <x v="2"/>
    <n v="54"/>
    <x v="0"/>
    <n v="2"/>
    <n v="500"/>
    <n v="1000"/>
    <n v="15"/>
    <n v="20"/>
  </r>
  <r>
    <n v="50"/>
    <n v="24"/>
    <n v="8"/>
    <n v="2023"/>
    <s v="Thursday"/>
    <s v="August"/>
    <s v="2023"/>
    <d v="2023-08-24T00:00:00"/>
    <s v="CUST050"/>
    <x v="1"/>
    <x v="1"/>
    <n v="27"/>
    <x v="0"/>
    <n v="3"/>
    <n v="25"/>
    <n v="75"/>
    <n v="1.125"/>
    <n v="1.5"/>
  </r>
  <r>
    <n v="51"/>
    <n v="2"/>
    <n v="10"/>
    <n v="2023"/>
    <s v="Monday"/>
    <s v="October"/>
    <s v="2023"/>
    <d v="2023-10-02T00:00:00"/>
    <s v="CUST051"/>
    <x v="0"/>
    <x v="1"/>
    <n v="27"/>
    <x v="0"/>
    <n v="3"/>
    <n v="25"/>
    <n v="75"/>
    <n v="1.125"/>
    <n v="1.5"/>
  </r>
  <r>
    <n v="52"/>
    <n v="5"/>
    <n v="3"/>
    <n v="2023"/>
    <s v="Sunday"/>
    <s v="March"/>
    <s v="2023"/>
    <d v="2023-03-05T00:00:00"/>
    <s v="CUST052"/>
    <x v="1"/>
    <x v="0"/>
    <n v="36"/>
    <x v="0"/>
    <n v="1"/>
    <n v="300"/>
    <n v="300"/>
    <n v="4.5"/>
    <n v="6"/>
  </r>
  <r>
    <n v="53"/>
    <n v="13"/>
    <n v="7"/>
    <n v="2023"/>
    <s v="Thursday"/>
    <s v="July"/>
    <s v="2023"/>
    <d v="2023-07-13T00:00:00"/>
    <s v="CUST053"/>
    <x v="0"/>
    <x v="0"/>
    <n v="34"/>
    <x v="0"/>
    <n v="2"/>
    <n v="50"/>
    <n v="100"/>
    <n v="1.5"/>
    <n v="2"/>
  </r>
  <r>
    <n v="54"/>
    <n v="10"/>
    <n v="2"/>
    <n v="2023"/>
    <s v="Friday"/>
    <s v="February"/>
    <s v="2023"/>
    <d v="2023-02-10T00:00:00"/>
    <s v="CUST054"/>
    <x v="1"/>
    <x v="0"/>
    <n v="38"/>
    <x v="0"/>
    <n v="3"/>
    <n v="500"/>
    <n v="1500"/>
    <n v="22.5"/>
    <n v="30"/>
  </r>
  <r>
    <n v="55"/>
    <n v="10"/>
    <n v="10"/>
    <n v="2023"/>
    <s v="Tuesday"/>
    <s v="October"/>
    <s v="2023"/>
    <d v="2023-10-10T00:00:00"/>
    <s v="CUST055"/>
    <x v="0"/>
    <x v="0"/>
    <n v="31"/>
    <x v="0"/>
    <n v="4"/>
    <n v="30"/>
    <n v="120"/>
    <n v="1.7999999999999998"/>
    <n v="2.4"/>
  </r>
  <r>
    <n v="56"/>
    <n v="31"/>
    <n v="5"/>
    <n v="2023"/>
    <s v="Wednesday"/>
    <s v="May"/>
    <s v="2023"/>
    <d v="2023-05-31T00:00:00"/>
    <s v="CUST056"/>
    <x v="1"/>
    <x v="1"/>
    <n v="26"/>
    <x v="0"/>
    <n v="3"/>
    <n v="300"/>
    <n v="900"/>
    <n v="13.5"/>
    <n v="18"/>
  </r>
  <r>
    <n v="57"/>
    <n v="18"/>
    <n v="11"/>
    <n v="2023"/>
    <s v="Saturday"/>
    <s v="November"/>
    <s v="2023"/>
    <d v="2023-11-18T00:00:00"/>
    <s v="CUST057"/>
    <x v="1"/>
    <x v="2"/>
    <n v="63"/>
    <x v="0"/>
    <n v="1"/>
    <n v="30"/>
    <n v="30"/>
    <n v="0.44999999999999996"/>
    <n v="0.6"/>
  </r>
  <r>
    <n v="58"/>
    <n v="13"/>
    <n v="11"/>
    <n v="2023"/>
    <s v="Monday"/>
    <s v="November"/>
    <s v="2023"/>
    <d v="2023-11-13T00:00:00"/>
    <s v="CUST058"/>
    <x v="0"/>
    <x v="1"/>
    <n v="18"/>
    <x v="0"/>
    <n v="4"/>
    <n v="300"/>
    <n v="1200"/>
    <n v="18"/>
    <n v="24"/>
  </r>
  <r>
    <n v="59"/>
    <n v="5"/>
    <n v="7"/>
    <n v="2023"/>
    <s v="Wednesday"/>
    <s v="July"/>
    <s v="2023"/>
    <d v="2023-07-05T00:00:00"/>
    <s v="CUST059"/>
    <x v="0"/>
    <x v="2"/>
    <n v="62"/>
    <x v="0"/>
    <n v="1"/>
    <n v="50"/>
    <n v="50"/>
    <n v="0.75"/>
    <n v="1"/>
  </r>
  <r>
    <n v="60"/>
    <n v="23"/>
    <n v="10"/>
    <n v="2023"/>
    <s v="Monday"/>
    <s v="October"/>
    <s v="2023"/>
    <d v="2023-10-23T00:00:00"/>
    <s v="CUST060"/>
    <x v="0"/>
    <x v="0"/>
    <n v="30"/>
    <x v="0"/>
    <n v="3"/>
    <n v="50"/>
    <n v="150"/>
    <n v="2.25"/>
    <n v="3"/>
  </r>
  <r>
    <n v="61"/>
    <n v="9"/>
    <n v="4"/>
    <n v="2023"/>
    <s v="Sunday"/>
    <s v="April"/>
    <s v="2023"/>
    <d v="2023-04-09T00:00:00"/>
    <s v="CUST061"/>
    <x v="0"/>
    <x v="1"/>
    <n v="21"/>
    <x v="0"/>
    <n v="4"/>
    <n v="50"/>
    <n v="200"/>
    <n v="3"/>
    <n v="4"/>
  </r>
  <r>
    <n v="62"/>
    <n v="27"/>
    <n v="12"/>
    <n v="2023"/>
    <s v="Wednesday"/>
    <s v="December"/>
    <s v="2023"/>
    <d v="2023-12-27T00:00:00"/>
    <s v="CUST062"/>
    <x v="0"/>
    <x v="1"/>
    <n v="18"/>
    <x v="0"/>
    <n v="2"/>
    <n v="50"/>
    <n v="100"/>
    <n v="1.5"/>
    <n v="2"/>
  </r>
  <r>
    <n v="63"/>
    <n v="5"/>
    <n v="2"/>
    <n v="2023"/>
    <s v="Sunday"/>
    <s v="February"/>
    <s v="2023"/>
    <d v="2023-02-05T00:00:00"/>
    <s v="CUST063"/>
    <x v="0"/>
    <x v="2"/>
    <n v="57"/>
    <x v="0"/>
    <n v="2"/>
    <n v="25"/>
    <n v="50"/>
    <n v="0.75"/>
    <n v="1"/>
  </r>
  <r>
    <n v="64"/>
    <n v="24"/>
    <n v="1"/>
    <n v="2023"/>
    <s v="Tuesday"/>
    <s v="January"/>
    <s v="2023"/>
    <d v="2023-01-24T00:00:00"/>
    <s v="CUST064"/>
    <x v="0"/>
    <x v="0"/>
    <n v="49"/>
    <x v="0"/>
    <n v="4"/>
    <n v="25"/>
    <n v="100"/>
    <n v="1.5"/>
    <n v="2"/>
  </r>
  <r>
    <n v="65"/>
    <n v="5"/>
    <n v="12"/>
    <n v="2023"/>
    <s v="Tuesday"/>
    <s v="December"/>
    <s v="2023"/>
    <d v="2023-12-05T00:00:00"/>
    <s v="CUST065"/>
    <x v="0"/>
    <x v="2"/>
    <n v="51"/>
    <x v="0"/>
    <n v="4"/>
    <n v="500"/>
    <n v="2000"/>
    <n v="30"/>
    <n v="40"/>
  </r>
  <r>
    <n v="66"/>
    <n v="27"/>
    <n v="4"/>
    <n v="2023"/>
    <s v="Thursday"/>
    <s v="April"/>
    <s v="2023"/>
    <d v="2023-04-27T00:00:00"/>
    <s v="CUST066"/>
    <x v="1"/>
    <x v="0"/>
    <n v="45"/>
    <x v="0"/>
    <n v="1"/>
    <n v="30"/>
    <n v="30"/>
    <n v="0.44999999999999996"/>
    <n v="0.6"/>
  </r>
  <r>
    <n v="67"/>
    <n v="29"/>
    <n v="5"/>
    <n v="2023"/>
    <s v="Monday"/>
    <s v="May"/>
    <s v="2023"/>
    <d v="2023-05-29T00:00:00"/>
    <s v="CUST067"/>
    <x v="1"/>
    <x v="0"/>
    <n v="48"/>
    <x v="0"/>
    <n v="4"/>
    <n v="300"/>
    <n v="1200"/>
    <n v="18"/>
    <n v="24"/>
  </r>
  <r>
    <n v="68"/>
    <n v="10"/>
    <n v="2"/>
    <n v="2023"/>
    <s v="Friday"/>
    <s v="February"/>
    <s v="2023"/>
    <d v="2023-02-10T00:00:00"/>
    <s v="CUST068"/>
    <x v="0"/>
    <x v="1"/>
    <n v="25"/>
    <x v="0"/>
    <n v="1"/>
    <n v="300"/>
    <n v="300"/>
    <n v="4.5"/>
    <n v="6"/>
  </r>
  <r>
    <n v="69"/>
    <n v="30"/>
    <n v="4"/>
    <n v="2023"/>
    <s v="Sunday"/>
    <s v="April"/>
    <s v="2023"/>
    <d v="2023-04-30T00:00:00"/>
    <s v="CUST069"/>
    <x v="1"/>
    <x v="2"/>
    <n v="56"/>
    <x v="0"/>
    <n v="3"/>
    <n v="25"/>
    <n v="75"/>
    <n v="1.125"/>
    <n v="1.5"/>
  </r>
  <r>
    <n v="70"/>
    <n v="21"/>
    <n v="2"/>
    <n v="2023"/>
    <s v="Tuesday"/>
    <s v="February"/>
    <s v="2023"/>
    <d v="2023-02-21T00:00:00"/>
    <s v="CUST070"/>
    <x v="1"/>
    <x v="0"/>
    <n v="43"/>
    <x v="0"/>
    <n v="1"/>
    <n v="300"/>
    <n v="300"/>
    <n v="4.5"/>
    <n v="6"/>
  </r>
  <r>
    <n v="71"/>
    <n v="14"/>
    <n v="7"/>
    <n v="2023"/>
    <s v="Friday"/>
    <s v="July"/>
    <s v="2023"/>
    <d v="2023-07-14T00:00:00"/>
    <s v="CUST071"/>
    <x v="1"/>
    <x v="2"/>
    <n v="51"/>
    <x v="0"/>
    <n v="4"/>
    <n v="25"/>
    <n v="100"/>
    <n v="1.5"/>
    <n v="2"/>
  </r>
  <r>
    <n v="72"/>
    <n v="23"/>
    <n v="5"/>
    <n v="2023"/>
    <s v="Tuesday"/>
    <s v="May"/>
    <s v="2023"/>
    <d v="2023-05-23T00:00:00"/>
    <s v="CUST072"/>
    <x v="1"/>
    <x v="1"/>
    <n v="20"/>
    <x v="0"/>
    <n v="4"/>
    <n v="500"/>
    <n v="2000"/>
    <n v="30"/>
    <n v="40"/>
  </r>
  <r>
    <n v="73"/>
    <n v="21"/>
    <n v="8"/>
    <n v="2023"/>
    <s v="Monday"/>
    <s v="August"/>
    <s v="2023"/>
    <d v="2023-08-21T00:00:00"/>
    <s v="CUST073"/>
    <x v="0"/>
    <x v="1"/>
    <n v="29"/>
    <x v="0"/>
    <n v="3"/>
    <n v="30"/>
    <n v="90"/>
    <n v="1.3499999999999999"/>
    <n v="1.8"/>
  </r>
  <r>
    <n v="74"/>
    <n v="22"/>
    <n v="11"/>
    <n v="2023"/>
    <s v="Wednesday"/>
    <s v="November"/>
    <s v="2023"/>
    <d v="2023-11-22T00:00:00"/>
    <s v="CUST074"/>
    <x v="1"/>
    <x v="1"/>
    <n v="18"/>
    <x v="0"/>
    <n v="4"/>
    <n v="500"/>
    <n v="2000"/>
    <n v="30"/>
    <n v="40"/>
  </r>
  <r>
    <n v="75"/>
    <n v="6"/>
    <n v="7"/>
    <n v="2023"/>
    <s v="Thursday"/>
    <s v="July"/>
    <s v="2023"/>
    <d v="2023-07-06T00:00:00"/>
    <s v="CUST075"/>
    <x v="0"/>
    <x v="2"/>
    <n v="61"/>
    <x v="0"/>
    <n v="4"/>
    <n v="50"/>
    <n v="200"/>
    <n v="3"/>
    <n v="4"/>
  </r>
  <r>
    <n v="76"/>
    <n v="25"/>
    <n v="3"/>
    <n v="2023"/>
    <s v="Saturday"/>
    <s v="March"/>
    <s v="2023"/>
    <d v="2023-03-25T00:00:00"/>
    <s v="CUST076"/>
    <x v="1"/>
    <x v="1"/>
    <n v="22"/>
    <x v="0"/>
    <n v="2"/>
    <n v="50"/>
    <n v="100"/>
    <n v="1.5"/>
    <n v="2"/>
  </r>
  <r>
    <n v="77"/>
    <n v="9"/>
    <n v="7"/>
    <n v="2023"/>
    <s v="Sunday"/>
    <s v="July"/>
    <s v="2023"/>
    <d v="2023-07-09T00:00:00"/>
    <s v="CUST077"/>
    <x v="1"/>
    <x v="0"/>
    <n v="47"/>
    <x v="0"/>
    <n v="2"/>
    <n v="50"/>
    <n v="100"/>
    <n v="1.5"/>
    <n v="2"/>
  </r>
  <r>
    <n v="78"/>
    <n v="1"/>
    <n v="7"/>
    <n v="2023"/>
    <s v="Saturday"/>
    <s v="July"/>
    <s v="2023"/>
    <d v="2023-07-01T00:00:00"/>
    <s v="CUST078"/>
    <x v="1"/>
    <x v="0"/>
    <n v="47"/>
    <x v="0"/>
    <n v="3"/>
    <n v="500"/>
    <n v="1500"/>
    <n v="22.5"/>
    <n v="30"/>
  </r>
  <r>
    <n v="79"/>
    <n v="18"/>
    <n v="4"/>
    <n v="2023"/>
    <s v="Tuesday"/>
    <s v="April"/>
    <s v="2023"/>
    <d v="2023-04-18T00:00:00"/>
    <s v="CUST079"/>
    <x v="0"/>
    <x v="0"/>
    <n v="34"/>
    <x v="0"/>
    <n v="1"/>
    <n v="300"/>
    <n v="300"/>
    <n v="4.5"/>
    <n v="6"/>
  </r>
  <r>
    <n v="80"/>
    <n v="10"/>
    <n v="12"/>
    <n v="2023"/>
    <s v="Sunday"/>
    <s v="December"/>
    <s v="2023"/>
    <d v="2023-12-10T00:00:00"/>
    <s v="CUST080"/>
    <x v="1"/>
    <x v="2"/>
    <n v="64"/>
    <x v="0"/>
    <n v="2"/>
    <n v="30"/>
    <n v="60"/>
    <n v="0.89999999999999991"/>
    <n v="1.2"/>
  </r>
  <r>
    <n v="81"/>
    <n v="17"/>
    <n v="5"/>
    <n v="2023"/>
    <s v="Wednesday"/>
    <s v="May"/>
    <s v="2023"/>
    <d v="2023-05-17T00:00:00"/>
    <s v="CUST081"/>
    <x v="0"/>
    <x v="0"/>
    <n v="40"/>
    <x v="0"/>
    <n v="1"/>
    <n v="50"/>
    <n v="50"/>
    <n v="0.75"/>
    <n v="1"/>
  </r>
  <r>
    <n v="82"/>
    <n v="26"/>
    <n v="12"/>
    <n v="2023"/>
    <s v="Tuesday"/>
    <s v="December"/>
    <s v="2023"/>
    <d v="2023-12-26T00:00:00"/>
    <s v="CUST082"/>
    <x v="1"/>
    <x v="0"/>
    <n v="32"/>
    <x v="0"/>
    <n v="4"/>
    <n v="50"/>
    <n v="200"/>
    <n v="3"/>
    <n v="4"/>
  </r>
  <r>
    <n v="83"/>
    <n v="16"/>
    <n v="12"/>
    <n v="2023"/>
    <s v="Saturday"/>
    <s v="December"/>
    <s v="2023"/>
    <d v="2023-12-16T00:00:00"/>
    <s v="CUST083"/>
    <x v="0"/>
    <x v="2"/>
    <n v="54"/>
    <x v="0"/>
    <n v="2"/>
    <n v="50"/>
    <n v="100"/>
    <n v="1.5"/>
    <n v="2"/>
  </r>
  <r>
    <n v="84"/>
    <n v="28"/>
    <n v="11"/>
    <n v="2023"/>
    <s v="Tuesday"/>
    <s v="November"/>
    <s v="2023"/>
    <d v="2023-11-28T00:00:00"/>
    <s v="CUST084"/>
    <x v="1"/>
    <x v="0"/>
    <n v="38"/>
    <x v="0"/>
    <n v="3"/>
    <n v="30"/>
    <n v="90"/>
    <n v="1.3499999999999999"/>
    <n v="1.8"/>
  </r>
  <r>
    <n v="85"/>
    <n v="6"/>
    <n v="2"/>
    <n v="2023"/>
    <s v="Monday"/>
    <s v="February"/>
    <s v="2023"/>
    <d v="2023-02-06T00:00:00"/>
    <s v="CUST085"/>
    <x v="0"/>
    <x v="0"/>
    <n v="31"/>
    <x v="0"/>
    <n v="3"/>
    <n v="50"/>
    <n v="150"/>
    <n v="2.25"/>
    <n v="3"/>
  </r>
  <r>
    <n v="86"/>
    <n v="8"/>
    <n v="11"/>
    <n v="2023"/>
    <s v="Wednesday"/>
    <s v="November"/>
    <s v="2023"/>
    <d v="2023-11-08T00:00:00"/>
    <s v="CUST086"/>
    <x v="0"/>
    <x v="1"/>
    <n v="19"/>
    <x v="0"/>
    <n v="3"/>
    <n v="30"/>
    <n v="90"/>
    <n v="1.3499999999999999"/>
    <n v="1.8"/>
  </r>
  <r>
    <n v="87"/>
    <n v="22"/>
    <n v="11"/>
    <n v="2023"/>
    <s v="Wednesday"/>
    <s v="November"/>
    <s v="2023"/>
    <d v="2023-11-22T00:00:00"/>
    <s v="CUST087"/>
    <x v="1"/>
    <x v="1"/>
    <n v="28"/>
    <x v="0"/>
    <n v="2"/>
    <n v="50"/>
    <n v="100"/>
    <n v="1.5"/>
    <n v="2"/>
  </r>
  <r>
    <n v="88"/>
    <n v="29"/>
    <n v="3"/>
    <n v="2023"/>
    <s v="Wednesday"/>
    <s v="March"/>
    <s v="2023"/>
    <d v="2023-03-29T00:00:00"/>
    <s v="CUST088"/>
    <x v="0"/>
    <x v="2"/>
    <n v="56"/>
    <x v="0"/>
    <n v="1"/>
    <n v="500"/>
    <n v="500"/>
    <n v="7.5"/>
    <n v="10"/>
  </r>
  <r>
    <n v="89"/>
    <n v="1"/>
    <n v="10"/>
    <n v="2023"/>
    <s v="Sunday"/>
    <s v="October"/>
    <s v="2023"/>
    <d v="2023-10-01T00:00:00"/>
    <s v="CUST089"/>
    <x v="1"/>
    <x v="2"/>
    <n v="55"/>
    <x v="0"/>
    <n v="4"/>
    <n v="500"/>
    <n v="2000"/>
    <n v="30"/>
    <n v="40"/>
  </r>
  <r>
    <n v="90"/>
    <n v="6"/>
    <n v="5"/>
    <n v="2023"/>
    <s v="Saturday"/>
    <s v="May"/>
    <s v="2023"/>
    <d v="2023-05-06T00:00:00"/>
    <s v="CUST090"/>
    <x v="1"/>
    <x v="2"/>
    <n v="51"/>
    <x v="0"/>
    <n v="1"/>
    <n v="30"/>
    <n v="30"/>
    <n v="0.44999999999999996"/>
    <n v="0.6"/>
  </r>
  <r>
    <n v="91"/>
    <n v="25"/>
    <n v="3"/>
    <n v="2023"/>
    <s v="Saturday"/>
    <s v="March"/>
    <s v="2023"/>
    <d v="2023-03-25T00:00:00"/>
    <s v="CUST091"/>
    <x v="1"/>
    <x v="2"/>
    <n v="55"/>
    <x v="0"/>
    <n v="1"/>
    <n v="500"/>
    <n v="500"/>
    <n v="7.5"/>
    <n v="10"/>
  </r>
  <r>
    <n v="92"/>
    <n v="25"/>
    <n v="8"/>
    <n v="2023"/>
    <s v="Friday"/>
    <s v="August"/>
    <s v="2023"/>
    <d v="2023-08-25T00:00:00"/>
    <s v="CUST092"/>
    <x v="1"/>
    <x v="2"/>
    <n v="51"/>
    <x v="0"/>
    <n v="4"/>
    <n v="30"/>
    <n v="120"/>
    <n v="1.7999999999999998"/>
    <n v="2.4"/>
  </r>
  <r>
    <n v="93"/>
    <n v="14"/>
    <n v="7"/>
    <n v="2023"/>
    <s v="Friday"/>
    <s v="July"/>
    <s v="2023"/>
    <d v="2023-07-14T00:00:00"/>
    <s v="CUST093"/>
    <x v="1"/>
    <x v="0"/>
    <n v="35"/>
    <x v="0"/>
    <n v="4"/>
    <n v="500"/>
    <n v="2000"/>
    <n v="30"/>
    <n v="40"/>
  </r>
  <r>
    <n v="94"/>
    <n v="19"/>
    <n v="5"/>
    <n v="2023"/>
    <s v="Friday"/>
    <s v="May"/>
    <s v="2023"/>
    <d v="2023-05-19T00:00:00"/>
    <s v="CUST094"/>
    <x v="1"/>
    <x v="0"/>
    <n v="47"/>
    <x v="0"/>
    <n v="2"/>
    <n v="500"/>
    <n v="1000"/>
    <n v="15"/>
    <n v="20"/>
  </r>
  <r>
    <n v="95"/>
    <n v="24"/>
    <n v="11"/>
    <n v="2023"/>
    <s v="Friday"/>
    <s v="November"/>
    <s v="2023"/>
    <d v="2023-11-24T00:00:00"/>
    <s v="CUST095"/>
    <x v="1"/>
    <x v="0"/>
    <n v="32"/>
    <x v="0"/>
    <n v="2"/>
    <n v="30"/>
    <n v="60"/>
    <n v="0.89999999999999991"/>
    <n v="1.2"/>
  </r>
  <r>
    <n v="96"/>
    <n v="19"/>
    <n v="12"/>
    <n v="2023"/>
    <s v="Tuesday"/>
    <s v="December"/>
    <s v="2023"/>
    <d v="2023-12-19T00:00:00"/>
    <s v="CUST096"/>
    <x v="1"/>
    <x v="0"/>
    <n v="44"/>
    <x v="0"/>
    <n v="2"/>
    <n v="300"/>
    <n v="600"/>
    <n v="9"/>
    <n v="12"/>
  </r>
  <r>
    <n v="97"/>
    <n v="13"/>
    <n v="10"/>
    <n v="2023"/>
    <s v="Friday"/>
    <s v="October"/>
    <s v="2023"/>
    <d v="2023-10-13T00:00:00"/>
    <s v="CUST097"/>
    <x v="1"/>
    <x v="2"/>
    <n v="51"/>
    <x v="0"/>
    <n v="2"/>
    <n v="500"/>
    <n v="1000"/>
    <n v="15"/>
    <n v="20"/>
  </r>
  <r>
    <n v="98"/>
    <n v="23"/>
    <n v="4"/>
    <n v="2023"/>
    <s v="Sunday"/>
    <s v="April"/>
    <s v="2023"/>
    <d v="2023-04-23T00:00:00"/>
    <s v="CUST098"/>
    <x v="1"/>
    <x v="2"/>
    <n v="55"/>
    <x v="0"/>
    <n v="2"/>
    <n v="50"/>
    <n v="100"/>
    <n v="1.5"/>
    <n v="2"/>
  </r>
  <r>
    <n v="99"/>
    <n v="17"/>
    <n v="12"/>
    <n v="2023"/>
    <s v="Sunday"/>
    <s v="December"/>
    <s v="2023"/>
    <d v="2023-12-17T00:00:00"/>
    <s v="CUST099"/>
    <x v="1"/>
    <x v="0"/>
    <n v="50"/>
    <x v="0"/>
    <n v="4"/>
    <n v="300"/>
    <n v="1200"/>
    <n v="18"/>
    <n v="24"/>
  </r>
  <r>
    <n v="100"/>
    <n v="16"/>
    <n v="6"/>
    <n v="2023"/>
    <s v="Friday"/>
    <s v="June"/>
    <s v="2023"/>
    <d v="2023-06-16T00:00:00"/>
    <s v="CUST100"/>
    <x v="0"/>
    <x v="0"/>
    <n v="41"/>
    <x v="0"/>
    <n v="1"/>
    <n v="30"/>
    <n v="30"/>
    <n v="0.44999999999999996"/>
    <n v="0.6"/>
  </r>
  <r>
    <n v="101"/>
    <n v="29"/>
    <n v="1"/>
    <n v="2023"/>
    <s v="Sunday"/>
    <s v="January"/>
    <s v="2023"/>
    <d v="2023-01-29T00:00:00"/>
    <s v="CUST101"/>
    <x v="0"/>
    <x v="0"/>
    <n v="32"/>
    <x v="0"/>
    <n v="2"/>
    <n v="300"/>
    <n v="600"/>
    <n v="9"/>
    <n v="12"/>
  </r>
  <r>
    <n v="102"/>
    <n v="28"/>
    <n v="4"/>
    <n v="2023"/>
    <s v="Friday"/>
    <s v="April"/>
    <s v="2023"/>
    <d v="2023-04-28T00:00:00"/>
    <s v="CUST102"/>
    <x v="1"/>
    <x v="0"/>
    <n v="47"/>
    <x v="0"/>
    <n v="2"/>
    <n v="25"/>
    <n v="50"/>
    <n v="0.75"/>
    <n v="1"/>
  </r>
  <r>
    <n v="103"/>
    <n v="17"/>
    <n v="1"/>
    <n v="2023"/>
    <s v="Tuesday"/>
    <s v="January"/>
    <s v="2023"/>
    <d v="2023-01-17T00:00:00"/>
    <s v="CUST103"/>
    <x v="1"/>
    <x v="2"/>
    <n v="59"/>
    <x v="0"/>
    <n v="1"/>
    <n v="25"/>
    <n v="25"/>
    <n v="0.375"/>
    <n v="0.5"/>
  </r>
  <r>
    <n v="104"/>
    <n v="11"/>
    <n v="6"/>
    <n v="2023"/>
    <s v="Sunday"/>
    <s v="June"/>
    <s v="2023"/>
    <d v="2023-06-11T00:00:00"/>
    <s v="CUST104"/>
    <x v="1"/>
    <x v="0"/>
    <n v="34"/>
    <x v="0"/>
    <n v="2"/>
    <n v="500"/>
    <n v="1000"/>
    <n v="15"/>
    <n v="20"/>
  </r>
  <r>
    <n v="105"/>
    <n v="25"/>
    <n v="7"/>
    <n v="2023"/>
    <s v="Tuesday"/>
    <s v="July"/>
    <s v="2023"/>
    <d v="2023-07-25T00:00:00"/>
    <s v="CUST105"/>
    <x v="1"/>
    <x v="1"/>
    <n v="22"/>
    <x v="0"/>
    <n v="1"/>
    <n v="500"/>
    <n v="500"/>
    <n v="7.5"/>
    <n v="10"/>
  </r>
  <r>
    <n v="106"/>
    <n v="18"/>
    <n v="5"/>
    <n v="2023"/>
    <s v="Thursday"/>
    <s v="May"/>
    <s v="2023"/>
    <d v="2023-05-18T00:00:00"/>
    <s v="CUST106"/>
    <x v="1"/>
    <x v="0"/>
    <n v="46"/>
    <x v="0"/>
    <n v="1"/>
    <n v="50"/>
    <n v="50"/>
    <n v="0.75"/>
    <n v="1"/>
  </r>
  <r>
    <n v="107"/>
    <n v="3"/>
    <n v="2"/>
    <n v="2023"/>
    <s v="Friday"/>
    <s v="February"/>
    <s v="2023"/>
    <d v="2023-02-03T00:00:00"/>
    <s v="CUST107"/>
    <x v="1"/>
    <x v="1"/>
    <n v="21"/>
    <x v="0"/>
    <n v="4"/>
    <n v="300"/>
    <n v="1200"/>
    <n v="18"/>
    <n v="24"/>
  </r>
  <r>
    <n v="108"/>
    <n v="19"/>
    <n v="4"/>
    <n v="2023"/>
    <s v="Wednesday"/>
    <s v="April"/>
    <s v="2023"/>
    <d v="2023-04-19T00:00:00"/>
    <s v="CUST108"/>
    <x v="1"/>
    <x v="1"/>
    <n v="27"/>
    <x v="0"/>
    <n v="3"/>
    <n v="25"/>
    <n v="75"/>
    <n v="1.125"/>
    <n v="1.5"/>
  </r>
  <r>
    <n v="109"/>
    <n v="18"/>
    <n v="10"/>
    <n v="2023"/>
    <s v="Wednesday"/>
    <s v="October"/>
    <s v="2023"/>
    <d v="2023-10-18T00:00:00"/>
    <s v="CUST109"/>
    <x v="1"/>
    <x v="0"/>
    <n v="34"/>
    <x v="0"/>
    <n v="4"/>
    <n v="500"/>
    <n v="2000"/>
    <n v="30"/>
    <n v="40"/>
  </r>
  <r>
    <n v="110"/>
    <n v="11"/>
    <n v="6"/>
    <n v="2023"/>
    <s v="Sunday"/>
    <s v="June"/>
    <s v="2023"/>
    <d v="2023-06-11T00:00:00"/>
    <s v="CUST110"/>
    <x v="0"/>
    <x v="1"/>
    <n v="27"/>
    <x v="0"/>
    <n v="3"/>
    <n v="300"/>
    <n v="900"/>
    <n v="13.5"/>
    <n v="18"/>
  </r>
  <r>
    <n v="111"/>
    <n v="19"/>
    <n v="4"/>
    <n v="2023"/>
    <s v="Wednesday"/>
    <s v="April"/>
    <s v="2023"/>
    <d v="2023-04-19T00:00:00"/>
    <s v="CUST111"/>
    <x v="1"/>
    <x v="0"/>
    <n v="34"/>
    <x v="0"/>
    <n v="3"/>
    <n v="500"/>
    <n v="1500"/>
    <n v="22.5"/>
    <n v="30"/>
  </r>
  <r>
    <n v="112"/>
    <n v="2"/>
    <n v="12"/>
    <n v="2023"/>
    <s v="Saturday"/>
    <s v="December"/>
    <s v="2023"/>
    <d v="2023-12-02T00:00:00"/>
    <s v="CUST112"/>
    <x v="0"/>
    <x v="0"/>
    <n v="37"/>
    <x v="0"/>
    <n v="3"/>
    <n v="500"/>
    <n v="1500"/>
    <n v="22.5"/>
    <n v="30"/>
  </r>
  <r>
    <n v="113"/>
    <n v="13"/>
    <n v="9"/>
    <n v="2023"/>
    <s v="Wednesday"/>
    <s v="September"/>
    <s v="2023"/>
    <d v="2023-09-13T00:00:00"/>
    <s v="CUST113"/>
    <x v="1"/>
    <x v="0"/>
    <n v="41"/>
    <x v="0"/>
    <n v="2"/>
    <n v="25"/>
    <n v="50"/>
    <n v="0.75"/>
    <n v="1"/>
  </r>
  <r>
    <n v="114"/>
    <n v="22"/>
    <n v="7"/>
    <n v="2023"/>
    <s v="Saturday"/>
    <s v="July"/>
    <s v="2023"/>
    <d v="2023-07-22T00:00:00"/>
    <s v="CUST114"/>
    <x v="1"/>
    <x v="1"/>
    <n v="22"/>
    <x v="0"/>
    <n v="4"/>
    <n v="25"/>
    <n v="100"/>
    <n v="1.5"/>
    <n v="2"/>
  </r>
  <r>
    <n v="115"/>
    <n v="26"/>
    <n v="11"/>
    <n v="2023"/>
    <s v="Sunday"/>
    <s v="November"/>
    <s v="2023"/>
    <d v="2023-11-26T00:00:00"/>
    <s v="CUST115"/>
    <x v="0"/>
    <x v="2"/>
    <n v="51"/>
    <x v="0"/>
    <n v="3"/>
    <n v="500"/>
    <n v="1500"/>
    <n v="22.5"/>
    <n v="30"/>
  </r>
  <r>
    <n v="116"/>
    <n v="23"/>
    <n v="8"/>
    <n v="2023"/>
    <s v="Wednesday"/>
    <s v="August"/>
    <s v="2023"/>
    <d v="2023-08-23T00:00:00"/>
    <s v="CUST116"/>
    <x v="1"/>
    <x v="1"/>
    <n v="23"/>
    <x v="0"/>
    <n v="1"/>
    <n v="30"/>
    <n v="30"/>
    <n v="0.44999999999999996"/>
    <n v="0.6"/>
  </r>
  <r>
    <n v="117"/>
    <n v="15"/>
    <n v="3"/>
    <n v="2023"/>
    <s v="Wednesday"/>
    <s v="March"/>
    <s v="2023"/>
    <d v="2023-03-15T00:00:00"/>
    <s v="CUST117"/>
    <x v="0"/>
    <x v="1"/>
    <n v="19"/>
    <x v="0"/>
    <n v="2"/>
    <n v="500"/>
    <n v="1000"/>
    <n v="15"/>
    <n v="20"/>
  </r>
  <r>
    <n v="118"/>
    <n v="16"/>
    <n v="5"/>
    <n v="2023"/>
    <s v="Tuesday"/>
    <s v="May"/>
    <s v="2023"/>
    <d v="2023-05-16T00:00:00"/>
    <s v="CUST118"/>
    <x v="1"/>
    <x v="0"/>
    <n v="30"/>
    <x v="0"/>
    <n v="4"/>
    <n v="500"/>
    <n v="2000"/>
    <n v="30"/>
    <n v="40"/>
  </r>
  <r>
    <n v="119"/>
    <n v="13"/>
    <n v="3"/>
    <n v="2023"/>
    <s v="Monday"/>
    <s v="March"/>
    <s v="2023"/>
    <d v="2023-03-13T00:00:00"/>
    <s v="CUST119"/>
    <x v="1"/>
    <x v="2"/>
    <n v="60"/>
    <x v="0"/>
    <n v="3"/>
    <n v="50"/>
    <n v="150"/>
    <n v="2.25"/>
    <n v="3"/>
  </r>
  <r>
    <n v="120"/>
    <n v="7"/>
    <n v="5"/>
    <n v="2023"/>
    <s v="Sunday"/>
    <s v="May"/>
    <s v="2023"/>
    <d v="2023-05-07T00:00:00"/>
    <s v="CUST120"/>
    <x v="0"/>
    <x v="2"/>
    <n v="60"/>
    <x v="0"/>
    <n v="1"/>
    <n v="50"/>
    <n v="50"/>
    <n v="0.75"/>
    <n v="1"/>
  </r>
  <r>
    <n v="121"/>
    <n v="15"/>
    <n v="10"/>
    <n v="2023"/>
    <s v="Sunday"/>
    <s v="October"/>
    <s v="2023"/>
    <d v="2023-10-15T00:00:00"/>
    <s v="CUST121"/>
    <x v="1"/>
    <x v="1"/>
    <n v="28"/>
    <x v="0"/>
    <n v="4"/>
    <n v="50"/>
    <n v="200"/>
    <n v="3"/>
    <n v="4"/>
  </r>
  <r>
    <n v="122"/>
    <n v="3"/>
    <n v="10"/>
    <n v="2023"/>
    <s v="Tuesday"/>
    <s v="October"/>
    <s v="2023"/>
    <d v="2023-10-03T00:00:00"/>
    <s v="CUST122"/>
    <x v="0"/>
    <x v="2"/>
    <n v="64"/>
    <x v="0"/>
    <n v="4"/>
    <n v="30"/>
    <n v="120"/>
    <n v="1.7999999999999998"/>
    <n v="2.4"/>
  </r>
  <r>
    <n v="123"/>
    <n v="15"/>
    <n v="5"/>
    <n v="2023"/>
    <s v="Monday"/>
    <s v="May"/>
    <s v="2023"/>
    <d v="2023-05-15T00:00:00"/>
    <s v="CUST123"/>
    <x v="1"/>
    <x v="0"/>
    <n v="40"/>
    <x v="0"/>
    <n v="2"/>
    <n v="30"/>
    <n v="60"/>
    <n v="0.89999999999999991"/>
    <n v="1.2"/>
  </r>
  <r>
    <n v="124"/>
    <n v="27"/>
    <n v="10"/>
    <n v="2023"/>
    <s v="Friday"/>
    <s v="October"/>
    <s v="2023"/>
    <d v="2023-10-27T00:00:00"/>
    <s v="CUST124"/>
    <x v="0"/>
    <x v="0"/>
    <n v="33"/>
    <x v="0"/>
    <n v="4"/>
    <n v="500"/>
    <n v="2000"/>
    <n v="30"/>
    <n v="40"/>
  </r>
  <r>
    <n v="125"/>
    <n v="8"/>
    <n v="8"/>
    <n v="2023"/>
    <s v="Tuesday"/>
    <s v="August"/>
    <s v="2023"/>
    <d v="2023-08-08T00:00:00"/>
    <s v="CUST125"/>
    <x v="0"/>
    <x v="0"/>
    <n v="48"/>
    <x v="0"/>
    <n v="2"/>
    <n v="50"/>
    <n v="100"/>
    <n v="1.5"/>
    <n v="2"/>
  </r>
  <r>
    <n v="126"/>
    <n v="26"/>
    <n v="10"/>
    <n v="2023"/>
    <s v="Thursday"/>
    <s v="October"/>
    <s v="2023"/>
    <d v="2023-10-26T00:00:00"/>
    <s v="CUST126"/>
    <x v="1"/>
    <x v="1"/>
    <n v="28"/>
    <x v="0"/>
    <n v="3"/>
    <n v="30"/>
    <n v="90"/>
    <n v="1.3499999999999999"/>
    <n v="1.8"/>
  </r>
  <r>
    <n v="127"/>
    <n v="24"/>
    <n v="7"/>
    <n v="2023"/>
    <s v="Monday"/>
    <s v="July"/>
    <s v="2023"/>
    <d v="2023-07-24T00:00:00"/>
    <s v="CUST127"/>
    <x v="1"/>
    <x v="0"/>
    <n v="33"/>
    <x v="0"/>
    <n v="2"/>
    <n v="25"/>
    <n v="50"/>
    <n v="0.75"/>
    <n v="1"/>
  </r>
  <r>
    <n v="128"/>
    <n v="5"/>
    <n v="7"/>
    <n v="2023"/>
    <s v="Wednesday"/>
    <s v="July"/>
    <s v="2023"/>
    <d v="2023-07-05T00:00:00"/>
    <s v="CUST128"/>
    <x v="0"/>
    <x v="1"/>
    <n v="25"/>
    <x v="0"/>
    <n v="1"/>
    <n v="500"/>
    <n v="500"/>
    <n v="7.5"/>
    <n v="10"/>
  </r>
  <r>
    <n v="129"/>
    <n v="23"/>
    <n v="4"/>
    <n v="2023"/>
    <s v="Sunday"/>
    <s v="April"/>
    <s v="2023"/>
    <d v="2023-04-23T00:00:00"/>
    <s v="CUST129"/>
    <x v="1"/>
    <x v="1"/>
    <n v="21"/>
    <x v="0"/>
    <n v="2"/>
    <n v="300"/>
    <n v="600"/>
    <n v="9"/>
    <n v="12"/>
  </r>
  <r>
    <n v="130"/>
    <n v="12"/>
    <n v="3"/>
    <n v="2023"/>
    <s v="Sunday"/>
    <s v="March"/>
    <s v="2023"/>
    <d v="2023-03-12T00:00:00"/>
    <s v="CUST130"/>
    <x v="1"/>
    <x v="2"/>
    <n v="57"/>
    <x v="0"/>
    <n v="1"/>
    <n v="500"/>
    <n v="500"/>
    <n v="7.5"/>
    <n v="10"/>
  </r>
  <r>
    <n v="131"/>
    <n v="18"/>
    <n v="9"/>
    <n v="2023"/>
    <s v="Monday"/>
    <s v="September"/>
    <s v="2023"/>
    <d v="2023-09-18T00:00:00"/>
    <s v="CUST131"/>
    <x v="1"/>
    <x v="1"/>
    <n v="21"/>
    <x v="0"/>
    <n v="2"/>
    <n v="300"/>
    <n v="600"/>
    <n v="9"/>
    <n v="12"/>
  </r>
  <r>
    <n v="132"/>
    <n v="10"/>
    <n v="9"/>
    <n v="2023"/>
    <s v="Sunday"/>
    <s v="September"/>
    <s v="2023"/>
    <d v="2023-09-10T00:00:00"/>
    <s v="CUST132"/>
    <x v="0"/>
    <x v="0"/>
    <n v="42"/>
    <x v="0"/>
    <n v="4"/>
    <n v="50"/>
    <n v="200"/>
    <n v="3"/>
    <n v="4"/>
  </r>
  <r>
    <n v="133"/>
    <n v="16"/>
    <n v="2"/>
    <n v="2023"/>
    <s v="Thursday"/>
    <s v="February"/>
    <s v="2023"/>
    <d v="2023-02-16T00:00:00"/>
    <s v="CUST133"/>
    <x v="0"/>
    <x v="1"/>
    <n v="20"/>
    <x v="0"/>
    <n v="3"/>
    <n v="300"/>
    <n v="900"/>
    <n v="13.5"/>
    <n v="18"/>
  </r>
  <r>
    <n v="134"/>
    <n v="25"/>
    <n v="1"/>
    <n v="2023"/>
    <s v="Wednesday"/>
    <s v="January"/>
    <s v="2023"/>
    <d v="2023-01-25T00:00:00"/>
    <s v="CUST134"/>
    <x v="0"/>
    <x v="0"/>
    <n v="49"/>
    <x v="0"/>
    <n v="1"/>
    <n v="50"/>
    <n v="50"/>
    <n v="0.75"/>
    <n v="1"/>
  </r>
  <r>
    <n v="135"/>
    <n v="26"/>
    <n v="2"/>
    <n v="2023"/>
    <s v="Sunday"/>
    <s v="February"/>
    <s v="2023"/>
    <d v="2023-02-26T00:00:00"/>
    <s v="CUST135"/>
    <x v="0"/>
    <x v="1"/>
    <n v="20"/>
    <x v="0"/>
    <n v="2"/>
    <n v="25"/>
    <n v="50"/>
    <n v="0.75"/>
    <n v="1"/>
  </r>
  <r>
    <n v="136"/>
    <n v="20"/>
    <n v="3"/>
    <n v="2023"/>
    <s v="Monday"/>
    <s v="March"/>
    <s v="2023"/>
    <d v="2023-03-20T00:00:00"/>
    <s v="CUST136"/>
    <x v="0"/>
    <x v="0"/>
    <n v="44"/>
    <x v="0"/>
    <n v="2"/>
    <n v="300"/>
    <n v="600"/>
    <n v="9"/>
    <n v="12"/>
  </r>
  <r>
    <n v="137"/>
    <n v="18"/>
    <n v="11"/>
    <n v="2023"/>
    <s v="Saturday"/>
    <s v="November"/>
    <s v="2023"/>
    <d v="2023-11-18T00:00:00"/>
    <s v="CUST137"/>
    <x v="0"/>
    <x v="0"/>
    <n v="46"/>
    <x v="0"/>
    <n v="2"/>
    <n v="500"/>
    <n v="1000"/>
    <n v="15"/>
    <n v="20"/>
  </r>
  <r>
    <n v="138"/>
    <n v="23"/>
    <n v="3"/>
    <n v="2023"/>
    <s v="Thursday"/>
    <s v="March"/>
    <s v="2023"/>
    <d v="2023-03-23T00:00:00"/>
    <s v="CUST138"/>
    <x v="0"/>
    <x v="0"/>
    <n v="49"/>
    <x v="0"/>
    <n v="4"/>
    <n v="50"/>
    <n v="200"/>
    <n v="3"/>
    <n v="4"/>
  </r>
  <r>
    <n v="139"/>
    <n v="15"/>
    <n v="12"/>
    <n v="2023"/>
    <s v="Friday"/>
    <s v="December"/>
    <s v="2023"/>
    <d v="2023-12-15T00:00:00"/>
    <s v="CUST139"/>
    <x v="0"/>
    <x v="0"/>
    <n v="36"/>
    <x v="0"/>
    <n v="4"/>
    <n v="500"/>
    <n v="2000"/>
    <n v="30"/>
    <n v="40"/>
  </r>
  <r>
    <n v="140"/>
    <n v="5"/>
    <n v="8"/>
    <n v="2023"/>
    <s v="Saturday"/>
    <s v="August"/>
    <s v="2023"/>
    <d v="2023-08-05T00:00:00"/>
    <s v="CUST140"/>
    <x v="0"/>
    <x v="0"/>
    <n v="38"/>
    <x v="0"/>
    <n v="1"/>
    <n v="30"/>
    <n v="30"/>
    <n v="0.44999999999999996"/>
    <n v="0.6"/>
  </r>
  <r>
    <n v="141"/>
    <n v="2"/>
    <n v="11"/>
    <n v="2023"/>
    <s v="Thursday"/>
    <s v="November"/>
    <s v="2023"/>
    <d v="2023-11-02T00:00:00"/>
    <s v="CUST141"/>
    <x v="1"/>
    <x v="1"/>
    <n v="22"/>
    <x v="0"/>
    <n v="1"/>
    <n v="50"/>
    <n v="50"/>
    <n v="0.75"/>
    <n v="1"/>
  </r>
  <r>
    <n v="142"/>
    <n v="2"/>
    <n v="2"/>
    <n v="2023"/>
    <s v="Thursday"/>
    <s v="February"/>
    <s v="2023"/>
    <d v="2023-02-02T00:00:00"/>
    <s v="CUST142"/>
    <x v="0"/>
    <x v="0"/>
    <n v="35"/>
    <x v="0"/>
    <n v="4"/>
    <n v="300"/>
    <n v="1200"/>
    <n v="18"/>
    <n v="24"/>
  </r>
  <r>
    <n v="143"/>
    <n v="17"/>
    <n v="7"/>
    <n v="2023"/>
    <s v="Monday"/>
    <s v="July"/>
    <s v="2023"/>
    <d v="2023-07-17T00:00:00"/>
    <s v="CUST143"/>
    <x v="1"/>
    <x v="0"/>
    <n v="45"/>
    <x v="0"/>
    <n v="1"/>
    <n v="50"/>
    <n v="50"/>
    <n v="0.75"/>
    <n v="1"/>
  </r>
  <r>
    <n v="144"/>
    <n v="15"/>
    <n v="7"/>
    <n v="2023"/>
    <s v="Saturday"/>
    <s v="July"/>
    <s v="2023"/>
    <d v="2023-07-15T00:00:00"/>
    <s v="CUST144"/>
    <x v="1"/>
    <x v="2"/>
    <n v="59"/>
    <x v="0"/>
    <n v="3"/>
    <n v="500"/>
    <n v="1500"/>
    <n v="22.5"/>
    <n v="30"/>
  </r>
  <r>
    <n v="145"/>
    <n v="2"/>
    <n v="11"/>
    <n v="2023"/>
    <s v="Thursday"/>
    <s v="November"/>
    <s v="2023"/>
    <d v="2023-11-02T00:00:00"/>
    <s v="CUST145"/>
    <x v="1"/>
    <x v="0"/>
    <n v="39"/>
    <x v="0"/>
    <n v="3"/>
    <n v="25"/>
    <n v="75"/>
    <n v="1.125"/>
    <n v="1.5"/>
  </r>
  <r>
    <n v="146"/>
    <n v="28"/>
    <n v="8"/>
    <n v="2023"/>
    <s v="Monday"/>
    <s v="August"/>
    <s v="2023"/>
    <d v="2023-08-28T00:00:00"/>
    <s v="CUST146"/>
    <x v="0"/>
    <x v="0"/>
    <n v="38"/>
    <x v="0"/>
    <n v="4"/>
    <n v="50"/>
    <n v="200"/>
    <n v="3"/>
    <n v="4"/>
  </r>
  <r>
    <n v="147"/>
    <n v="28"/>
    <n v="9"/>
    <n v="2023"/>
    <s v="Thursday"/>
    <s v="September"/>
    <s v="2023"/>
    <d v="2023-09-28T00:00:00"/>
    <s v="CUST147"/>
    <x v="0"/>
    <x v="1"/>
    <n v="23"/>
    <x v="0"/>
    <n v="1"/>
    <n v="300"/>
    <n v="300"/>
    <n v="4.5"/>
    <n v="6"/>
  </r>
  <r>
    <n v="148"/>
    <n v="9"/>
    <n v="5"/>
    <n v="2023"/>
    <s v="Tuesday"/>
    <s v="May"/>
    <s v="2023"/>
    <d v="2023-05-09T00:00:00"/>
    <s v="CUST148"/>
    <x v="0"/>
    <x v="1"/>
    <n v="18"/>
    <x v="0"/>
    <n v="2"/>
    <n v="30"/>
    <n v="60"/>
    <n v="0.89999999999999991"/>
    <n v="1.2"/>
  </r>
  <r>
    <n v="149"/>
    <n v="11"/>
    <n v="10"/>
    <n v="2023"/>
    <s v="Wednesday"/>
    <s v="October"/>
    <s v="2023"/>
    <d v="2023-10-11T00:00:00"/>
    <s v="CUST149"/>
    <x v="0"/>
    <x v="1"/>
    <n v="22"/>
    <x v="0"/>
    <n v="3"/>
    <n v="25"/>
    <n v="75"/>
    <n v="1.125"/>
    <n v="1.5"/>
  </r>
  <r>
    <n v="150"/>
    <n v="6"/>
    <n v="1"/>
    <n v="2023"/>
    <s v="Friday"/>
    <s v="January"/>
    <s v="2023"/>
    <d v="2023-01-06T00:00:00"/>
    <s v="CUST150"/>
    <x v="1"/>
    <x v="2"/>
    <n v="58"/>
    <x v="0"/>
    <n v="4"/>
    <n v="30"/>
    <n v="120"/>
    <n v="1.7999999999999998"/>
    <n v="2.4"/>
  </r>
  <r>
    <n v="151"/>
    <n v="15"/>
    <n v="12"/>
    <n v="2023"/>
    <s v="Friday"/>
    <s v="December"/>
    <s v="2023"/>
    <d v="2023-12-15T00:00:00"/>
    <s v="CUST151"/>
    <x v="0"/>
    <x v="1"/>
    <n v="29"/>
    <x v="0"/>
    <n v="1"/>
    <n v="50"/>
    <n v="50"/>
    <n v="0.75"/>
    <n v="1"/>
  </r>
  <r>
    <n v="152"/>
    <n v="28"/>
    <n v="2"/>
    <n v="2023"/>
    <s v="Tuesday"/>
    <s v="February"/>
    <s v="2023"/>
    <d v="2023-02-28T00:00:00"/>
    <s v="CUST152"/>
    <x v="0"/>
    <x v="0"/>
    <n v="43"/>
    <x v="0"/>
    <n v="4"/>
    <n v="500"/>
    <n v="2000"/>
    <n v="30"/>
    <n v="40"/>
  </r>
  <r>
    <n v="153"/>
    <n v="16"/>
    <n v="12"/>
    <n v="2023"/>
    <s v="Saturday"/>
    <s v="December"/>
    <s v="2023"/>
    <d v="2023-12-16T00:00:00"/>
    <s v="CUST153"/>
    <x v="0"/>
    <x v="2"/>
    <n v="63"/>
    <x v="0"/>
    <n v="2"/>
    <n v="500"/>
    <n v="1000"/>
    <n v="15"/>
    <n v="20"/>
  </r>
  <r>
    <n v="154"/>
    <n v="2"/>
    <n v="10"/>
    <n v="2023"/>
    <s v="Monday"/>
    <s v="October"/>
    <s v="2023"/>
    <d v="2023-10-02T00:00:00"/>
    <s v="CUST154"/>
    <x v="0"/>
    <x v="2"/>
    <n v="51"/>
    <x v="0"/>
    <n v="3"/>
    <n v="300"/>
    <n v="900"/>
    <n v="13.5"/>
    <n v="18"/>
  </r>
  <r>
    <n v="155"/>
    <n v="17"/>
    <n v="5"/>
    <n v="2023"/>
    <s v="Wednesday"/>
    <s v="May"/>
    <s v="2023"/>
    <d v="2023-05-17T00:00:00"/>
    <s v="CUST155"/>
    <x v="0"/>
    <x v="0"/>
    <n v="31"/>
    <x v="0"/>
    <n v="4"/>
    <n v="500"/>
    <n v="2000"/>
    <n v="30"/>
    <n v="40"/>
  </r>
  <r>
    <n v="156"/>
    <n v="25"/>
    <n v="11"/>
    <n v="2023"/>
    <s v="Saturday"/>
    <s v="November"/>
    <s v="2023"/>
    <d v="2023-11-25T00:00:00"/>
    <s v="CUST156"/>
    <x v="1"/>
    <x v="0"/>
    <n v="43"/>
    <x v="0"/>
    <n v="4"/>
    <n v="25"/>
    <n v="100"/>
    <n v="1.5"/>
    <n v="2"/>
  </r>
  <r>
    <n v="157"/>
    <n v="24"/>
    <n v="6"/>
    <n v="2023"/>
    <s v="Saturday"/>
    <s v="June"/>
    <s v="2023"/>
    <d v="2023-06-24T00:00:00"/>
    <s v="CUST157"/>
    <x v="0"/>
    <x v="2"/>
    <n v="62"/>
    <x v="0"/>
    <n v="4"/>
    <n v="500"/>
    <n v="2000"/>
    <n v="30"/>
    <n v="40"/>
  </r>
  <r>
    <n v="158"/>
    <n v="27"/>
    <n v="2"/>
    <n v="2023"/>
    <s v="Monday"/>
    <s v="February"/>
    <s v="2023"/>
    <d v="2023-02-27T00:00:00"/>
    <s v="CUST158"/>
    <x v="1"/>
    <x v="0"/>
    <n v="44"/>
    <x v="0"/>
    <n v="2"/>
    <n v="300"/>
    <n v="600"/>
    <n v="9"/>
    <n v="12"/>
  </r>
  <r>
    <n v="159"/>
    <n v="31"/>
    <n v="5"/>
    <n v="2023"/>
    <s v="Wednesday"/>
    <s v="May"/>
    <s v="2023"/>
    <d v="2023-05-31T00:00:00"/>
    <s v="CUST159"/>
    <x v="0"/>
    <x v="1"/>
    <n v="26"/>
    <x v="0"/>
    <n v="4"/>
    <n v="50"/>
    <n v="200"/>
    <n v="3"/>
    <n v="4"/>
  </r>
  <r>
    <n v="160"/>
    <n v="11"/>
    <n v="8"/>
    <n v="2023"/>
    <s v="Friday"/>
    <s v="August"/>
    <s v="2023"/>
    <d v="2023-08-11T00:00:00"/>
    <s v="CUST160"/>
    <x v="1"/>
    <x v="0"/>
    <n v="43"/>
    <x v="0"/>
    <n v="2"/>
    <n v="50"/>
    <n v="100"/>
    <n v="1.5"/>
    <n v="2"/>
  </r>
  <r>
    <n v="161"/>
    <n v="22"/>
    <n v="3"/>
    <n v="2023"/>
    <s v="Wednesday"/>
    <s v="March"/>
    <s v="2023"/>
    <d v="2023-03-22T00:00:00"/>
    <s v="CUST161"/>
    <x v="0"/>
    <x v="2"/>
    <n v="64"/>
    <x v="0"/>
    <n v="2"/>
    <n v="500"/>
    <n v="1000"/>
    <n v="15"/>
    <n v="20"/>
  </r>
  <r>
    <n v="162"/>
    <n v="21"/>
    <n v="8"/>
    <n v="2023"/>
    <s v="Monday"/>
    <s v="August"/>
    <s v="2023"/>
    <d v="2023-08-21T00:00:00"/>
    <s v="CUST162"/>
    <x v="0"/>
    <x v="0"/>
    <n v="39"/>
    <x v="0"/>
    <n v="2"/>
    <n v="30"/>
    <n v="60"/>
    <n v="0.89999999999999991"/>
    <n v="1.2"/>
  </r>
  <r>
    <n v="163"/>
    <n v="2"/>
    <n v="1"/>
    <n v="2023"/>
    <s v="Monday"/>
    <s v="January"/>
    <s v="2023"/>
    <d v="2023-01-02T00:00:00"/>
    <s v="CUST163"/>
    <x v="1"/>
    <x v="2"/>
    <n v="64"/>
    <x v="0"/>
    <n v="3"/>
    <n v="50"/>
    <n v="150"/>
    <n v="2.25"/>
    <n v="3"/>
  </r>
  <r>
    <n v="164"/>
    <n v="15"/>
    <n v="5"/>
    <n v="2023"/>
    <s v="Monday"/>
    <s v="May"/>
    <s v="2023"/>
    <d v="2023-05-15T00:00:00"/>
    <s v="CUST164"/>
    <x v="1"/>
    <x v="0"/>
    <n v="47"/>
    <x v="0"/>
    <n v="3"/>
    <n v="500"/>
    <n v="1500"/>
    <n v="22.5"/>
    <n v="30"/>
  </r>
  <r>
    <n v="165"/>
    <n v="14"/>
    <n v="9"/>
    <n v="2023"/>
    <s v="Thursday"/>
    <s v="September"/>
    <s v="2023"/>
    <d v="2023-09-14T00:00:00"/>
    <s v="CUST165"/>
    <x v="1"/>
    <x v="2"/>
    <n v="60"/>
    <x v="0"/>
    <n v="4"/>
    <n v="300"/>
    <n v="1200"/>
    <n v="18"/>
    <n v="24"/>
  </r>
  <r>
    <n v="166"/>
    <n v="2"/>
    <n v="4"/>
    <n v="2023"/>
    <s v="Sunday"/>
    <s v="April"/>
    <s v="2023"/>
    <d v="2023-04-02T00:00:00"/>
    <s v="CUST166"/>
    <x v="0"/>
    <x v="0"/>
    <n v="34"/>
    <x v="0"/>
    <n v="4"/>
    <n v="500"/>
    <n v="2000"/>
    <n v="30"/>
    <n v="40"/>
  </r>
  <r>
    <n v="167"/>
    <n v="17"/>
    <n v="9"/>
    <n v="2023"/>
    <s v="Sunday"/>
    <s v="September"/>
    <s v="2023"/>
    <d v="2023-09-17T00:00:00"/>
    <s v="CUST167"/>
    <x v="1"/>
    <x v="0"/>
    <n v="43"/>
    <x v="0"/>
    <n v="3"/>
    <n v="50"/>
    <n v="150"/>
    <n v="2.25"/>
    <n v="3"/>
  </r>
  <r>
    <n v="168"/>
    <n v="24"/>
    <n v="2"/>
    <n v="2023"/>
    <s v="Friday"/>
    <s v="February"/>
    <s v="2023"/>
    <d v="2023-02-24T00:00:00"/>
    <s v="CUST168"/>
    <x v="0"/>
    <x v="2"/>
    <n v="53"/>
    <x v="0"/>
    <n v="1"/>
    <n v="300"/>
    <n v="300"/>
    <n v="4.5"/>
    <n v="6"/>
  </r>
  <r>
    <n v="169"/>
    <n v="17"/>
    <n v="11"/>
    <n v="2023"/>
    <s v="Friday"/>
    <s v="November"/>
    <s v="2023"/>
    <d v="2023-11-17T00:00:00"/>
    <s v="CUST169"/>
    <x v="0"/>
    <x v="1"/>
    <n v="18"/>
    <x v="0"/>
    <n v="3"/>
    <n v="500"/>
    <n v="1500"/>
    <n v="22.5"/>
    <n v="30"/>
  </r>
  <r>
    <n v="170"/>
    <n v="2"/>
    <n v="6"/>
    <n v="2023"/>
    <s v="Friday"/>
    <s v="June"/>
    <s v="2023"/>
    <d v="2023-06-02T00:00:00"/>
    <s v="CUST170"/>
    <x v="1"/>
    <x v="1"/>
    <n v="25"/>
    <x v="0"/>
    <n v="2"/>
    <n v="25"/>
    <n v="50"/>
    <n v="0.75"/>
    <n v="1"/>
  </r>
  <r>
    <n v="171"/>
    <n v="24"/>
    <n v="11"/>
    <n v="2023"/>
    <s v="Friday"/>
    <s v="November"/>
    <s v="2023"/>
    <d v="2023-11-24T00:00:00"/>
    <s v="CUST171"/>
    <x v="1"/>
    <x v="2"/>
    <n v="52"/>
    <x v="0"/>
    <n v="3"/>
    <n v="300"/>
    <n v="900"/>
    <n v="13.5"/>
    <n v="18"/>
  </r>
  <r>
    <n v="172"/>
    <n v="17"/>
    <n v="9"/>
    <n v="2023"/>
    <s v="Sunday"/>
    <s v="September"/>
    <s v="2023"/>
    <d v="2023-09-17T00:00:00"/>
    <s v="CUST172"/>
    <x v="0"/>
    <x v="0"/>
    <n v="32"/>
    <x v="0"/>
    <n v="2"/>
    <n v="25"/>
    <n v="50"/>
    <n v="0.75"/>
    <n v="1"/>
  </r>
  <r>
    <n v="173"/>
    <n v="8"/>
    <n v="11"/>
    <n v="2023"/>
    <s v="Wednesday"/>
    <s v="November"/>
    <s v="2023"/>
    <d v="2023-11-08T00:00:00"/>
    <s v="CUST173"/>
    <x v="0"/>
    <x v="2"/>
    <n v="64"/>
    <x v="0"/>
    <n v="4"/>
    <n v="30"/>
    <n v="120"/>
    <n v="1.7999999999999998"/>
    <n v="2.4"/>
  </r>
  <r>
    <n v="174"/>
    <n v="12"/>
    <n v="4"/>
    <n v="2023"/>
    <s v="Wednesday"/>
    <s v="April"/>
    <s v="2023"/>
    <d v="2023-04-12T00:00:00"/>
    <s v="CUST174"/>
    <x v="1"/>
    <x v="0"/>
    <n v="39"/>
    <x v="0"/>
    <n v="1"/>
    <n v="300"/>
    <n v="300"/>
    <n v="4.5"/>
    <n v="6"/>
  </r>
  <r>
    <n v="175"/>
    <n v="20"/>
    <n v="3"/>
    <n v="2023"/>
    <s v="Monday"/>
    <s v="March"/>
    <s v="2023"/>
    <d v="2023-03-20T00:00:00"/>
    <s v="CUST175"/>
    <x v="1"/>
    <x v="0"/>
    <n v="31"/>
    <x v="0"/>
    <n v="4"/>
    <n v="25"/>
    <n v="100"/>
    <n v="1.5"/>
    <n v="2"/>
  </r>
  <r>
    <n v="176"/>
    <n v="11"/>
    <n v="7"/>
    <n v="2023"/>
    <s v="Tuesday"/>
    <s v="July"/>
    <s v="2023"/>
    <d v="2023-07-11T00:00:00"/>
    <s v="CUST176"/>
    <x v="1"/>
    <x v="0"/>
    <n v="43"/>
    <x v="0"/>
    <n v="2"/>
    <n v="50"/>
    <n v="100"/>
    <n v="1.5"/>
    <n v="2"/>
  </r>
  <r>
    <n v="177"/>
    <n v="24"/>
    <n v="3"/>
    <n v="2023"/>
    <s v="Friday"/>
    <s v="March"/>
    <s v="2023"/>
    <d v="2023-03-24T00:00:00"/>
    <s v="CUST177"/>
    <x v="0"/>
    <x v="0"/>
    <n v="45"/>
    <x v="0"/>
    <n v="2"/>
    <n v="50"/>
    <n v="100"/>
    <n v="1.5"/>
    <n v="2"/>
  </r>
  <r>
    <n v="178"/>
    <n v="4"/>
    <n v="10"/>
    <n v="2023"/>
    <s v="Wednesday"/>
    <s v="October"/>
    <s v="2023"/>
    <d v="2023-10-04T00:00:00"/>
    <s v="CUST178"/>
    <x v="0"/>
    <x v="0"/>
    <n v="40"/>
    <x v="0"/>
    <n v="2"/>
    <n v="30"/>
    <n v="60"/>
    <n v="0.89999999999999991"/>
    <n v="1.2"/>
  </r>
  <r>
    <n v="179"/>
    <n v="29"/>
    <n v="9"/>
    <n v="2023"/>
    <s v="Friday"/>
    <s v="September"/>
    <s v="2023"/>
    <d v="2023-09-29T00:00:00"/>
    <s v="CUST179"/>
    <x v="0"/>
    <x v="0"/>
    <n v="31"/>
    <x v="0"/>
    <n v="1"/>
    <n v="300"/>
    <n v="300"/>
    <n v="4.5"/>
    <n v="6"/>
  </r>
  <r>
    <n v="180"/>
    <n v="1"/>
    <n v="1"/>
    <n v="2023"/>
    <s v="Sunday"/>
    <s v="January"/>
    <s v="2023"/>
    <d v="2023-01-01T00:00:00"/>
    <s v="CUST180"/>
    <x v="0"/>
    <x v="0"/>
    <n v="41"/>
    <x v="0"/>
    <n v="3"/>
    <n v="300"/>
    <n v="900"/>
    <n v="13.5"/>
    <n v="18"/>
  </r>
  <r>
    <n v="181"/>
    <n v="3"/>
    <n v="11"/>
    <n v="2023"/>
    <s v="Friday"/>
    <s v="November"/>
    <s v="2023"/>
    <d v="2023-11-03T00:00:00"/>
    <s v="CUST181"/>
    <x v="0"/>
    <x v="1"/>
    <n v="19"/>
    <x v="0"/>
    <n v="4"/>
    <n v="300"/>
    <n v="1200"/>
    <n v="18"/>
    <n v="24"/>
  </r>
  <r>
    <n v="182"/>
    <n v="15"/>
    <n v="6"/>
    <n v="2023"/>
    <s v="Thursday"/>
    <s v="June"/>
    <s v="2023"/>
    <d v="2023-06-15T00:00:00"/>
    <s v="CUST182"/>
    <x v="0"/>
    <x v="2"/>
    <n v="62"/>
    <x v="0"/>
    <n v="4"/>
    <n v="30"/>
    <n v="120"/>
    <n v="1.7999999999999998"/>
    <n v="2.4"/>
  </r>
  <r>
    <n v="183"/>
    <n v="8"/>
    <n v="9"/>
    <n v="2023"/>
    <s v="Friday"/>
    <s v="September"/>
    <s v="2023"/>
    <d v="2023-09-08T00:00:00"/>
    <s v="CUST183"/>
    <x v="1"/>
    <x v="0"/>
    <n v="43"/>
    <x v="0"/>
    <n v="3"/>
    <n v="300"/>
    <n v="900"/>
    <n v="13.5"/>
    <n v="18"/>
  </r>
  <r>
    <n v="184"/>
    <n v="10"/>
    <n v="1"/>
    <n v="2023"/>
    <s v="Tuesday"/>
    <s v="January"/>
    <s v="2023"/>
    <d v="2023-01-10T00:00:00"/>
    <s v="CUST184"/>
    <x v="0"/>
    <x v="0"/>
    <n v="31"/>
    <x v="0"/>
    <n v="4"/>
    <n v="50"/>
    <n v="200"/>
    <n v="3"/>
    <n v="4"/>
  </r>
  <r>
    <n v="185"/>
    <n v="27"/>
    <n v="2"/>
    <n v="2023"/>
    <s v="Monday"/>
    <s v="February"/>
    <s v="2023"/>
    <d v="2023-02-27T00:00:00"/>
    <s v="CUST185"/>
    <x v="0"/>
    <x v="1"/>
    <n v="24"/>
    <x v="0"/>
    <n v="1"/>
    <n v="25"/>
    <n v="25"/>
    <n v="0.375"/>
    <n v="0.5"/>
  </r>
  <r>
    <n v="186"/>
    <n v="5"/>
    <n v="7"/>
    <n v="2023"/>
    <s v="Wednesday"/>
    <s v="July"/>
    <s v="2023"/>
    <d v="2023-07-05T00:00:00"/>
    <s v="CUST186"/>
    <x v="0"/>
    <x v="1"/>
    <n v="20"/>
    <x v="0"/>
    <n v="4"/>
    <n v="50"/>
    <n v="200"/>
    <n v="3"/>
    <n v="4"/>
  </r>
  <r>
    <n v="187"/>
    <n v="7"/>
    <n v="6"/>
    <n v="2023"/>
    <s v="Wednesday"/>
    <s v="June"/>
    <s v="2023"/>
    <d v="2023-06-07T00:00:00"/>
    <s v="CUST187"/>
    <x v="1"/>
    <x v="2"/>
    <n v="64"/>
    <x v="0"/>
    <n v="2"/>
    <n v="50"/>
    <n v="100"/>
    <n v="1.5"/>
    <n v="2"/>
  </r>
  <r>
    <n v="188"/>
    <n v="3"/>
    <n v="5"/>
    <n v="2023"/>
    <s v="Wednesday"/>
    <s v="May"/>
    <s v="2023"/>
    <d v="2023-05-03T00:00:00"/>
    <s v="CUST188"/>
    <x v="0"/>
    <x v="0"/>
    <n v="40"/>
    <x v="0"/>
    <n v="3"/>
    <n v="25"/>
    <n v="75"/>
    <n v="1.125"/>
    <n v="1.5"/>
  </r>
  <r>
    <n v="189"/>
    <n v="30"/>
    <n v="1"/>
    <n v="2023"/>
    <s v="Monday"/>
    <s v="January"/>
    <s v="2023"/>
    <d v="2023-01-30T00:00:00"/>
    <s v="CUST189"/>
    <x v="0"/>
    <x v="2"/>
    <n v="63"/>
    <x v="0"/>
    <n v="1"/>
    <n v="50"/>
    <n v="50"/>
    <n v="0.75"/>
    <n v="1"/>
  </r>
  <r>
    <n v="190"/>
    <n v="4"/>
    <n v="5"/>
    <n v="2023"/>
    <s v="Thursday"/>
    <s v="May"/>
    <s v="2023"/>
    <d v="2023-05-04T00:00:00"/>
    <s v="CUST190"/>
    <x v="1"/>
    <x v="2"/>
    <n v="60"/>
    <x v="0"/>
    <n v="3"/>
    <n v="30"/>
    <n v="90"/>
    <n v="1.3499999999999999"/>
    <n v="1.8"/>
  </r>
  <r>
    <n v="191"/>
    <n v="18"/>
    <n v="10"/>
    <n v="2023"/>
    <s v="Wednesday"/>
    <s v="October"/>
    <s v="2023"/>
    <d v="2023-10-18T00:00:00"/>
    <s v="CUST191"/>
    <x v="0"/>
    <x v="2"/>
    <n v="64"/>
    <x v="0"/>
    <n v="1"/>
    <n v="25"/>
    <n v="25"/>
    <n v="0.375"/>
    <n v="0.5"/>
  </r>
  <r>
    <n v="192"/>
    <n v="10"/>
    <n v="2"/>
    <n v="2023"/>
    <s v="Friday"/>
    <s v="February"/>
    <s v="2023"/>
    <d v="2023-02-10T00:00:00"/>
    <s v="CUST192"/>
    <x v="0"/>
    <x v="2"/>
    <n v="62"/>
    <x v="0"/>
    <n v="2"/>
    <n v="50"/>
    <n v="100"/>
    <n v="1.5"/>
    <n v="2"/>
  </r>
  <r>
    <n v="193"/>
    <n v="13"/>
    <n v="2"/>
    <n v="2023"/>
    <s v="Monday"/>
    <s v="February"/>
    <s v="2023"/>
    <d v="2023-02-13T00:00:00"/>
    <s v="CUST193"/>
    <x v="0"/>
    <x v="0"/>
    <n v="35"/>
    <x v="0"/>
    <n v="3"/>
    <n v="500"/>
    <n v="1500"/>
    <n v="22.5"/>
    <n v="30"/>
  </r>
  <r>
    <n v="194"/>
    <n v="6"/>
    <n v="9"/>
    <n v="2023"/>
    <s v="Wednesday"/>
    <s v="September"/>
    <s v="2023"/>
    <d v="2023-09-06T00:00:00"/>
    <s v="CUST194"/>
    <x v="0"/>
    <x v="2"/>
    <n v="55"/>
    <x v="0"/>
    <n v="4"/>
    <n v="50"/>
    <n v="200"/>
    <n v="3"/>
    <n v="4"/>
  </r>
  <r>
    <n v="195"/>
    <n v="5"/>
    <n v="2"/>
    <n v="2023"/>
    <s v="Sunday"/>
    <s v="February"/>
    <s v="2023"/>
    <d v="2023-02-05T00:00:00"/>
    <s v="CUST195"/>
    <x v="0"/>
    <x v="2"/>
    <n v="52"/>
    <x v="0"/>
    <n v="1"/>
    <n v="30"/>
    <n v="30"/>
    <n v="0.44999999999999996"/>
    <n v="0.6"/>
  </r>
  <r>
    <n v="196"/>
    <n v="30"/>
    <n v="9"/>
    <n v="2023"/>
    <s v="Saturday"/>
    <s v="September"/>
    <s v="2023"/>
    <d v="2023-09-30T00:00:00"/>
    <s v="CUST196"/>
    <x v="1"/>
    <x v="0"/>
    <n v="32"/>
    <x v="0"/>
    <n v="3"/>
    <n v="300"/>
    <n v="900"/>
    <n v="13.5"/>
    <n v="18"/>
  </r>
  <r>
    <n v="197"/>
    <n v="6"/>
    <n v="3"/>
    <n v="2023"/>
    <s v="Monday"/>
    <s v="March"/>
    <s v="2023"/>
    <d v="2023-03-06T00:00:00"/>
    <s v="CUST197"/>
    <x v="1"/>
    <x v="0"/>
    <n v="42"/>
    <x v="0"/>
    <n v="4"/>
    <n v="50"/>
    <n v="200"/>
    <n v="3"/>
    <n v="4"/>
  </r>
  <r>
    <n v="198"/>
    <n v="7"/>
    <n v="3"/>
    <n v="2023"/>
    <s v="Tuesday"/>
    <s v="March"/>
    <s v="2023"/>
    <d v="2023-03-07T00:00:00"/>
    <s v="CUST198"/>
    <x v="1"/>
    <x v="2"/>
    <n v="54"/>
    <x v="0"/>
    <n v="3"/>
    <n v="300"/>
    <n v="900"/>
    <n v="13.5"/>
    <n v="18"/>
  </r>
  <r>
    <n v="199"/>
    <n v="4"/>
    <n v="12"/>
    <n v="2023"/>
    <s v="Monday"/>
    <s v="December"/>
    <s v="2023"/>
    <d v="2023-12-04T00:00:00"/>
    <s v="CUST199"/>
    <x v="0"/>
    <x v="0"/>
    <n v="45"/>
    <x v="0"/>
    <n v="3"/>
    <n v="500"/>
    <n v="1500"/>
    <n v="22.5"/>
    <n v="30"/>
  </r>
  <r>
    <n v="200"/>
    <n v="1"/>
    <n v="9"/>
    <n v="2023"/>
    <s v="Friday"/>
    <s v="September"/>
    <s v="2023"/>
    <d v="2023-09-01T00:00:00"/>
    <s v="CUST200"/>
    <x v="0"/>
    <x v="1"/>
    <n v="27"/>
    <x v="0"/>
    <n v="3"/>
    <n v="50"/>
    <n v="150"/>
    <n v="2.25"/>
    <n v="3"/>
  </r>
  <r>
    <n v="201"/>
    <n v="9"/>
    <n v="10"/>
    <n v="2023"/>
    <s v="Monday"/>
    <s v="October"/>
    <s v="2023"/>
    <d v="2023-10-09T00:00:00"/>
    <s v="CUST201"/>
    <x v="0"/>
    <x v="2"/>
    <n v="56"/>
    <x v="0"/>
    <n v="1"/>
    <n v="25"/>
    <n v="25"/>
    <n v="0.375"/>
    <n v="0.5"/>
  </r>
  <r>
    <n v="202"/>
    <n v="26"/>
    <n v="3"/>
    <n v="2023"/>
    <s v="Sunday"/>
    <s v="March"/>
    <s v="2023"/>
    <d v="2023-03-26T00:00:00"/>
    <s v="CUST202"/>
    <x v="1"/>
    <x v="0"/>
    <n v="34"/>
    <x v="0"/>
    <n v="4"/>
    <n v="300"/>
    <n v="1200"/>
    <n v="18"/>
    <n v="24"/>
  </r>
  <r>
    <n v="203"/>
    <n v="16"/>
    <n v="5"/>
    <n v="2023"/>
    <s v="Tuesday"/>
    <s v="May"/>
    <s v="2023"/>
    <d v="2023-05-16T00:00:00"/>
    <s v="CUST203"/>
    <x v="0"/>
    <x v="2"/>
    <n v="56"/>
    <x v="0"/>
    <n v="2"/>
    <n v="500"/>
    <n v="1000"/>
    <n v="15"/>
    <n v="20"/>
  </r>
  <r>
    <n v="204"/>
    <n v="28"/>
    <n v="9"/>
    <n v="2023"/>
    <s v="Thursday"/>
    <s v="September"/>
    <s v="2023"/>
    <d v="2023-09-28T00:00:00"/>
    <s v="CUST204"/>
    <x v="0"/>
    <x v="0"/>
    <n v="39"/>
    <x v="0"/>
    <n v="1"/>
    <n v="25"/>
    <n v="25"/>
    <n v="0.375"/>
    <n v="0.5"/>
  </r>
  <r>
    <n v="205"/>
    <n v="7"/>
    <n v="11"/>
    <n v="2023"/>
    <s v="Tuesday"/>
    <s v="November"/>
    <s v="2023"/>
    <d v="2023-11-07T00:00:00"/>
    <s v="CUST205"/>
    <x v="1"/>
    <x v="0"/>
    <n v="43"/>
    <x v="0"/>
    <n v="1"/>
    <n v="25"/>
    <n v="25"/>
    <n v="0.375"/>
    <n v="0.5"/>
  </r>
  <r>
    <n v="206"/>
    <n v="5"/>
    <n v="8"/>
    <n v="2023"/>
    <s v="Saturday"/>
    <s v="August"/>
    <s v="2023"/>
    <d v="2023-08-05T00:00:00"/>
    <s v="CUST206"/>
    <x v="0"/>
    <x v="2"/>
    <n v="61"/>
    <x v="0"/>
    <n v="1"/>
    <n v="25"/>
    <n v="25"/>
    <n v="0.375"/>
    <n v="0.5"/>
  </r>
  <r>
    <n v="207"/>
    <n v="19"/>
    <n v="4"/>
    <n v="2023"/>
    <s v="Wednesday"/>
    <s v="April"/>
    <s v="2023"/>
    <d v="2023-04-19T00:00:00"/>
    <s v="CUST207"/>
    <x v="1"/>
    <x v="0"/>
    <n v="42"/>
    <x v="0"/>
    <n v="2"/>
    <n v="25"/>
    <n v="50"/>
    <n v="0.75"/>
    <n v="1"/>
  </r>
  <r>
    <n v="208"/>
    <n v="4"/>
    <n v="10"/>
    <n v="2023"/>
    <s v="Wednesday"/>
    <s v="October"/>
    <s v="2023"/>
    <d v="2023-10-04T00:00:00"/>
    <s v="CUST208"/>
    <x v="1"/>
    <x v="0"/>
    <n v="34"/>
    <x v="0"/>
    <n v="4"/>
    <n v="50"/>
    <n v="200"/>
    <n v="3"/>
    <n v="4"/>
  </r>
  <r>
    <n v="209"/>
    <n v="20"/>
    <n v="12"/>
    <n v="2023"/>
    <s v="Wednesday"/>
    <s v="December"/>
    <s v="2023"/>
    <d v="2023-12-20T00:00:00"/>
    <s v="CUST209"/>
    <x v="1"/>
    <x v="0"/>
    <n v="30"/>
    <x v="0"/>
    <n v="4"/>
    <n v="50"/>
    <n v="200"/>
    <n v="3"/>
    <n v="4"/>
  </r>
  <r>
    <n v="210"/>
    <n v="13"/>
    <n v="4"/>
    <n v="2023"/>
    <s v="Thursday"/>
    <s v="April"/>
    <s v="2023"/>
    <d v="2023-04-13T00:00:00"/>
    <s v="CUST210"/>
    <x v="0"/>
    <x v="0"/>
    <n v="37"/>
    <x v="0"/>
    <n v="4"/>
    <n v="50"/>
    <n v="200"/>
    <n v="3"/>
    <n v="4"/>
  </r>
  <r>
    <n v="211"/>
    <n v="1"/>
    <n v="1"/>
    <n v="2024"/>
    <s v="Monday"/>
    <s v="January"/>
    <s v="2024"/>
    <d v="2024-01-01T00:00:00"/>
    <s v="CUST211"/>
    <x v="0"/>
    <x v="0"/>
    <n v="42"/>
    <x v="0"/>
    <n v="3"/>
    <n v="500"/>
    <n v="1500"/>
    <n v="22.5"/>
    <n v="30"/>
  </r>
  <r>
    <n v="212"/>
    <n v="9"/>
    <n v="6"/>
    <n v="2023"/>
    <s v="Friday"/>
    <s v="June"/>
    <s v="2023"/>
    <d v="2023-06-09T00:00:00"/>
    <s v="CUST212"/>
    <x v="0"/>
    <x v="1"/>
    <n v="21"/>
    <x v="0"/>
    <n v="3"/>
    <n v="500"/>
    <n v="1500"/>
    <n v="22.5"/>
    <n v="30"/>
  </r>
  <r>
    <n v="213"/>
    <n v="24"/>
    <n v="7"/>
    <n v="2023"/>
    <s v="Monday"/>
    <s v="July"/>
    <s v="2023"/>
    <d v="2023-07-24T00:00:00"/>
    <s v="CUST213"/>
    <x v="0"/>
    <x v="1"/>
    <n v="27"/>
    <x v="0"/>
    <n v="3"/>
    <n v="500"/>
    <n v="1500"/>
    <n v="22.5"/>
    <n v="30"/>
  </r>
  <r>
    <n v="214"/>
    <n v="10"/>
    <n v="12"/>
    <n v="2023"/>
    <s v="Sunday"/>
    <s v="December"/>
    <s v="2023"/>
    <d v="2023-12-10T00:00:00"/>
    <s v="CUST214"/>
    <x v="0"/>
    <x v="1"/>
    <n v="20"/>
    <x v="0"/>
    <n v="2"/>
    <n v="30"/>
    <n v="60"/>
    <n v="0.89999999999999991"/>
    <n v="1.2"/>
  </r>
  <r>
    <n v="215"/>
    <n v="29"/>
    <n v="11"/>
    <n v="2023"/>
    <s v="Wednesday"/>
    <s v="November"/>
    <s v="2023"/>
    <d v="2023-11-29T00:00:00"/>
    <s v="CUST215"/>
    <x v="0"/>
    <x v="2"/>
    <n v="58"/>
    <x v="0"/>
    <n v="3"/>
    <n v="500"/>
    <n v="1500"/>
    <n v="22.5"/>
    <n v="30"/>
  </r>
  <r>
    <n v="216"/>
    <n v="11"/>
    <n v="7"/>
    <n v="2023"/>
    <s v="Tuesday"/>
    <s v="July"/>
    <s v="2023"/>
    <d v="2023-07-11T00:00:00"/>
    <s v="CUST216"/>
    <x v="0"/>
    <x v="2"/>
    <n v="62"/>
    <x v="0"/>
    <n v="2"/>
    <n v="50"/>
    <n v="100"/>
    <n v="1.5"/>
    <n v="2"/>
  </r>
  <r>
    <n v="217"/>
    <n v="13"/>
    <n v="8"/>
    <n v="2023"/>
    <s v="Sunday"/>
    <s v="August"/>
    <s v="2023"/>
    <d v="2023-08-13T00:00:00"/>
    <s v="CUST217"/>
    <x v="1"/>
    <x v="0"/>
    <n v="35"/>
    <x v="0"/>
    <n v="4"/>
    <n v="50"/>
    <n v="200"/>
    <n v="3"/>
    <n v="4"/>
  </r>
  <r>
    <n v="218"/>
    <n v="22"/>
    <n v="9"/>
    <n v="2023"/>
    <s v="Friday"/>
    <s v="September"/>
    <s v="2023"/>
    <d v="2023-09-22T00:00:00"/>
    <s v="CUST218"/>
    <x v="0"/>
    <x v="2"/>
    <n v="64"/>
    <x v="0"/>
    <n v="3"/>
    <n v="30"/>
    <n v="90"/>
    <n v="1.3499999999999999"/>
    <n v="1.8"/>
  </r>
  <r>
    <n v="219"/>
    <n v="20"/>
    <n v="8"/>
    <n v="2023"/>
    <s v="Sunday"/>
    <s v="August"/>
    <s v="2023"/>
    <d v="2023-08-20T00:00:00"/>
    <s v="CUST219"/>
    <x v="1"/>
    <x v="2"/>
    <n v="53"/>
    <x v="0"/>
    <n v="3"/>
    <n v="30"/>
    <n v="90"/>
    <n v="1.3499999999999999"/>
    <n v="1.8"/>
  </r>
  <r>
    <n v="220"/>
    <n v="3"/>
    <n v="3"/>
    <n v="2023"/>
    <s v="Friday"/>
    <s v="March"/>
    <s v="2023"/>
    <d v="2023-03-03T00:00:00"/>
    <s v="CUST220"/>
    <x v="0"/>
    <x v="2"/>
    <n v="64"/>
    <x v="0"/>
    <n v="1"/>
    <n v="500"/>
    <n v="500"/>
    <n v="7.5"/>
    <n v="10"/>
  </r>
  <r>
    <n v="221"/>
    <n v="7"/>
    <n v="5"/>
    <n v="2023"/>
    <s v="Sunday"/>
    <s v="May"/>
    <s v="2023"/>
    <d v="2023-05-07T00:00:00"/>
    <s v="CUST221"/>
    <x v="0"/>
    <x v="0"/>
    <n v="39"/>
    <x v="0"/>
    <n v="2"/>
    <n v="300"/>
    <n v="600"/>
    <n v="9"/>
    <n v="12"/>
  </r>
  <r>
    <n v="222"/>
    <n v="26"/>
    <n v="4"/>
    <n v="2023"/>
    <s v="Wednesday"/>
    <s v="April"/>
    <s v="2023"/>
    <d v="2023-04-26T00:00:00"/>
    <s v="CUST222"/>
    <x v="0"/>
    <x v="2"/>
    <n v="51"/>
    <x v="0"/>
    <n v="4"/>
    <n v="30"/>
    <n v="120"/>
    <n v="1.7999999999999998"/>
    <n v="2.4"/>
  </r>
  <r>
    <n v="223"/>
    <n v="2"/>
    <n v="2"/>
    <n v="2023"/>
    <s v="Thursday"/>
    <s v="February"/>
    <s v="2023"/>
    <d v="2023-02-02T00:00:00"/>
    <s v="CUST223"/>
    <x v="1"/>
    <x v="2"/>
    <n v="64"/>
    <x v="0"/>
    <n v="1"/>
    <n v="25"/>
    <n v="25"/>
    <n v="0.375"/>
    <n v="0.5"/>
  </r>
  <r>
    <n v="224"/>
    <n v="23"/>
    <n v="6"/>
    <n v="2023"/>
    <s v="Friday"/>
    <s v="June"/>
    <s v="2023"/>
    <d v="2023-06-23T00:00:00"/>
    <s v="CUST224"/>
    <x v="1"/>
    <x v="1"/>
    <n v="25"/>
    <x v="0"/>
    <n v="1"/>
    <n v="50"/>
    <n v="50"/>
    <n v="0.75"/>
    <n v="1"/>
  </r>
  <r>
    <n v="225"/>
    <n v="11"/>
    <n v="1"/>
    <n v="2023"/>
    <s v="Wednesday"/>
    <s v="January"/>
    <s v="2023"/>
    <d v="2023-01-11T00:00:00"/>
    <s v="CUST225"/>
    <x v="1"/>
    <x v="2"/>
    <n v="57"/>
    <x v="0"/>
    <n v="4"/>
    <n v="25"/>
    <n v="100"/>
    <n v="1.5"/>
    <n v="2"/>
  </r>
  <r>
    <n v="226"/>
    <n v="29"/>
    <n v="10"/>
    <n v="2023"/>
    <s v="Sunday"/>
    <s v="October"/>
    <s v="2023"/>
    <d v="2023-10-29T00:00:00"/>
    <s v="CUST226"/>
    <x v="1"/>
    <x v="2"/>
    <n v="61"/>
    <x v="0"/>
    <n v="1"/>
    <n v="50"/>
    <n v="50"/>
    <n v="0.75"/>
    <n v="1"/>
  </r>
  <r>
    <n v="227"/>
    <n v="11"/>
    <n v="10"/>
    <n v="2023"/>
    <s v="Wednesday"/>
    <s v="October"/>
    <s v="2023"/>
    <d v="2023-10-11T00:00:00"/>
    <s v="CUST227"/>
    <x v="0"/>
    <x v="0"/>
    <n v="36"/>
    <x v="0"/>
    <n v="2"/>
    <n v="50"/>
    <n v="100"/>
    <n v="1.5"/>
    <n v="2"/>
  </r>
  <r>
    <n v="228"/>
    <n v="28"/>
    <n v="4"/>
    <n v="2023"/>
    <s v="Friday"/>
    <s v="April"/>
    <s v="2023"/>
    <d v="2023-04-28T00:00:00"/>
    <s v="CUST228"/>
    <x v="1"/>
    <x v="2"/>
    <n v="59"/>
    <x v="0"/>
    <n v="2"/>
    <n v="30"/>
    <n v="60"/>
    <n v="0.89999999999999991"/>
    <n v="1.2"/>
  </r>
  <r>
    <n v="229"/>
    <n v="29"/>
    <n v="10"/>
    <n v="2023"/>
    <s v="Sunday"/>
    <s v="October"/>
    <s v="2023"/>
    <d v="2023-10-29T00:00:00"/>
    <s v="CUST229"/>
    <x v="0"/>
    <x v="2"/>
    <n v="58"/>
    <x v="0"/>
    <n v="3"/>
    <n v="30"/>
    <n v="90"/>
    <n v="1.3499999999999999"/>
    <n v="1.8"/>
  </r>
  <r>
    <n v="230"/>
    <n v="23"/>
    <n v="4"/>
    <n v="2023"/>
    <s v="Sunday"/>
    <s v="April"/>
    <s v="2023"/>
    <d v="2023-04-23T00:00:00"/>
    <s v="CUST230"/>
    <x v="0"/>
    <x v="2"/>
    <n v="54"/>
    <x v="0"/>
    <n v="1"/>
    <n v="25"/>
    <n v="25"/>
    <n v="0.375"/>
    <n v="0.5"/>
  </r>
  <r>
    <n v="231"/>
    <n v="4"/>
    <n v="1"/>
    <n v="2023"/>
    <s v="Wednesday"/>
    <s v="January"/>
    <s v="2023"/>
    <d v="2023-01-04T00:00:00"/>
    <s v="CUST231"/>
    <x v="1"/>
    <x v="1"/>
    <n v="23"/>
    <x v="0"/>
    <n v="3"/>
    <n v="50"/>
    <n v="150"/>
    <n v="2.25"/>
    <n v="3"/>
  </r>
  <r>
    <n v="232"/>
    <n v="6"/>
    <n v="2"/>
    <n v="2023"/>
    <s v="Monday"/>
    <s v="February"/>
    <s v="2023"/>
    <d v="2023-02-06T00:00:00"/>
    <s v="CUST232"/>
    <x v="1"/>
    <x v="0"/>
    <n v="43"/>
    <x v="0"/>
    <n v="1"/>
    <n v="25"/>
    <n v="25"/>
    <n v="0.375"/>
    <n v="0.5"/>
  </r>
  <r>
    <n v="233"/>
    <n v="29"/>
    <n v="12"/>
    <n v="2023"/>
    <s v="Friday"/>
    <s v="December"/>
    <s v="2023"/>
    <d v="2023-12-29T00:00:00"/>
    <s v="CUST233"/>
    <x v="1"/>
    <x v="2"/>
    <n v="51"/>
    <x v="0"/>
    <n v="2"/>
    <n v="300"/>
    <n v="600"/>
    <n v="9"/>
    <n v="12"/>
  </r>
  <r>
    <n v="234"/>
    <n v="20"/>
    <n v="11"/>
    <n v="2023"/>
    <s v="Monday"/>
    <s v="November"/>
    <s v="2023"/>
    <d v="2023-11-20T00:00:00"/>
    <s v="CUST234"/>
    <x v="1"/>
    <x v="2"/>
    <n v="62"/>
    <x v="0"/>
    <n v="2"/>
    <n v="25"/>
    <n v="50"/>
    <n v="0.75"/>
    <n v="1"/>
  </r>
  <r>
    <n v="235"/>
    <n v="31"/>
    <n v="1"/>
    <n v="2023"/>
    <s v="Tuesday"/>
    <s v="January"/>
    <s v="2023"/>
    <d v="2023-01-31T00:00:00"/>
    <s v="CUST235"/>
    <x v="1"/>
    <x v="1"/>
    <n v="23"/>
    <x v="0"/>
    <n v="2"/>
    <n v="500"/>
    <n v="1000"/>
    <n v="15"/>
    <n v="20"/>
  </r>
  <r>
    <n v="236"/>
    <n v="28"/>
    <n v="4"/>
    <n v="2023"/>
    <s v="Friday"/>
    <s v="April"/>
    <s v="2023"/>
    <d v="2023-04-28T00:00:00"/>
    <s v="CUST236"/>
    <x v="1"/>
    <x v="2"/>
    <n v="54"/>
    <x v="0"/>
    <n v="1"/>
    <n v="25"/>
    <n v="25"/>
    <n v="0.375"/>
    <n v="0.5"/>
  </r>
  <r>
    <n v="237"/>
    <n v="4"/>
    <n v="2"/>
    <n v="2023"/>
    <s v="Saturday"/>
    <s v="February"/>
    <s v="2023"/>
    <d v="2023-02-04T00:00:00"/>
    <s v="CUST237"/>
    <x v="1"/>
    <x v="0"/>
    <n v="50"/>
    <x v="0"/>
    <n v="2"/>
    <n v="500"/>
    <n v="1000"/>
    <n v="15"/>
    <n v="20"/>
  </r>
  <r>
    <n v="238"/>
    <n v="17"/>
    <n v="1"/>
    <n v="2023"/>
    <s v="Tuesday"/>
    <s v="January"/>
    <s v="2023"/>
    <d v="2023-01-17T00:00:00"/>
    <s v="CUST238"/>
    <x v="1"/>
    <x v="0"/>
    <n v="39"/>
    <x v="0"/>
    <n v="1"/>
    <n v="500"/>
    <n v="500"/>
    <n v="7.5"/>
    <n v="10"/>
  </r>
  <r>
    <n v="239"/>
    <n v="19"/>
    <n v="6"/>
    <n v="2023"/>
    <s v="Monday"/>
    <s v="June"/>
    <s v="2023"/>
    <d v="2023-06-19T00:00:00"/>
    <s v="CUST239"/>
    <x v="0"/>
    <x v="0"/>
    <n v="38"/>
    <x v="0"/>
    <n v="3"/>
    <n v="500"/>
    <n v="1500"/>
    <n v="22.5"/>
    <n v="30"/>
  </r>
  <r>
    <n v="240"/>
    <n v="6"/>
    <n v="2"/>
    <n v="2023"/>
    <s v="Monday"/>
    <s v="February"/>
    <s v="2023"/>
    <d v="2023-02-06T00:00:00"/>
    <s v="CUST240"/>
    <x v="1"/>
    <x v="1"/>
    <n v="23"/>
    <x v="0"/>
    <n v="1"/>
    <n v="300"/>
    <n v="300"/>
    <n v="4.5"/>
    <n v="6"/>
  </r>
  <r>
    <n v="241"/>
    <n v="21"/>
    <n v="9"/>
    <n v="2023"/>
    <s v="Thursday"/>
    <s v="September"/>
    <s v="2023"/>
    <d v="2023-09-21T00:00:00"/>
    <s v="CUST241"/>
    <x v="1"/>
    <x v="1"/>
    <n v="23"/>
    <x v="0"/>
    <n v="3"/>
    <n v="25"/>
    <n v="75"/>
    <n v="1.125"/>
    <n v="1.5"/>
  </r>
  <r>
    <n v="242"/>
    <n v="2"/>
    <n v="5"/>
    <n v="2023"/>
    <s v="Tuesday"/>
    <s v="May"/>
    <s v="2023"/>
    <d v="2023-05-02T00:00:00"/>
    <s v="CUST242"/>
    <x v="0"/>
    <x v="1"/>
    <n v="21"/>
    <x v="0"/>
    <n v="1"/>
    <n v="25"/>
    <n v="25"/>
    <n v="0.375"/>
    <n v="0.5"/>
  </r>
  <r>
    <n v="243"/>
    <n v="23"/>
    <n v="5"/>
    <n v="2023"/>
    <s v="Tuesday"/>
    <s v="May"/>
    <s v="2023"/>
    <d v="2023-05-23T00:00:00"/>
    <s v="CUST243"/>
    <x v="1"/>
    <x v="0"/>
    <n v="47"/>
    <x v="0"/>
    <n v="3"/>
    <n v="300"/>
    <n v="900"/>
    <n v="13.5"/>
    <n v="18"/>
  </r>
  <r>
    <n v="244"/>
    <n v="9"/>
    <n v="12"/>
    <n v="2023"/>
    <s v="Saturday"/>
    <s v="December"/>
    <s v="2023"/>
    <d v="2023-12-09T00:00:00"/>
    <s v="CUST244"/>
    <x v="0"/>
    <x v="1"/>
    <n v="28"/>
    <x v="0"/>
    <n v="2"/>
    <n v="50"/>
    <n v="100"/>
    <n v="1.5"/>
    <n v="2"/>
  </r>
  <r>
    <n v="245"/>
    <n v="6"/>
    <n v="9"/>
    <n v="2023"/>
    <s v="Wednesday"/>
    <s v="September"/>
    <s v="2023"/>
    <d v="2023-09-06T00:00:00"/>
    <s v="CUST245"/>
    <x v="0"/>
    <x v="0"/>
    <n v="47"/>
    <x v="0"/>
    <n v="3"/>
    <n v="30"/>
    <n v="90"/>
    <n v="1.3499999999999999"/>
    <n v="1.8"/>
  </r>
  <r>
    <n v="246"/>
    <n v="20"/>
    <n v="4"/>
    <n v="2023"/>
    <s v="Thursday"/>
    <s v="April"/>
    <s v="2023"/>
    <d v="2023-04-20T00:00:00"/>
    <s v="CUST246"/>
    <x v="1"/>
    <x v="0"/>
    <n v="48"/>
    <x v="0"/>
    <n v="2"/>
    <n v="25"/>
    <n v="50"/>
    <n v="0.75"/>
    <n v="1"/>
  </r>
  <r>
    <n v="247"/>
    <n v="4"/>
    <n v="10"/>
    <n v="2023"/>
    <s v="Wednesday"/>
    <s v="October"/>
    <s v="2023"/>
    <d v="2023-10-04T00:00:00"/>
    <s v="CUST247"/>
    <x v="0"/>
    <x v="0"/>
    <n v="41"/>
    <x v="0"/>
    <n v="2"/>
    <n v="30"/>
    <n v="60"/>
    <n v="0.89999999999999991"/>
    <n v="1.2"/>
  </r>
  <r>
    <n v="248"/>
    <n v="9"/>
    <n v="3"/>
    <n v="2023"/>
    <s v="Thursday"/>
    <s v="March"/>
    <s v="2023"/>
    <d v="2023-03-09T00:00:00"/>
    <s v="CUST248"/>
    <x v="0"/>
    <x v="1"/>
    <n v="26"/>
    <x v="0"/>
    <n v="3"/>
    <n v="300"/>
    <n v="900"/>
    <n v="13.5"/>
    <n v="18"/>
  </r>
  <r>
    <n v="249"/>
    <n v="20"/>
    <n v="10"/>
    <n v="2023"/>
    <s v="Friday"/>
    <s v="October"/>
    <s v="2023"/>
    <d v="2023-10-20T00:00:00"/>
    <s v="CUST249"/>
    <x v="0"/>
    <x v="1"/>
    <n v="20"/>
    <x v="0"/>
    <n v="1"/>
    <n v="50"/>
    <n v="50"/>
    <n v="0.75"/>
    <n v="1"/>
  </r>
  <r>
    <n v="250"/>
    <n v="23"/>
    <n v="10"/>
    <n v="2023"/>
    <s v="Monday"/>
    <s v="October"/>
    <s v="2023"/>
    <d v="2023-10-23T00:00:00"/>
    <s v="CUST250"/>
    <x v="0"/>
    <x v="0"/>
    <n v="48"/>
    <x v="0"/>
    <n v="1"/>
    <n v="50"/>
    <n v="50"/>
    <n v="0.75"/>
    <n v="1"/>
  </r>
  <r>
    <n v="251"/>
    <n v="31"/>
    <n v="8"/>
    <n v="2023"/>
    <s v="Thursday"/>
    <s v="August"/>
    <s v="2023"/>
    <d v="2023-08-31T00:00:00"/>
    <s v="CUST251"/>
    <x v="1"/>
    <x v="2"/>
    <n v="57"/>
    <x v="0"/>
    <n v="4"/>
    <n v="50"/>
    <n v="200"/>
    <n v="3"/>
    <n v="4"/>
  </r>
  <r>
    <n v="252"/>
    <n v="5"/>
    <n v="5"/>
    <n v="2023"/>
    <s v="Friday"/>
    <s v="May"/>
    <s v="2023"/>
    <d v="2023-05-05T00:00:00"/>
    <s v="CUST252"/>
    <x v="0"/>
    <x v="2"/>
    <n v="54"/>
    <x v="0"/>
    <n v="1"/>
    <n v="300"/>
    <n v="300"/>
    <n v="4.5"/>
    <n v="6"/>
  </r>
  <r>
    <n v="253"/>
    <n v="31"/>
    <n v="8"/>
    <n v="2023"/>
    <s v="Thursday"/>
    <s v="August"/>
    <s v="2023"/>
    <d v="2023-08-31T00:00:00"/>
    <s v="CUST253"/>
    <x v="1"/>
    <x v="2"/>
    <n v="53"/>
    <x v="0"/>
    <n v="4"/>
    <n v="500"/>
    <n v="2000"/>
    <n v="30"/>
    <n v="40"/>
  </r>
  <r>
    <n v="254"/>
    <n v="28"/>
    <n v="7"/>
    <n v="2023"/>
    <s v="Friday"/>
    <s v="July"/>
    <s v="2023"/>
    <d v="2023-07-28T00:00:00"/>
    <s v="CUST254"/>
    <x v="0"/>
    <x v="0"/>
    <n v="41"/>
    <x v="0"/>
    <n v="1"/>
    <n v="500"/>
    <n v="500"/>
    <n v="7.5"/>
    <n v="10"/>
  </r>
  <r>
    <n v="255"/>
    <n v="8"/>
    <n v="4"/>
    <n v="2023"/>
    <s v="Saturday"/>
    <s v="April"/>
    <s v="2023"/>
    <d v="2023-04-08T00:00:00"/>
    <s v="CUST255"/>
    <x v="0"/>
    <x v="0"/>
    <n v="48"/>
    <x v="0"/>
    <n v="1"/>
    <n v="30"/>
    <n v="30"/>
    <n v="0.44999999999999996"/>
    <n v="0.6"/>
  </r>
  <r>
    <n v="256"/>
    <n v="18"/>
    <n v="2"/>
    <n v="2023"/>
    <s v="Saturday"/>
    <s v="February"/>
    <s v="2023"/>
    <d v="2023-02-18T00:00:00"/>
    <s v="CUST256"/>
    <x v="0"/>
    <x v="1"/>
    <n v="23"/>
    <x v="0"/>
    <n v="2"/>
    <n v="500"/>
    <n v="1000"/>
    <n v="15"/>
    <n v="20"/>
  </r>
  <r>
    <n v="257"/>
    <n v="19"/>
    <n v="2"/>
    <n v="2023"/>
    <s v="Sunday"/>
    <s v="February"/>
    <s v="2023"/>
    <d v="2023-02-19T00:00:00"/>
    <s v="CUST257"/>
    <x v="0"/>
    <x v="1"/>
    <n v="19"/>
    <x v="0"/>
    <n v="4"/>
    <n v="500"/>
    <n v="2000"/>
    <n v="30"/>
    <n v="40"/>
  </r>
  <r>
    <n v="258"/>
    <n v="4"/>
    <n v="12"/>
    <n v="2023"/>
    <s v="Monday"/>
    <s v="December"/>
    <s v="2023"/>
    <d v="2023-12-04T00:00:00"/>
    <s v="CUST258"/>
    <x v="1"/>
    <x v="0"/>
    <n v="37"/>
    <x v="0"/>
    <n v="1"/>
    <n v="50"/>
    <n v="50"/>
    <n v="0.75"/>
    <n v="1"/>
  </r>
  <r>
    <n v="259"/>
    <n v="9"/>
    <n v="8"/>
    <n v="2023"/>
    <s v="Wednesday"/>
    <s v="August"/>
    <s v="2023"/>
    <d v="2023-08-09T00:00:00"/>
    <s v="CUST259"/>
    <x v="1"/>
    <x v="0"/>
    <n v="45"/>
    <x v="0"/>
    <n v="4"/>
    <n v="50"/>
    <n v="200"/>
    <n v="3"/>
    <n v="4"/>
  </r>
  <r>
    <n v="260"/>
    <n v="1"/>
    <n v="7"/>
    <n v="2023"/>
    <s v="Saturday"/>
    <s v="July"/>
    <s v="2023"/>
    <d v="2023-07-01T00:00:00"/>
    <s v="CUST260"/>
    <x v="0"/>
    <x v="1"/>
    <n v="28"/>
    <x v="0"/>
    <n v="2"/>
    <n v="30"/>
    <n v="60"/>
    <n v="0.89999999999999991"/>
    <n v="1.2"/>
  </r>
  <r>
    <n v="261"/>
    <n v="5"/>
    <n v="8"/>
    <n v="2023"/>
    <s v="Saturday"/>
    <s v="August"/>
    <s v="2023"/>
    <d v="2023-08-05T00:00:00"/>
    <s v="CUST261"/>
    <x v="0"/>
    <x v="1"/>
    <n v="21"/>
    <x v="0"/>
    <n v="2"/>
    <n v="25"/>
    <n v="50"/>
    <n v="0.75"/>
    <n v="1"/>
  </r>
  <r>
    <n v="262"/>
    <n v="30"/>
    <n v="7"/>
    <n v="2023"/>
    <s v="Sunday"/>
    <s v="July"/>
    <s v="2023"/>
    <d v="2023-07-30T00:00:00"/>
    <s v="CUST262"/>
    <x v="1"/>
    <x v="0"/>
    <n v="32"/>
    <x v="0"/>
    <n v="4"/>
    <n v="30"/>
    <n v="120"/>
    <n v="1.7999999999999998"/>
    <n v="2.4"/>
  </r>
  <r>
    <n v="263"/>
    <n v="28"/>
    <n v="8"/>
    <n v="2023"/>
    <s v="Monday"/>
    <s v="August"/>
    <s v="2023"/>
    <d v="2023-08-28T00:00:00"/>
    <s v="CUST263"/>
    <x v="0"/>
    <x v="1"/>
    <n v="23"/>
    <x v="0"/>
    <n v="2"/>
    <n v="30"/>
    <n v="60"/>
    <n v="0.89999999999999991"/>
    <n v="1.2"/>
  </r>
  <r>
    <n v="264"/>
    <n v="28"/>
    <n v="1"/>
    <n v="2023"/>
    <s v="Saturday"/>
    <s v="January"/>
    <s v="2023"/>
    <d v="2023-01-28T00:00:00"/>
    <s v="CUST264"/>
    <x v="0"/>
    <x v="0"/>
    <n v="47"/>
    <x v="0"/>
    <n v="3"/>
    <n v="300"/>
    <n v="900"/>
    <n v="13.5"/>
    <n v="18"/>
  </r>
  <r>
    <n v="265"/>
    <n v="11"/>
    <n v="12"/>
    <n v="2023"/>
    <s v="Monday"/>
    <s v="December"/>
    <s v="2023"/>
    <d v="2023-12-11T00:00:00"/>
    <s v="CUST265"/>
    <x v="0"/>
    <x v="2"/>
    <n v="55"/>
    <x v="0"/>
    <n v="3"/>
    <n v="300"/>
    <n v="900"/>
    <n v="13.5"/>
    <n v="18"/>
  </r>
  <r>
    <n v="266"/>
    <n v="1"/>
    <n v="12"/>
    <n v="2023"/>
    <s v="Friday"/>
    <s v="December"/>
    <s v="2023"/>
    <d v="2023-12-01T00:00:00"/>
    <s v="CUST266"/>
    <x v="1"/>
    <x v="1"/>
    <n v="19"/>
    <x v="0"/>
    <n v="2"/>
    <n v="30"/>
    <n v="60"/>
    <n v="0.89999999999999991"/>
    <n v="1.2"/>
  </r>
  <r>
    <n v="267"/>
    <n v="27"/>
    <n v="11"/>
    <n v="2023"/>
    <s v="Monday"/>
    <s v="November"/>
    <s v="2023"/>
    <d v="2023-11-27T00:00:00"/>
    <s v="CUST267"/>
    <x v="1"/>
    <x v="0"/>
    <n v="32"/>
    <x v="0"/>
    <n v="3"/>
    <n v="30"/>
    <n v="90"/>
    <n v="1.3499999999999999"/>
    <n v="1.8"/>
  </r>
  <r>
    <n v="268"/>
    <n v="20"/>
    <n v="2"/>
    <n v="2023"/>
    <s v="Monday"/>
    <s v="February"/>
    <s v="2023"/>
    <d v="2023-02-20T00:00:00"/>
    <s v="CUST268"/>
    <x v="1"/>
    <x v="1"/>
    <n v="28"/>
    <x v="0"/>
    <n v="1"/>
    <n v="30"/>
    <n v="30"/>
    <n v="0.44999999999999996"/>
    <n v="0.6"/>
  </r>
  <r>
    <n v="269"/>
    <n v="1"/>
    <n v="2"/>
    <n v="2023"/>
    <s v="Wednesday"/>
    <s v="February"/>
    <s v="2023"/>
    <d v="2023-02-01T00:00:00"/>
    <s v="CUST269"/>
    <x v="0"/>
    <x v="1"/>
    <n v="25"/>
    <x v="0"/>
    <n v="4"/>
    <n v="500"/>
    <n v="2000"/>
    <n v="30"/>
    <n v="40"/>
  </r>
  <r>
    <n v="270"/>
    <n v="26"/>
    <n v="7"/>
    <n v="2023"/>
    <s v="Wednesday"/>
    <s v="July"/>
    <s v="2023"/>
    <d v="2023-07-26T00:00:00"/>
    <s v="CUST270"/>
    <x v="0"/>
    <x v="0"/>
    <n v="43"/>
    <x v="0"/>
    <n v="1"/>
    <n v="300"/>
    <n v="300"/>
    <n v="4.5"/>
    <n v="6"/>
  </r>
  <r>
    <n v="271"/>
    <n v="23"/>
    <n v="6"/>
    <n v="2023"/>
    <s v="Friday"/>
    <s v="June"/>
    <s v="2023"/>
    <d v="2023-06-23T00:00:00"/>
    <s v="CUST271"/>
    <x v="1"/>
    <x v="2"/>
    <n v="62"/>
    <x v="0"/>
    <n v="4"/>
    <n v="30"/>
    <n v="120"/>
    <n v="1.7999999999999998"/>
    <n v="2.4"/>
  </r>
  <r>
    <n v="272"/>
    <n v="25"/>
    <n v="2"/>
    <n v="2023"/>
    <s v="Saturday"/>
    <s v="February"/>
    <s v="2023"/>
    <d v="2023-02-25T00:00:00"/>
    <s v="CUST272"/>
    <x v="1"/>
    <x v="2"/>
    <n v="61"/>
    <x v="0"/>
    <n v="2"/>
    <n v="50"/>
    <n v="100"/>
    <n v="1.5"/>
    <n v="2"/>
  </r>
  <r>
    <n v="273"/>
    <n v="8"/>
    <n v="5"/>
    <n v="2023"/>
    <s v="Monday"/>
    <s v="May"/>
    <s v="2023"/>
    <d v="2023-05-08T00:00:00"/>
    <s v="CUST273"/>
    <x v="1"/>
    <x v="1"/>
    <n v="22"/>
    <x v="0"/>
    <n v="1"/>
    <n v="50"/>
    <n v="50"/>
    <n v="0.75"/>
    <n v="1"/>
  </r>
  <r>
    <n v="274"/>
    <n v="9"/>
    <n v="4"/>
    <n v="2023"/>
    <s v="Sunday"/>
    <s v="April"/>
    <s v="2023"/>
    <d v="2023-04-09T00:00:00"/>
    <s v="CUST274"/>
    <x v="1"/>
    <x v="1"/>
    <n v="23"/>
    <x v="0"/>
    <n v="2"/>
    <n v="500"/>
    <n v="1000"/>
    <n v="15"/>
    <n v="20"/>
  </r>
  <r>
    <n v="275"/>
    <n v="8"/>
    <n v="4"/>
    <n v="2023"/>
    <s v="Saturday"/>
    <s v="April"/>
    <s v="2023"/>
    <d v="2023-04-08T00:00:00"/>
    <s v="CUST275"/>
    <x v="0"/>
    <x v="0"/>
    <n v="43"/>
    <x v="0"/>
    <n v="2"/>
    <n v="500"/>
    <n v="1000"/>
    <n v="15"/>
    <n v="20"/>
  </r>
  <r>
    <n v="276"/>
    <n v="2"/>
    <n v="10"/>
    <n v="2023"/>
    <s v="Monday"/>
    <s v="October"/>
    <s v="2023"/>
    <d v="2023-10-02T00:00:00"/>
    <s v="CUST276"/>
    <x v="1"/>
    <x v="1"/>
    <n v="21"/>
    <x v="0"/>
    <n v="4"/>
    <n v="25"/>
    <n v="100"/>
    <n v="1.5"/>
    <n v="2"/>
  </r>
  <r>
    <n v="277"/>
    <n v="18"/>
    <n v="8"/>
    <n v="2023"/>
    <s v="Friday"/>
    <s v="August"/>
    <s v="2023"/>
    <d v="2023-08-18T00:00:00"/>
    <s v="CUST277"/>
    <x v="0"/>
    <x v="0"/>
    <n v="36"/>
    <x v="0"/>
    <n v="4"/>
    <n v="25"/>
    <n v="100"/>
    <n v="1.5"/>
    <n v="2"/>
  </r>
  <r>
    <n v="278"/>
    <n v="13"/>
    <n v="3"/>
    <n v="2023"/>
    <s v="Monday"/>
    <s v="March"/>
    <s v="2023"/>
    <d v="2023-03-13T00:00:00"/>
    <s v="CUST278"/>
    <x v="1"/>
    <x v="0"/>
    <n v="37"/>
    <x v="0"/>
    <n v="4"/>
    <n v="25"/>
    <n v="100"/>
    <n v="1.5"/>
    <n v="2"/>
  </r>
  <r>
    <n v="279"/>
    <n v="5"/>
    <n v="8"/>
    <n v="2023"/>
    <s v="Saturday"/>
    <s v="August"/>
    <s v="2023"/>
    <d v="2023-08-05T00:00:00"/>
    <s v="CUST279"/>
    <x v="0"/>
    <x v="0"/>
    <n v="50"/>
    <x v="0"/>
    <n v="1"/>
    <n v="500"/>
    <n v="500"/>
    <n v="7.5"/>
    <n v="10"/>
  </r>
  <r>
    <n v="280"/>
    <n v="4"/>
    <n v="4"/>
    <n v="2023"/>
    <s v="Tuesday"/>
    <s v="April"/>
    <s v="2023"/>
    <d v="2023-04-04T00:00:00"/>
    <s v="CUST280"/>
    <x v="1"/>
    <x v="0"/>
    <n v="37"/>
    <x v="0"/>
    <n v="3"/>
    <n v="500"/>
    <n v="1500"/>
    <n v="22.5"/>
    <n v="30"/>
  </r>
  <r>
    <n v="281"/>
    <n v="23"/>
    <n v="5"/>
    <n v="2023"/>
    <s v="Tuesday"/>
    <s v="May"/>
    <s v="2023"/>
    <d v="2023-05-23T00:00:00"/>
    <s v="CUST281"/>
    <x v="1"/>
    <x v="1"/>
    <n v="29"/>
    <x v="0"/>
    <n v="4"/>
    <n v="500"/>
    <n v="2000"/>
    <n v="30"/>
    <n v="40"/>
  </r>
  <r>
    <n v="282"/>
    <n v="25"/>
    <n v="8"/>
    <n v="2023"/>
    <s v="Friday"/>
    <s v="August"/>
    <s v="2023"/>
    <d v="2023-08-25T00:00:00"/>
    <s v="CUST282"/>
    <x v="1"/>
    <x v="2"/>
    <n v="64"/>
    <x v="0"/>
    <n v="4"/>
    <n v="50"/>
    <n v="200"/>
    <n v="3"/>
    <n v="4"/>
  </r>
  <r>
    <n v="283"/>
    <n v="8"/>
    <n v="5"/>
    <n v="2023"/>
    <s v="Monday"/>
    <s v="May"/>
    <s v="2023"/>
    <d v="2023-05-08T00:00:00"/>
    <s v="CUST283"/>
    <x v="1"/>
    <x v="1"/>
    <n v="18"/>
    <x v="0"/>
    <n v="1"/>
    <n v="500"/>
    <n v="500"/>
    <n v="7.5"/>
    <n v="10"/>
  </r>
  <r>
    <n v="284"/>
    <n v="8"/>
    <n v="2"/>
    <n v="2023"/>
    <s v="Wednesday"/>
    <s v="February"/>
    <s v="2023"/>
    <d v="2023-02-08T00:00:00"/>
    <s v="CUST284"/>
    <x v="0"/>
    <x v="0"/>
    <n v="43"/>
    <x v="0"/>
    <n v="4"/>
    <n v="50"/>
    <n v="200"/>
    <n v="3"/>
    <n v="4"/>
  </r>
  <r>
    <n v="285"/>
    <n v="15"/>
    <n v="8"/>
    <n v="2023"/>
    <s v="Tuesday"/>
    <s v="August"/>
    <s v="2023"/>
    <d v="2023-08-15T00:00:00"/>
    <s v="CUST285"/>
    <x v="1"/>
    <x v="0"/>
    <n v="31"/>
    <x v="0"/>
    <n v="1"/>
    <n v="25"/>
    <n v="25"/>
    <n v="0.375"/>
    <n v="0.5"/>
  </r>
  <r>
    <n v="286"/>
    <n v="9"/>
    <n v="10"/>
    <n v="2023"/>
    <s v="Monday"/>
    <s v="October"/>
    <s v="2023"/>
    <d v="2023-10-09T00:00:00"/>
    <s v="CUST286"/>
    <x v="0"/>
    <x v="2"/>
    <n v="55"/>
    <x v="0"/>
    <n v="2"/>
    <n v="25"/>
    <n v="50"/>
    <n v="0.75"/>
    <n v="1"/>
  </r>
  <r>
    <n v="287"/>
    <n v="20"/>
    <n v="2"/>
    <n v="2023"/>
    <s v="Monday"/>
    <s v="February"/>
    <s v="2023"/>
    <d v="2023-02-20T00:00:00"/>
    <s v="CUST287"/>
    <x v="0"/>
    <x v="2"/>
    <n v="54"/>
    <x v="0"/>
    <n v="4"/>
    <n v="25"/>
    <n v="100"/>
    <n v="1.5"/>
    <n v="2"/>
  </r>
  <r>
    <n v="288"/>
    <n v="26"/>
    <n v="1"/>
    <n v="2023"/>
    <s v="Thursday"/>
    <s v="January"/>
    <s v="2023"/>
    <d v="2023-01-26T00:00:00"/>
    <s v="CUST288"/>
    <x v="0"/>
    <x v="1"/>
    <n v="28"/>
    <x v="0"/>
    <n v="4"/>
    <n v="30"/>
    <n v="120"/>
    <n v="1.7999999999999998"/>
    <n v="2.4"/>
  </r>
  <r>
    <n v="289"/>
    <n v="30"/>
    <n v="11"/>
    <n v="2023"/>
    <s v="Thursday"/>
    <s v="November"/>
    <s v="2023"/>
    <d v="2023-11-30T00:00:00"/>
    <s v="CUST289"/>
    <x v="0"/>
    <x v="2"/>
    <n v="53"/>
    <x v="0"/>
    <n v="2"/>
    <n v="30"/>
    <n v="60"/>
    <n v="0.89999999999999991"/>
    <n v="1.2"/>
  </r>
  <r>
    <n v="290"/>
    <n v="4"/>
    <n v="10"/>
    <n v="2023"/>
    <s v="Wednesday"/>
    <s v="October"/>
    <s v="2023"/>
    <d v="2023-10-04T00:00:00"/>
    <s v="CUST290"/>
    <x v="1"/>
    <x v="0"/>
    <n v="30"/>
    <x v="0"/>
    <n v="2"/>
    <n v="300"/>
    <n v="600"/>
    <n v="9"/>
    <n v="12"/>
  </r>
  <r>
    <n v="291"/>
    <n v="8"/>
    <n v="1"/>
    <n v="2023"/>
    <s v="Sunday"/>
    <s v="January"/>
    <s v="2023"/>
    <d v="2023-01-08T00:00:00"/>
    <s v="CUST291"/>
    <x v="0"/>
    <x v="2"/>
    <n v="60"/>
    <x v="0"/>
    <n v="2"/>
    <n v="300"/>
    <n v="600"/>
    <n v="9"/>
    <n v="12"/>
  </r>
  <r>
    <n v="292"/>
    <n v="17"/>
    <n v="2"/>
    <n v="2023"/>
    <s v="Friday"/>
    <s v="February"/>
    <s v="2023"/>
    <d v="2023-02-17T00:00:00"/>
    <s v="CUST292"/>
    <x v="0"/>
    <x v="1"/>
    <n v="20"/>
    <x v="0"/>
    <n v="4"/>
    <n v="300"/>
    <n v="1200"/>
    <n v="18"/>
    <n v="24"/>
  </r>
  <r>
    <n v="293"/>
    <n v="2"/>
    <n v="5"/>
    <n v="2023"/>
    <s v="Tuesday"/>
    <s v="May"/>
    <s v="2023"/>
    <d v="2023-05-02T00:00:00"/>
    <s v="CUST293"/>
    <x v="0"/>
    <x v="0"/>
    <n v="50"/>
    <x v="0"/>
    <n v="3"/>
    <n v="30"/>
    <n v="90"/>
    <n v="1.3499999999999999"/>
    <n v="1.8"/>
  </r>
  <r>
    <n v="294"/>
    <n v="27"/>
    <n v="3"/>
    <n v="2023"/>
    <s v="Monday"/>
    <s v="March"/>
    <s v="2023"/>
    <d v="2023-03-27T00:00:00"/>
    <s v="CUST294"/>
    <x v="1"/>
    <x v="1"/>
    <n v="23"/>
    <x v="0"/>
    <n v="3"/>
    <n v="30"/>
    <n v="90"/>
    <n v="1.3499999999999999"/>
    <n v="1.8"/>
  </r>
  <r>
    <n v="295"/>
    <n v="28"/>
    <n v="7"/>
    <n v="2023"/>
    <s v="Friday"/>
    <s v="July"/>
    <s v="2023"/>
    <d v="2023-07-28T00:00:00"/>
    <s v="CUST295"/>
    <x v="1"/>
    <x v="1"/>
    <n v="27"/>
    <x v="0"/>
    <n v="3"/>
    <n v="300"/>
    <n v="900"/>
    <n v="13.5"/>
    <n v="18"/>
  </r>
  <r>
    <n v="296"/>
    <n v="6"/>
    <n v="9"/>
    <n v="2023"/>
    <s v="Wednesday"/>
    <s v="September"/>
    <s v="2023"/>
    <d v="2023-09-06T00:00:00"/>
    <s v="CUST296"/>
    <x v="1"/>
    <x v="1"/>
    <n v="22"/>
    <x v="0"/>
    <n v="4"/>
    <n v="300"/>
    <n v="1200"/>
    <n v="18"/>
    <n v="24"/>
  </r>
  <r>
    <n v="297"/>
    <n v="4"/>
    <n v="9"/>
    <n v="2023"/>
    <s v="Monday"/>
    <s v="September"/>
    <s v="2023"/>
    <d v="2023-09-04T00:00:00"/>
    <s v="CUST297"/>
    <x v="1"/>
    <x v="0"/>
    <n v="40"/>
    <x v="0"/>
    <n v="2"/>
    <n v="500"/>
    <n v="1000"/>
    <n v="15"/>
    <n v="20"/>
  </r>
  <r>
    <n v="298"/>
    <n v="20"/>
    <n v="4"/>
    <n v="2023"/>
    <s v="Thursday"/>
    <s v="April"/>
    <s v="2023"/>
    <d v="2023-04-20T00:00:00"/>
    <s v="CUST298"/>
    <x v="0"/>
    <x v="1"/>
    <n v="27"/>
    <x v="0"/>
    <n v="4"/>
    <n v="300"/>
    <n v="1200"/>
    <n v="18"/>
    <n v="24"/>
  </r>
  <r>
    <n v="299"/>
    <n v="25"/>
    <n v="7"/>
    <n v="2023"/>
    <s v="Tuesday"/>
    <s v="July"/>
    <s v="2023"/>
    <d v="2023-07-25T00:00:00"/>
    <s v="CUST299"/>
    <x v="0"/>
    <x v="2"/>
    <n v="61"/>
    <x v="0"/>
    <n v="2"/>
    <n v="500"/>
    <n v="1000"/>
    <n v="15"/>
    <n v="20"/>
  </r>
  <r>
    <n v="300"/>
    <n v="31"/>
    <n v="1"/>
    <n v="2023"/>
    <s v="Tuesday"/>
    <s v="January"/>
    <s v="2023"/>
    <d v="2023-01-31T00:00:00"/>
    <s v="CUST300"/>
    <x v="1"/>
    <x v="1"/>
    <n v="19"/>
    <x v="0"/>
    <n v="4"/>
    <n v="50"/>
    <n v="200"/>
    <n v="3"/>
    <n v="4"/>
  </r>
  <r>
    <n v="301"/>
    <n v="26"/>
    <n v="3"/>
    <n v="2023"/>
    <s v="Sunday"/>
    <s v="March"/>
    <s v="2023"/>
    <d v="2023-03-26T00:00:00"/>
    <s v="CUST301"/>
    <x v="0"/>
    <x v="0"/>
    <n v="30"/>
    <x v="0"/>
    <n v="4"/>
    <n v="30"/>
    <n v="120"/>
    <n v="1.7999999999999998"/>
    <n v="2.4"/>
  </r>
  <r>
    <n v="302"/>
    <n v="14"/>
    <n v="7"/>
    <n v="2023"/>
    <s v="Friday"/>
    <s v="July"/>
    <s v="2023"/>
    <d v="2023-07-14T00:00:00"/>
    <s v="CUST302"/>
    <x v="0"/>
    <x v="2"/>
    <n v="57"/>
    <x v="0"/>
    <n v="2"/>
    <n v="300"/>
    <n v="600"/>
    <n v="9"/>
    <n v="12"/>
  </r>
  <r>
    <n v="303"/>
    <n v="2"/>
    <n v="1"/>
    <n v="2023"/>
    <s v="Monday"/>
    <s v="January"/>
    <s v="2023"/>
    <d v="2023-01-02T00:00:00"/>
    <s v="CUST303"/>
    <x v="0"/>
    <x v="1"/>
    <n v="19"/>
    <x v="0"/>
    <n v="3"/>
    <n v="30"/>
    <n v="90"/>
    <n v="1.3499999999999999"/>
    <n v="1.8"/>
  </r>
  <r>
    <n v="304"/>
    <n v="19"/>
    <n v="7"/>
    <n v="2023"/>
    <s v="Wednesday"/>
    <s v="July"/>
    <s v="2023"/>
    <d v="2023-07-19T00:00:00"/>
    <s v="CUST304"/>
    <x v="1"/>
    <x v="0"/>
    <n v="37"/>
    <x v="0"/>
    <n v="2"/>
    <n v="30"/>
    <n v="60"/>
    <n v="0.89999999999999991"/>
    <n v="1.2"/>
  </r>
  <r>
    <n v="305"/>
    <n v="16"/>
    <n v="5"/>
    <n v="2023"/>
    <s v="Tuesday"/>
    <s v="May"/>
    <s v="2023"/>
    <d v="2023-05-16T00:00:00"/>
    <s v="CUST305"/>
    <x v="1"/>
    <x v="1"/>
    <n v="18"/>
    <x v="0"/>
    <n v="1"/>
    <n v="30"/>
    <n v="30"/>
    <n v="0.44999999999999996"/>
    <n v="0.6"/>
  </r>
  <r>
    <n v="306"/>
    <n v="21"/>
    <n v="8"/>
    <n v="2023"/>
    <s v="Monday"/>
    <s v="August"/>
    <s v="2023"/>
    <d v="2023-08-21T00:00:00"/>
    <s v="CUST306"/>
    <x v="0"/>
    <x v="2"/>
    <n v="54"/>
    <x v="0"/>
    <n v="1"/>
    <n v="50"/>
    <n v="50"/>
    <n v="0.75"/>
    <n v="1"/>
  </r>
  <r>
    <n v="307"/>
    <n v="27"/>
    <n v="5"/>
    <n v="2023"/>
    <s v="Saturday"/>
    <s v="May"/>
    <s v="2023"/>
    <d v="2023-05-27T00:00:00"/>
    <s v="CUST307"/>
    <x v="1"/>
    <x v="1"/>
    <n v="26"/>
    <x v="0"/>
    <n v="2"/>
    <n v="25"/>
    <n v="50"/>
    <n v="0.75"/>
    <n v="1"/>
  </r>
  <r>
    <n v="308"/>
    <n v="5"/>
    <n v="8"/>
    <n v="2023"/>
    <s v="Saturday"/>
    <s v="August"/>
    <s v="2023"/>
    <d v="2023-08-05T00:00:00"/>
    <s v="CUST308"/>
    <x v="1"/>
    <x v="0"/>
    <n v="34"/>
    <x v="0"/>
    <n v="4"/>
    <n v="300"/>
    <n v="1200"/>
    <n v="18"/>
    <n v="24"/>
  </r>
  <r>
    <n v="309"/>
    <n v="23"/>
    <n v="12"/>
    <n v="2023"/>
    <s v="Saturday"/>
    <s v="December"/>
    <s v="2023"/>
    <d v="2023-12-23T00:00:00"/>
    <s v="CUST309"/>
    <x v="1"/>
    <x v="1"/>
    <n v="26"/>
    <x v="0"/>
    <n v="1"/>
    <n v="25"/>
    <n v="25"/>
    <n v="0.375"/>
    <n v="0.5"/>
  </r>
  <r>
    <n v="310"/>
    <n v="12"/>
    <n v="10"/>
    <n v="2023"/>
    <s v="Thursday"/>
    <s v="October"/>
    <s v="2023"/>
    <d v="2023-10-12T00:00:00"/>
    <s v="CUST310"/>
    <x v="1"/>
    <x v="1"/>
    <n v="28"/>
    <x v="0"/>
    <n v="1"/>
    <n v="25"/>
    <n v="25"/>
    <n v="0.375"/>
    <n v="0.5"/>
  </r>
  <r>
    <n v="311"/>
    <n v="5"/>
    <n v="12"/>
    <n v="2023"/>
    <s v="Tuesday"/>
    <s v="December"/>
    <s v="2023"/>
    <d v="2023-12-05T00:00:00"/>
    <s v="CUST311"/>
    <x v="1"/>
    <x v="0"/>
    <n v="32"/>
    <x v="0"/>
    <n v="4"/>
    <n v="25"/>
    <n v="100"/>
    <n v="1.5"/>
    <n v="2"/>
  </r>
  <r>
    <n v="312"/>
    <n v="7"/>
    <n v="9"/>
    <n v="2023"/>
    <s v="Thursday"/>
    <s v="September"/>
    <s v="2023"/>
    <d v="2023-09-07T00:00:00"/>
    <s v="CUST312"/>
    <x v="0"/>
    <x v="0"/>
    <n v="41"/>
    <x v="0"/>
    <n v="4"/>
    <n v="30"/>
    <n v="120"/>
    <n v="1.7999999999999998"/>
    <n v="2.4"/>
  </r>
  <r>
    <n v="313"/>
    <n v="21"/>
    <n v="3"/>
    <n v="2023"/>
    <s v="Tuesday"/>
    <s v="March"/>
    <s v="2023"/>
    <d v="2023-03-21T00:00:00"/>
    <s v="CUST313"/>
    <x v="1"/>
    <x v="2"/>
    <n v="55"/>
    <x v="0"/>
    <n v="3"/>
    <n v="500"/>
    <n v="1500"/>
    <n v="22.5"/>
    <n v="30"/>
  </r>
  <r>
    <n v="314"/>
    <n v="8"/>
    <n v="4"/>
    <n v="2023"/>
    <s v="Saturday"/>
    <s v="April"/>
    <s v="2023"/>
    <d v="2023-04-08T00:00:00"/>
    <s v="CUST314"/>
    <x v="0"/>
    <x v="2"/>
    <n v="52"/>
    <x v="0"/>
    <n v="4"/>
    <n v="30"/>
    <n v="120"/>
    <n v="1.7999999999999998"/>
    <n v="2.4"/>
  </r>
  <r>
    <n v="315"/>
    <n v="1"/>
    <n v="6"/>
    <n v="2023"/>
    <s v="Thursday"/>
    <s v="June"/>
    <s v="2023"/>
    <d v="2023-06-01T00:00:00"/>
    <s v="CUST315"/>
    <x v="0"/>
    <x v="0"/>
    <n v="47"/>
    <x v="0"/>
    <n v="2"/>
    <n v="30"/>
    <n v="60"/>
    <n v="0.89999999999999991"/>
    <n v="1.2"/>
  </r>
  <r>
    <n v="316"/>
    <n v="22"/>
    <n v="4"/>
    <n v="2023"/>
    <s v="Saturday"/>
    <s v="April"/>
    <s v="2023"/>
    <d v="2023-04-22T00:00:00"/>
    <s v="CUST316"/>
    <x v="1"/>
    <x v="0"/>
    <n v="48"/>
    <x v="0"/>
    <n v="2"/>
    <n v="25"/>
    <n v="50"/>
    <n v="0.75"/>
    <n v="1"/>
  </r>
  <r>
    <n v="317"/>
    <n v="30"/>
    <n v="1"/>
    <n v="2023"/>
    <s v="Monday"/>
    <s v="January"/>
    <s v="2023"/>
    <d v="2023-01-30T00:00:00"/>
    <s v="CUST317"/>
    <x v="0"/>
    <x v="1"/>
    <n v="22"/>
    <x v="0"/>
    <n v="3"/>
    <n v="30"/>
    <n v="90"/>
    <n v="1.3499999999999999"/>
    <n v="1.8"/>
  </r>
  <r>
    <n v="318"/>
    <n v="24"/>
    <n v="10"/>
    <n v="2023"/>
    <s v="Tuesday"/>
    <s v="October"/>
    <s v="2023"/>
    <d v="2023-10-24T00:00:00"/>
    <s v="CUST318"/>
    <x v="0"/>
    <x v="2"/>
    <n v="61"/>
    <x v="0"/>
    <n v="1"/>
    <n v="25"/>
    <n v="25"/>
    <n v="0.375"/>
    <n v="0.5"/>
  </r>
  <r>
    <n v="319"/>
    <n v="5"/>
    <n v="10"/>
    <n v="2023"/>
    <s v="Thursday"/>
    <s v="October"/>
    <s v="2023"/>
    <d v="2023-10-05T00:00:00"/>
    <s v="CUST319"/>
    <x v="0"/>
    <x v="0"/>
    <n v="31"/>
    <x v="0"/>
    <n v="1"/>
    <n v="500"/>
    <n v="500"/>
    <n v="7.5"/>
    <n v="10"/>
  </r>
  <r>
    <n v="320"/>
    <n v="1"/>
    <n v="2"/>
    <n v="2023"/>
    <s v="Wednesday"/>
    <s v="February"/>
    <s v="2023"/>
    <d v="2023-02-01T00:00:00"/>
    <s v="CUST320"/>
    <x v="1"/>
    <x v="1"/>
    <n v="28"/>
    <x v="0"/>
    <n v="4"/>
    <n v="300"/>
    <n v="1200"/>
    <n v="18"/>
    <n v="24"/>
  </r>
  <r>
    <n v="321"/>
    <n v="10"/>
    <n v="6"/>
    <n v="2023"/>
    <s v="Saturday"/>
    <s v="June"/>
    <s v="2023"/>
    <d v="2023-06-10T00:00:00"/>
    <s v="CUST321"/>
    <x v="1"/>
    <x v="1"/>
    <n v="26"/>
    <x v="0"/>
    <n v="2"/>
    <n v="25"/>
    <n v="50"/>
    <n v="0.75"/>
    <n v="1"/>
  </r>
  <r>
    <n v="322"/>
    <n v="30"/>
    <n v="1"/>
    <n v="2023"/>
    <s v="Monday"/>
    <s v="January"/>
    <s v="2023"/>
    <d v="2023-01-30T00:00:00"/>
    <s v="CUST322"/>
    <x v="0"/>
    <x v="2"/>
    <n v="51"/>
    <x v="0"/>
    <n v="1"/>
    <n v="500"/>
    <n v="500"/>
    <n v="7.5"/>
    <n v="10"/>
  </r>
  <r>
    <n v="323"/>
    <n v="26"/>
    <n v="1"/>
    <n v="2023"/>
    <s v="Thursday"/>
    <s v="January"/>
    <s v="2023"/>
    <d v="2023-01-26T00:00:00"/>
    <s v="CUST323"/>
    <x v="1"/>
    <x v="1"/>
    <n v="29"/>
    <x v="0"/>
    <n v="3"/>
    <n v="300"/>
    <n v="900"/>
    <n v="13.5"/>
    <n v="18"/>
  </r>
  <r>
    <n v="324"/>
    <n v="27"/>
    <n v="10"/>
    <n v="2023"/>
    <s v="Friday"/>
    <s v="October"/>
    <s v="2023"/>
    <d v="2023-10-27T00:00:00"/>
    <s v="CUST324"/>
    <x v="1"/>
    <x v="2"/>
    <n v="52"/>
    <x v="0"/>
    <n v="3"/>
    <n v="50"/>
    <n v="150"/>
    <n v="2.25"/>
    <n v="3"/>
  </r>
  <r>
    <n v="325"/>
    <n v="2"/>
    <n v="9"/>
    <n v="2023"/>
    <s v="Saturday"/>
    <s v="September"/>
    <s v="2023"/>
    <d v="2023-09-02T00:00:00"/>
    <s v="CUST325"/>
    <x v="1"/>
    <x v="2"/>
    <n v="52"/>
    <x v="0"/>
    <n v="2"/>
    <n v="25"/>
    <n v="50"/>
    <n v="0.75"/>
    <n v="1"/>
  </r>
  <r>
    <n v="326"/>
    <n v="15"/>
    <n v="9"/>
    <n v="2023"/>
    <s v="Friday"/>
    <s v="September"/>
    <s v="2023"/>
    <d v="2023-09-15T00:00:00"/>
    <s v="CUST326"/>
    <x v="1"/>
    <x v="1"/>
    <n v="18"/>
    <x v="0"/>
    <n v="3"/>
    <n v="25"/>
    <n v="75"/>
    <n v="1.125"/>
    <n v="1.5"/>
  </r>
  <r>
    <n v="327"/>
    <n v="29"/>
    <n v="9"/>
    <n v="2023"/>
    <s v="Friday"/>
    <s v="September"/>
    <s v="2023"/>
    <d v="2023-09-29T00:00:00"/>
    <s v="CUST327"/>
    <x v="0"/>
    <x v="2"/>
    <n v="57"/>
    <x v="0"/>
    <n v="3"/>
    <n v="50"/>
    <n v="150"/>
    <n v="2.25"/>
    <n v="3"/>
  </r>
  <r>
    <n v="328"/>
    <n v="22"/>
    <n v="3"/>
    <n v="2023"/>
    <s v="Wednesday"/>
    <s v="March"/>
    <s v="2023"/>
    <d v="2023-03-22T00:00:00"/>
    <s v="CUST328"/>
    <x v="0"/>
    <x v="0"/>
    <n v="39"/>
    <x v="0"/>
    <n v="2"/>
    <n v="50"/>
    <n v="100"/>
    <n v="1.5"/>
    <n v="2"/>
  </r>
  <r>
    <n v="329"/>
    <n v="30"/>
    <n v="1"/>
    <n v="2023"/>
    <s v="Monday"/>
    <s v="January"/>
    <s v="2023"/>
    <d v="2023-01-30T00:00:00"/>
    <s v="CUST329"/>
    <x v="1"/>
    <x v="0"/>
    <n v="46"/>
    <x v="0"/>
    <n v="4"/>
    <n v="25"/>
    <n v="100"/>
    <n v="1.5"/>
    <n v="2"/>
  </r>
  <r>
    <n v="330"/>
    <n v="18"/>
    <n v="9"/>
    <n v="2023"/>
    <s v="Monday"/>
    <s v="September"/>
    <s v="2023"/>
    <d v="2023-09-18T00:00:00"/>
    <s v="CUST330"/>
    <x v="1"/>
    <x v="1"/>
    <n v="25"/>
    <x v="0"/>
    <n v="4"/>
    <n v="50"/>
    <n v="200"/>
    <n v="3"/>
    <n v="4"/>
  </r>
  <r>
    <n v="331"/>
    <n v="11"/>
    <n v="2"/>
    <n v="2023"/>
    <s v="Saturday"/>
    <s v="February"/>
    <s v="2023"/>
    <d v="2023-02-11T00:00:00"/>
    <s v="CUST331"/>
    <x v="0"/>
    <x v="1"/>
    <n v="28"/>
    <x v="0"/>
    <n v="3"/>
    <n v="30"/>
    <n v="90"/>
    <n v="1.3499999999999999"/>
    <n v="1.8"/>
  </r>
  <r>
    <n v="332"/>
    <n v="6"/>
    <n v="4"/>
    <n v="2023"/>
    <s v="Thursday"/>
    <s v="April"/>
    <s v="2023"/>
    <d v="2023-04-06T00:00:00"/>
    <s v="CUST332"/>
    <x v="0"/>
    <x v="2"/>
    <n v="58"/>
    <x v="0"/>
    <n v="4"/>
    <n v="300"/>
    <n v="1200"/>
    <n v="18"/>
    <n v="24"/>
  </r>
  <r>
    <n v="333"/>
    <n v="5"/>
    <n v="2"/>
    <n v="2023"/>
    <s v="Sunday"/>
    <s v="February"/>
    <s v="2023"/>
    <d v="2023-02-05T00:00:00"/>
    <s v="CUST333"/>
    <x v="1"/>
    <x v="2"/>
    <n v="54"/>
    <x v="0"/>
    <n v="4"/>
    <n v="300"/>
    <n v="1200"/>
    <n v="18"/>
    <n v="24"/>
  </r>
  <r>
    <n v="334"/>
    <n v="1"/>
    <n v="11"/>
    <n v="2023"/>
    <s v="Wednesday"/>
    <s v="November"/>
    <s v="2023"/>
    <d v="2023-11-01T00:00:00"/>
    <s v="CUST334"/>
    <x v="0"/>
    <x v="0"/>
    <n v="31"/>
    <x v="0"/>
    <n v="3"/>
    <n v="300"/>
    <n v="900"/>
    <n v="13.5"/>
    <n v="18"/>
  </r>
  <r>
    <n v="335"/>
    <n v="4"/>
    <n v="2"/>
    <n v="2023"/>
    <s v="Saturday"/>
    <s v="February"/>
    <s v="2023"/>
    <d v="2023-02-04T00:00:00"/>
    <s v="CUST335"/>
    <x v="1"/>
    <x v="0"/>
    <n v="47"/>
    <x v="0"/>
    <n v="4"/>
    <n v="30"/>
    <n v="120"/>
    <n v="1.7999999999999998"/>
    <n v="2.4"/>
  </r>
  <r>
    <n v="336"/>
    <n v="12"/>
    <n v="12"/>
    <n v="2023"/>
    <s v="Tuesday"/>
    <s v="December"/>
    <s v="2023"/>
    <d v="2023-12-12T00:00:00"/>
    <s v="CUST336"/>
    <x v="1"/>
    <x v="2"/>
    <n v="52"/>
    <x v="0"/>
    <n v="3"/>
    <n v="50"/>
    <n v="150"/>
    <n v="2.25"/>
    <n v="3"/>
  </r>
  <r>
    <n v="337"/>
    <n v="1"/>
    <n v="5"/>
    <n v="2023"/>
    <s v="Monday"/>
    <s v="May"/>
    <s v="2023"/>
    <d v="2023-05-01T00:00:00"/>
    <s v="CUST337"/>
    <x v="0"/>
    <x v="0"/>
    <n v="38"/>
    <x v="0"/>
    <n v="1"/>
    <n v="500"/>
    <n v="500"/>
    <n v="7.5"/>
    <n v="10"/>
  </r>
  <r>
    <n v="338"/>
    <n v="26"/>
    <n v="7"/>
    <n v="2023"/>
    <s v="Wednesday"/>
    <s v="July"/>
    <s v="2023"/>
    <d v="2023-07-26T00:00:00"/>
    <s v="CUST338"/>
    <x v="0"/>
    <x v="2"/>
    <n v="54"/>
    <x v="0"/>
    <n v="2"/>
    <n v="50"/>
    <n v="100"/>
    <n v="1.5"/>
    <n v="2"/>
  </r>
  <r>
    <n v="339"/>
    <n v="3"/>
    <n v="3"/>
    <n v="2023"/>
    <s v="Friday"/>
    <s v="March"/>
    <s v="2023"/>
    <d v="2023-03-03T00:00:00"/>
    <s v="CUST339"/>
    <x v="1"/>
    <x v="1"/>
    <n v="22"/>
    <x v="0"/>
    <n v="2"/>
    <n v="25"/>
    <n v="50"/>
    <n v="0.75"/>
    <n v="1"/>
  </r>
  <r>
    <n v="340"/>
    <n v="19"/>
    <n v="10"/>
    <n v="2023"/>
    <s v="Thursday"/>
    <s v="October"/>
    <s v="2023"/>
    <d v="2023-10-19T00:00:00"/>
    <s v="CUST340"/>
    <x v="1"/>
    <x v="0"/>
    <n v="36"/>
    <x v="0"/>
    <n v="4"/>
    <n v="300"/>
    <n v="1200"/>
    <n v="18"/>
    <n v="24"/>
  </r>
  <r>
    <n v="341"/>
    <n v="7"/>
    <n v="5"/>
    <n v="2023"/>
    <s v="Sunday"/>
    <s v="May"/>
    <s v="2023"/>
    <d v="2023-05-07T00:00:00"/>
    <s v="CUST341"/>
    <x v="0"/>
    <x v="0"/>
    <n v="31"/>
    <x v="0"/>
    <n v="4"/>
    <n v="50"/>
    <n v="200"/>
    <n v="3"/>
    <n v="4"/>
  </r>
  <r>
    <n v="342"/>
    <n v="24"/>
    <n v="10"/>
    <n v="2023"/>
    <s v="Tuesday"/>
    <s v="October"/>
    <s v="2023"/>
    <d v="2023-10-24T00:00:00"/>
    <s v="CUST342"/>
    <x v="1"/>
    <x v="0"/>
    <n v="43"/>
    <x v="0"/>
    <n v="4"/>
    <n v="500"/>
    <n v="2000"/>
    <n v="30"/>
    <n v="40"/>
  </r>
  <r>
    <n v="343"/>
    <n v="1"/>
    <n v="11"/>
    <n v="2023"/>
    <s v="Wednesday"/>
    <s v="November"/>
    <s v="2023"/>
    <d v="2023-11-01T00:00:00"/>
    <s v="CUST343"/>
    <x v="0"/>
    <x v="1"/>
    <n v="21"/>
    <x v="0"/>
    <n v="2"/>
    <n v="25"/>
    <n v="50"/>
    <n v="0.75"/>
    <n v="1"/>
  </r>
  <r>
    <n v="344"/>
    <n v="21"/>
    <n v="1"/>
    <n v="2023"/>
    <s v="Saturday"/>
    <s v="January"/>
    <s v="2023"/>
    <d v="2023-01-21T00:00:00"/>
    <s v="CUST344"/>
    <x v="1"/>
    <x v="0"/>
    <n v="42"/>
    <x v="0"/>
    <n v="1"/>
    <n v="30"/>
    <n v="30"/>
    <n v="0.44999999999999996"/>
    <n v="0.6"/>
  </r>
  <r>
    <n v="345"/>
    <n v="14"/>
    <n v="11"/>
    <n v="2023"/>
    <s v="Tuesday"/>
    <s v="November"/>
    <s v="2023"/>
    <d v="2023-11-14T00:00:00"/>
    <s v="CUST345"/>
    <x v="0"/>
    <x v="2"/>
    <n v="62"/>
    <x v="0"/>
    <n v="1"/>
    <n v="30"/>
    <n v="30"/>
    <n v="0.44999999999999996"/>
    <n v="0.6"/>
  </r>
  <r>
    <n v="346"/>
    <n v="11"/>
    <n v="2"/>
    <n v="2023"/>
    <s v="Saturday"/>
    <s v="February"/>
    <s v="2023"/>
    <d v="2023-02-11T00:00:00"/>
    <s v="CUST346"/>
    <x v="0"/>
    <x v="2"/>
    <n v="59"/>
    <x v="0"/>
    <n v="2"/>
    <n v="500"/>
    <n v="1000"/>
    <n v="15"/>
    <n v="20"/>
  </r>
  <r>
    <n v="347"/>
    <n v="3"/>
    <n v="8"/>
    <n v="2023"/>
    <s v="Thursday"/>
    <s v="August"/>
    <s v="2023"/>
    <d v="2023-08-03T00:00:00"/>
    <s v="CUST347"/>
    <x v="0"/>
    <x v="0"/>
    <n v="42"/>
    <x v="0"/>
    <n v="1"/>
    <n v="25"/>
    <n v="25"/>
    <n v="0.375"/>
    <n v="0.5"/>
  </r>
  <r>
    <n v="348"/>
    <n v="3"/>
    <n v="12"/>
    <n v="2023"/>
    <s v="Sunday"/>
    <s v="December"/>
    <s v="2023"/>
    <d v="2023-12-03T00:00:00"/>
    <s v="CUST348"/>
    <x v="1"/>
    <x v="0"/>
    <n v="35"/>
    <x v="0"/>
    <n v="2"/>
    <n v="300"/>
    <n v="600"/>
    <n v="9"/>
    <n v="12"/>
  </r>
  <r>
    <n v="349"/>
    <n v="26"/>
    <n v="10"/>
    <n v="2023"/>
    <s v="Thursday"/>
    <s v="October"/>
    <s v="2023"/>
    <d v="2023-10-26T00:00:00"/>
    <s v="CUST349"/>
    <x v="1"/>
    <x v="2"/>
    <n v="57"/>
    <x v="0"/>
    <n v="1"/>
    <n v="50"/>
    <n v="50"/>
    <n v="0.75"/>
    <n v="1"/>
  </r>
  <r>
    <n v="350"/>
    <n v="17"/>
    <n v="10"/>
    <n v="2023"/>
    <s v="Tuesday"/>
    <s v="October"/>
    <s v="2023"/>
    <d v="2023-10-17T00:00:00"/>
    <s v="CUST350"/>
    <x v="0"/>
    <x v="1"/>
    <n v="25"/>
    <x v="0"/>
    <n v="3"/>
    <n v="25"/>
    <n v="75"/>
    <n v="1.125"/>
    <n v="1.5"/>
  </r>
  <r>
    <n v="351"/>
    <n v="25"/>
    <n v="9"/>
    <n v="2023"/>
    <s v="Monday"/>
    <s v="September"/>
    <s v="2023"/>
    <d v="2023-09-25T00:00:00"/>
    <s v="CUST351"/>
    <x v="1"/>
    <x v="2"/>
    <n v="56"/>
    <x v="0"/>
    <n v="3"/>
    <n v="30"/>
    <n v="90"/>
    <n v="1.3499999999999999"/>
    <n v="1.8"/>
  </r>
  <r>
    <n v="352"/>
    <n v="11"/>
    <n v="6"/>
    <n v="2023"/>
    <s v="Sunday"/>
    <s v="June"/>
    <s v="2023"/>
    <d v="2023-06-11T00:00:00"/>
    <s v="CUST352"/>
    <x v="0"/>
    <x v="2"/>
    <n v="57"/>
    <x v="0"/>
    <n v="2"/>
    <n v="500"/>
    <n v="1000"/>
    <n v="15"/>
    <n v="20"/>
  </r>
  <r>
    <n v="353"/>
    <n v="14"/>
    <n v="5"/>
    <n v="2023"/>
    <s v="Sunday"/>
    <s v="May"/>
    <s v="2023"/>
    <d v="2023-05-14T00:00:00"/>
    <s v="CUST353"/>
    <x v="0"/>
    <x v="0"/>
    <n v="31"/>
    <x v="0"/>
    <n v="1"/>
    <n v="500"/>
    <n v="500"/>
    <n v="7.5"/>
    <n v="10"/>
  </r>
  <r>
    <n v="354"/>
    <n v="15"/>
    <n v="4"/>
    <n v="2023"/>
    <s v="Saturday"/>
    <s v="April"/>
    <s v="2023"/>
    <d v="2023-04-15T00:00:00"/>
    <s v="CUST354"/>
    <x v="1"/>
    <x v="0"/>
    <n v="49"/>
    <x v="0"/>
    <n v="4"/>
    <n v="50"/>
    <n v="200"/>
    <n v="3"/>
    <n v="4"/>
  </r>
  <r>
    <n v="355"/>
    <n v="9"/>
    <n v="12"/>
    <n v="2023"/>
    <s v="Saturday"/>
    <s v="December"/>
    <s v="2023"/>
    <d v="2023-12-09T00:00:00"/>
    <s v="CUST355"/>
    <x v="1"/>
    <x v="2"/>
    <n v="55"/>
    <x v="0"/>
    <n v="1"/>
    <n v="500"/>
    <n v="500"/>
    <n v="7.5"/>
    <n v="10"/>
  </r>
  <r>
    <n v="356"/>
    <n v="10"/>
    <n v="6"/>
    <n v="2023"/>
    <s v="Saturday"/>
    <s v="June"/>
    <s v="2023"/>
    <d v="2023-06-10T00:00:00"/>
    <s v="CUST356"/>
    <x v="0"/>
    <x v="0"/>
    <n v="50"/>
    <x v="0"/>
    <n v="3"/>
    <n v="500"/>
    <n v="1500"/>
    <n v="22.5"/>
    <n v="30"/>
  </r>
  <r>
    <n v="357"/>
    <n v="3"/>
    <n v="5"/>
    <n v="2023"/>
    <s v="Wednesday"/>
    <s v="May"/>
    <s v="2023"/>
    <d v="2023-05-03T00:00:00"/>
    <s v="CUST357"/>
    <x v="1"/>
    <x v="0"/>
    <n v="40"/>
    <x v="0"/>
    <n v="3"/>
    <n v="25"/>
    <n v="75"/>
    <n v="1.125"/>
    <n v="1.5"/>
  </r>
  <r>
    <n v="358"/>
    <n v="16"/>
    <n v="5"/>
    <n v="2023"/>
    <s v="Tuesday"/>
    <s v="May"/>
    <s v="2023"/>
    <d v="2023-05-16T00:00:00"/>
    <s v="CUST358"/>
    <x v="1"/>
    <x v="0"/>
    <n v="32"/>
    <x v="0"/>
    <n v="1"/>
    <n v="300"/>
    <n v="300"/>
    <n v="4.5"/>
    <n v="6"/>
  </r>
  <r>
    <n v="359"/>
    <n v="22"/>
    <n v="7"/>
    <n v="2023"/>
    <s v="Saturday"/>
    <s v="July"/>
    <s v="2023"/>
    <d v="2023-07-22T00:00:00"/>
    <s v="CUST359"/>
    <x v="0"/>
    <x v="0"/>
    <n v="50"/>
    <x v="0"/>
    <n v="1"/>
    <n v="50"/>
    <n v="50"/>
    <n v="0.75"/>
    <n v="1"/>
  </r>
  <r>
    <n v="360"/>
    <n v="9"/>
    <n v="3"/>
    <n v="2023"/>
    <s v="Thursday"/>
    <s v="March"/>
    <s v="2023"/>
    <d v="2023-03-09T00:00:00"/>
    <s v="CUST360"/>
    <x v="0"/>
    <x v="0"/>
    <n v="42"/>
    <x v="0"/>
    <n v="4"/>
    <n v="25"/>
    <n v="100"/>
    <n v="1.5"/>
    <n v="2"/>
  </r>
  <r>
    <n v="361"/>
    <n v="10"/>
    <n v="12"/>
    <n v="2023"/>
    <s v="Sunday"/>
    <s v="December"/>
    <s v="2023"/>
    <d v="2023-12-10T00:00:00"/>
    <s v="CUST361"/>
    <x v="1"/>
    <x v="0"/>
    <n v="34"/>
    <x v="0"/>
    <n v="4"/>
    <n v="300"/>
    <n v="1200"/>
    <n v="18"/>
    <n v="24"/>
  </r>
  <r>
    <n v="362"/>
    <n v="27"/>
    <n v="11"/>
    <n v="2023"/>
    <s v="Monday"/>
    <s v="November"/>
    <s v="2023"/>
    <d v="2023-11-27T00:00:00"/>
    <s v="CUST362"/>
    <x v="0"/>
    <x v="0"/>
    <n v="50"/>
    <x v="0"/>
    <n v="1"/>
    <n v="25"/>
    <n v="25"/>
    <n v="0.375"/>
    <n v="0.5"/>
  </r>
  <r>
    <n v="363"/>
    <n v="3"/>
    <n v="6"/>
    <n v="2023"/>
    <s v="Saturday"/>
    <s v="June"/>
    <s v="2023"/>
    <d v="2023-06-03T00:00:00"/>
    <s v="CUST363"/>
    <x v="0"/>
    <x v="2"/>
    <n v="64"/>
    <x v="0"/>
    <n v="1"/>
    <n v="25"/>
    <n v="25"/>
    <n v="0.375"/>
    <n v="0.5"/>
  </r>
  <r>
    <n v="364"/>
    <n v="23"/>
    <n v="8"/>
    <n v="2023"/>
    <s v="Wednesday"/>
    <s v="August"/>
    <s v="2023"/>
    <d v="2023-08-23T00:00:00"/>
    <s v="CUST364"/>
    <x v="1"/>
    <x v="1"/>
    <n v="19"/>
    <x v="0"/>
    <n v="1"/>
    <n v="500"/>
    <n v="500"/>
    <n v="7.5"/>
    <n v="10"/>
  </r>
  <r>
    <n v="365"/>
    <n v="11"/>
    <n v="6"/>
    <n v="2023"/>
    <s v="Sunday"/>
    <s v="June"/>
    <s v="2023"/>
    <d v="2023-06-11T00:00:00"/>
    <s v="CUST365"/>
    <x v="0"/>
    <x v="0"/>
    <n v="31"/>
    <x v="0"/>
    <n v="1"/>
    <n v="300"/>
    <n v="300"/>
    <n v="4.5"/>
    <n v="6"/>
  </r>
  <r>
    <n v="366"/>
    <n v="7"/>
    <n v="2"/>
    <n v="2023"/>
    <s v="Tuesday"/>
    <s v="February"/>
    <s v="2023"/>
    <d v="2023-02-07T00:00:00"/>
    <s v="CUST366"/>
    <x v="0"/>
    <x v="2"/>
    <n v="57"/>
    <x v="0"/>
    <n v="2"/>
    <n v="50"/>
    <n v="100"/>
    <n v="1.5"/>
    <n v="2"/>
  </r>
  <r>
    <n v="367"/>
    <n v="5"/>
    <n v="1"/>
    <n v="2023"/>
    <s v="Thursday"/>
    <s v="January"/>
    <s v="2023"/>
    <d v="2023-01-05T00:00:00"/>
    <s v="CUST367"/>
    <x v="1"/>
    <x v="2"/>
    <n v="57"/>
    <x v="0"/>
    <n v="1"/>
    <n v="50"/>
    <n v="50"/>
    <n v="0.75"/>
    <n v="1"/>
  </r>
  <r>
    <n v="368"/>
    <n v="23"/>
    <n v="8"/>
    <n v="2023"/>
    <s v="Wednesday"/>
    <s v="August"/>
    <s v="2023"/>
    <d v="2023-08-23T00:00:00"/>
    <s v="CUST368"/>
    <x v="1"/>
    <x v="2"/>
    <n v="56"/>
    <x v="0"/>
    <n v="4"/>
    <n v="300"/>
    <n v="1200"/>
    <n v="18"/>
    <n v="24"/>
  </r>
  <r>
    <n v="369"/>
    <n v="15"/>
    <n v="11"/>
    <n v="2023"/>
    <s v="Wednesday"/>
    <s v="November"/>
    <s v="2023"/>
    <d v="2023-11-15T00:00:00"/>
    <s v="CUST369"/>
    <x v="0"/>
    <x v="1"/>
    <n v="23"/>
    <x v="0"/>
    <n v="3"/>
    <n v="500"/>
    <n v="1500"/>
    <n v="22.5"/>
    <n v="30"/>
  </r>
  <r>
    <n v="370"/>
    <n v="16"/>
    <n v="10"/>
    <n v="2023"/>
    <s v="Monday"/>
    <s v="October"/>
    <s v="2023"/>
    <d v="2023-10-16T00:00:00"/>
    <s v="CUST370"/>
    <x v="0"/>
    <x v="1"/>
    <n v="23"/>
    <x v="0"/>
    <n v="2"/>
    <n v="30"/>
    <n v="60"/>
    <n v="0.89999999999999991"/>
    <n v="1.2"/>
  </r>
  <r>
    <n v="371"/>
    <n v="21"/>
    <n v="2"/>
    <n v="2023"/>
    <s v="Tuesday"/>
    <s v="February"/>
    <s v="2023"/>
    <d v="2023-02-21T00:00:00"/>
    <s v="CUST371"/>
    <x v="1"/>
    <x v="1"/>
    <n v="20"/>
    <x v="0"/>
    <n v="1"/>
    <n v="25"/>
    <n v="25"/>
    <n v="0.375"/>
    <n v="0.5"/>
  </r>
  <r>
    <n v="372"/>
    <n v="7"/>
    <n v="2"/>
    <n v="2023"/>
    <s v="Tuesday"/>
    <s v="February"/>
    <s v="2023"/>
    <d v="2023-02-07T00:00:00"/>
    <s v="CUST372"/>
    <x v="1"/>
    <x v="1"/>
    <n v="24"/>
    <x v="0"/>
    <n v="3"/>
    <n v="500"/>
    <n v="1500"/>
    <n v="22.5"/>
    <n v="30"/>
  </r>
  <r>
    <n v="373"/>
    <n v="3"/>
    <n v="10"/>
    <n v="2023"/>
    <s v="Tuesday"/>
    <s v="October"/>
    <s v="2023"/>
    <d v="2023-10-03T00:00:00"/>
    <s v="CUST373"/>
    <x v="1"/>
    <x v="1"/>
    <n v="25"/>
    <x v="0"/>
    <n v="2"/>
    <n v="300"/>
    <n v="600"/>
    <n v="9"/>
    <n v="12"/>
  </r>
  <r>
    <n v="374"/>
    <n v="20"/>
    <n v="4"/>
    <n v="2023"/>
    <s v="Thursday"/>
    <s v="April"/>
    <s v="2023"/>
    <d v="2023-04-20T00:00:00"/>
    <s v="CUST374"/>
    <x v="1"/>
    <x v="2"/>
    <n v="59"/>
    <x v="0"/>
    <n v="3"/>
    <n v="25"/>
    <n v="75"/>
    <n v="1.125"/>
    <n v="1.5"/>
  </r>
  <r>
    <n v="375"/>
    <n v="17"/>
    <n v="9"/>
    <n v="2023"/>
    <s v="Sunday"/>
    <s v="September"/>
    <s v="2023"/>
    <d v="2023-09-17T00:00:00"/>
    <s v="CUST375"/>
    <x v="0"/>
    <x v="0"/>
    <n v="32"/>
    <x v="0"/>
    <n v="1"/>
    <n v="50"/>
    <n v="50"/>
    <n v="0.75"/>
    <n v="1"/>
  </r>
  <r>
    <n v="376"/>
    <n v="16"/>
    <n v="5"/>
    <n v="2023"/>
    <s v="Tuesday"/>
    <s v="May"/>
    <s v="2023"/>
    <d v="2023-05-16T00:00:00"/>
    <s v="CUST376"/>
    <x v="1"/>
    <x v="2"/>
    <n v="64"/>
    <x v="0"/>
    <n v="1"/>
    <n v="30"/>
    <n v="30"/>
    <n v="0.44999999999999996"/>
    <n v="0.6"/>
  </r>
  <r>
    <n v="377"/>
    <n v="9"/>
    <n v="3"/>
    <n v="2023"/>
    <s v="Thursday"/>
    <s v="March"/>
    <s v="2023"/>
    <d v="2023-03-09T00:00:00"/>
    <s v="CUST377"/>
    <x v="1"/>
    <x v="0"/>
    <n v="46"/>
    <x v="0"/>
    <n v="4"/>
    <n v="50"/>
    <n v="200"/>
    <n v="3"/>
    <n v="4"/>
  </r>
  <r>
    <n v="378"/>
    <n v="28"/>
    <n v="6"/>
    <n v="2023"/>
    <s v="Wednesday"/>
    <s v="June"/>
    <s v="2023"/>
    <d v="2023-06-28T00:00:00"/>
    <s v="CUST378"/>
    <x v="0"/>
    <x v="0"/>
    <n v="50"/>
    <x v="0"/>
    <n v="1"/>
    <n v="300"/>
    <n v="300"/>
    <n v="4.5"/>
    <n v="6"/>
  </r>
  <r>
    <n v="379"/>
    <n v="5"/>
    <n v="2"/>
    <n v="2023"/>
    <s v="Sunday"/>
    <s v="February"/>
    <s v="2023"/>
    <d v="2023-02-05T00:00:00"/>
    <s v="CUST379"/>
    <x v="1"/>
    <x v="0"/>
    <n v="47"/>
    <x v="0"/>
    <n v="1"/>
    <n v="25"/>
    <n v="25"/>
    <n v="0.375"/>
    <n v="0.5"/>
  </r>
  <r>
    <n v="380"/>
    <n v="6"/>
    <n v="5"/>
    <n v="2023"/>
    <s v="Saturday"/>
    <s v="May"/>
    <s v="2023"/>
    <d v="2023-05-06T00:00:00"/>
    <s v="CUST380"/>
    <x v="0"/>
    <x v="2"/>
    <n v="56"/>
    <x v="0"/>
    <n v="2"/>
    <n v="300"/>
    <n v="600"/>
    <n v="9"/>
    <n v="12"/>
  </r>
  <r>
    <n v="381"/>
    <n v="9"/>
    <n v="7"/>
    <n v="2023"/>
    <s v="Sunday"/>
    <s v="July"/>
    <s v="2023"/>
    <d v="2023-07-09T00:00:00"/>
    <s v="CUST381"/>
    <x v="1"/>
    <x v="0"/>
    <n v="44"/>
    <x v="0"/>
    <n v="4"/>
    <n v="25"/>
    <n v="100"/>
    <n v="1.5"/>
    <n v="2"/>
  </r>
  <r>
    <n v="382"/>
    <n v="26"/>
    <n v="5"/>
    <n v="2023"/>
    <s v="Friday"/>
    <s v="May"/>
    <s v="2023"/>
    <d v="2023-05-26T00:00:00"/>
    <s v="CUST382"/>
    <x v="1"/>
    <x v="2"/>
    <n v="53"/>
    <x v="0"/>
    <n v="2"/>
    <n v="500"/>
    <n v="1000"/>
    <n v="15"/>
    <n v="20"/>
  </r>
  <r>
    <n v="383"/>
    <n v="22"/>
    <n v="3"/>
    <n v="2023"/>
    <s v="Wednesday"/>
    <s v="March"/>
    <s v="2023"/>
    <d v="2023-03-22T00:00:00"/>
    <s v="CUST383"/>
    <x v="1"/>
    <x v="0"/>
    <n v="46"/>
    <x v="0"/>
    <n v="3"/>
    <n v="30"/>
    <n v="90"/>
    <n v="1.3499999999999999"/>
    <n v="1.8"/>
  </r>
  <r>
    <n v="384"/>
    <n v="13"/>
    <n v="8"/>
    <n v="2023"/>
    <s v="Sunday"/>
    <s v="August"/>
    <s v="2023"/>
    <d v="2023-08-13T00:00:00"/>
    <s v="CUST384"/>
    <x v="0"/>
    <x v="2"/>
    <n v="55"/>
    <x v="0"/>
    <n v="1"/>
    <n v="500"/>
    <n v="500"/>
    <n v="7.5"/>
    <n v="10"/>
  </r>
  <r>
    <n v="385"/>
    <n v="6"/>
    <n v="10"/>
    <n v="2023"/>
    <s v="Friday"/>
    <s v="October"/>
    <s v="2023"/>
    <d v="2023-10-06T00:00:00"/>
    <s v="CUST385"/>
    <x v="0"/>
    <x v="0"/>
    <n v="50"/>
    <x v="0"/>
    <n v="3"/>
    <n v="500"/>
    <n v="1500"/>
    <n v="22.5"/>
    <n v="30"/>
  </r>
  <r>
    <n v="386"/>
    <n v="27"/>
    <n v="12"/>
    <n v="2023"/>
    <s v="Wednesday"/>
    <s v="December"/>
    <s v="2023"/>
    <d v="2023-12-27T00:00:00"/>
    <s v="CUST386"/>
    <x v="1"/>
    <x v="2"/>
    <n v="54"/>
    <x v="0"/>
    <n v="2"/>
    <n v="300"/>
    <n v="600"/>
    <n v="9"/>
    <n v="12"/>
  </r>
  <r>
    <n v="387"/>
    <n v="4"/>
    <n v="6"/>
    <n v="2023"/>
    <s v="Sunday"/>
    <s v="June"/>
    <s v="2023"/>
    <d v="2023-06-04T00:00:00"/>
    <s v="CUST387"/>
    <x v="0"/>
    <x v="0"/>
    <n v="44"/>
    <x v="0"/>
    <n v="1"/>
    <n v="30"/>
    <n v="30"/>
    <n v="0.44999999999999996"/>
    <n v="0.6"/>
  </r>
  <r>
    <n v="388"/>
    <n v="10"/>
    <n v="11"/>
    <n v="2023"/>
    <s v="Friday"/>
    <s v="November"/>
    <s v="2023"/>
    <d v="2023-11-10T00:00:00"/>
    <s v="CUST388"/>
    <x v="0"/>
    <x v="0"/>
    <n v="50"/>
    <x v="0"/>
    <n v="1"/>
    <n v="25"/>
    <n v="25"/>
    <n v="0.375"/>
    <n v="0.5"/>
  </r>
  <r>
    <n v="389"/>
    <n v="1"/>
    <n v="12"/>
    <n v="2023"/>
    <s v="Friday"/>
    <s v="December"/>
    <s v="2023"/>
    <d v="2023-12-01T00:00:00"/>
    <s v="CUST389"/>
    <x v="0"/>
    <x v="1"/>
    <n v="21"/>
    <x v="0"/>
    <n v="2"/>
    <n v="25"/>
    <n v="50"/>
    <n v="0.75"/>
    <n v="1"/>
  </r>
  <r>
    <n v="390"/>
    <n v="28"/>
    <n v="9"/>
    <n v="2023"/>
    <s v="Thursday"/>
    <s v="September"/>
    <s v="2023"/>
    <d v="2023-09-28T00:00:00"/>
    <s v="CUST390"/>
    <x v="0"/>
    <x v="0"/>
    <n v="39"/>
    <x v="0"/>
    <n v="2"/>
    <n v="50"/>
    <n v="100"/>
    <n v="1.5"/>
    <n v="2"/>
  </r>
  <r>
    <n v="391"/>
    <n v="5"/>
    <n v="1"/>
    <n v="2023"/>
    <s v="Thursday"/>
    <s v="January"/>
    <s v="2023"/>
    <d v="2023-01-05T00:00:00"/>
    <s v="CUST391"/>
    <x v="0"/>
    <x v="1"/>
    <n v="19"/>
    <x v="0"/>
    <n v="2"/>
    <n v="25"/>
    <n v="50"/>
    <n v="0.75"/>
    <n v="1"/>
  </r>
  <r>
    <n v="392"/>
    <n v="8"/>
    <n v="12"/>
    <n v="2023"/>
    <s v="Friday"/>
    <s v="December"/>
    <s v="2023"/>
    <d v="2023-12-08T00:00:00"/>
    <s v="CUST392"/>
    <x v="0"/>
    <x v="1"/>
    <n v="27"/>
    <x v="0"/>
    <n v="2"/>
    <n v="300"/>
    <n v="600"/>
    <n v="9"/>
    <n v="12"/>
  </r>
  <r>
    <n v="393"/>
    <n v="11"/>
    <n v="10"/>
    <n v="2023"/>
    <s v="Wednesday"/>
    <s v="October"/>
    <s v="2023"/>
    <d v="2023-10-11T00:00:00"/>
    <s v="CUST393"/>
    <x v="1"/>
    <x v="1"/>
    <n v="22"/>
    <x v="0"/>
    <n v="2"/>
    <n v="500"/>
    <n v="1000"/>
    <n v="15"/>
    <n v="20"/>
  </r>
  <r>
    <n v="394"/>
    <n v="3"/>
    <n v="6"/>
    <n v="2023"/>
    <s v="Saturday"/>
    <s v="June"/>
    <s v="2023"/>
    <d v="2023-06-03T00:00:00"/>
    <s v="CUST394"/>
    <x v="1"/>
    <x v="1"/>
    <n v="27"/>
    <x v="0"/>
    <n v="1"/>
    <n v="500"/>
    <n v="500"/>
    <n v="7.5"/>
    <n v="10"/>
  </r>
  <r>
    <n v="395"/>
    <n v="6"/>
    <n v="12"/>
    <n v="2023"/>
    <s v="Wednesday"/>
    <s v="December"/>
    <s v="2023"/>
    <d v="2023-12-06T00:00:00"/>
    <s v="CUST395"/>
    <x v="0"/>
    <x v="0"/>
    <n v="50"/>
    <x v="0"/>
    <n v="2"/>
    <n v="500"/>
    <n v="1000"/>
    <n v="15"/>
    <n v="20"/>
  </r>
  <r>
    <n v="396"/>
    <n v="23"/>
    <n v="2"/>
    <n v="2023"/>
    <s v="Thursday"/>
    <s v="February"/>
    <s v="2023"/>
    <d v="2023-02-23T00:00:00"/>
    <s v="CUST396"/>
    <x v="1"/>
    <x v="2"/>
    <n v="55"/>
    <x v="0"/>
    <n v="1"/>
    <n v="30"/>
    <n v="30"/>
    <n v="0.44999999999999996"/>
    <n v="0.6"/>
  </r>
  <r>
    <n v="397"/>
    <n v="10"/>
    <n v="3"/>
    <n v="2023"/>
    <s v="Friday"/>
    <s v="March"/>
    <s v="2023"/>
    <d v="2023-03-10T00:00:00"/>
    <s v="CUST397"/>
    <x v="1"/>
    <x v="0"/>
    <n v="30"/>
    <x v="0"/>
    <n v="1"/>
    <n v="25"/>
    <n v="25"/>
    <n v="0.375"/>
    <n v="0.5"/>
  </r>
  <r>
    <n v="398"/>
    <n v="16"/>
    <n v="5"/>
    <n v="2023"/>
    <s v="Tuesday"/>
    <s v="May"/>
    <s v="2023"/>
    <d v="2023-05-16T00:00:00"/>
    <s v="CUST398"/>
    <x v="1"/>
    <x v="0"/>
    <n v="48"/>
    <x v="0"/>
    <n v="2"/>
    <n v="300"/>
    <n v="600"/>
    <n v="9"/>
    <n v="12"/>
  </r>
  <r>
    <n v="399"/>
    <n v="1"/>
    <n v="3"/>
    <n v="2023"/>
    <s v="Wednesday"/>
    <s v="March"/>
    <s v="2023"/>
    <d v="2023-03-01T00:00:00"/>
    <s v="CUST399"/>
    <x v="1"/>
    <x v="2"/>
    <n v="64"/>
    <x v="0"/>
    <n v="2"/>
    <n v="30"/>
    <n v="60"/>
    <n v="0.89999999999999991"/>
    <n v="1.2"/>
  </r>
  <r>
    <n v="400"/>
    <n v="24"/>
    <n v="2"/>
    <n v="2023"/>
    <s v="Friday"/>
    <s v="February"/>
    <s v="2023"/>
    <d v="2023-02-24T00:00:00"/>
    <s v="CUST400"/>
    <x v="0"/>
    <x v="2"/>
    <n v="53"/>
    <x v="0"/>
    <n v="4"/>
    <n v="50"/>
    <n v="200"/>
    <n v="3"/>
    <n v="4"/>
  </r>
  <r>
    <n v="401"/>
    <n v="11"/>
    <n v="10"/>
    <n v="2023"/>
    <s v="Wednesday"/>
    <s v="October"/>
    <s v="2023"/>
    <d v="2023-10-11T00:00:00"/>
    <s v="CUST401"/>
    <x v="1"/>
    <x v="2"/>
    <n v="62"/>
    <x v="0"/>
    <n v="1"/>
    <n v="300"/>
    <n v="300"/>
    <n v="4.5"/>
    <n v="6"/>
  </r>
  <r>
    <n v="402"/>
    <n v="21"/>
    <n v="3"/>
    <n v="2023"/>
    <s v="Tuesday"/>
    <s v="March"/>
    <s v="2023"/>
    <d v="2023-03-21T00:00:00"/>
    <s v="CUST402"/>
    <x v="1"/>
    <x v="0"/>
    <n v="41"/>
    <x v="0"/>
    <n v="2"/>
    <n v="300"/>
    <n v="600"/>
    <n v="9"/>
    <n v="12"/>
  </r>
  <r>
    <n v="403"/>
    <n v="20"/>
    <n v="5"/>
    <n v="2023"/>
    <s v="Saturday"/>
    <s v="May"/>
    <s v="2023"/>
    <d v="2023-05-20T00:00:00"/>
    <s v="CUST403"/>
    <x v="0"/>
    <x v="0"/>
    <n v="32"/>
    <x v="0"/>
    <n v="2"/>
    <n v="300"/>
    <n v="600"/>
    <n v="9"/>
    <n v="12"/>
  </r>
  <r>
    <n v="404"/>
    <n v="25"/>
    <n v="5"/>
    <n v="2023"/>
    <s v="Thursday"/>
    <s v="May"/>
    <s v="2023"/>
    <d v="2023-05-25T00:00:00"/>
    <s v="CUST404"/>
    <x v="0"/>
    <x v="0"/>
    <n v="46"/>
    <x v="0"/>
    <n v="2"/>
    <n v="500"/>
    <n v="1000"/>
    <n v="15"/>
    <n v="20"/>
  </r>
  <r>
    <n v="405"/>
    <n v="6"/>
    <n v="11"/>
    <n v="2023"/>
    <s v="Monday"/>
    <s v="November"/>
    <s v="2023"/>
    <d v="2023-11-06T00:00:00"/>
    <s v="CUST405"/>
    <x v="1"/>
    <x v="1"/>
    <n v="25"/>
    <x v="0"/>
    <n v="4"/>
    <n v="300"/>
    <n v="1200"/>
    <n v="18"/>
    <n v="24"/>
  </r>
  <r>
    <n v="406"/>
    <n v="18"/>
    <n v="4"/>
    <n v="2023"/>
    <s v="Tuesday"/>
    <s v="April"/>
    <s v="2023"/>
    <d v="2023-04-18T00:00:00"/>
    <s v="CUST406"/>
    <x v="1"/>
    <x v="1"/>
    <n v="22"/>
    <x v="0"/>
    <n v="4"/>
    <n v="25"/>
    <n v="100"/>
    <n v="1.5"/>
    <n v="2"/>
  </r>
  <r>
    <n v="407"/>
    <n v="25"/>
    <n v="6"/>
    <n v="2023"/>
    <s v="Sunday"/>
    <s v="June"/>
    <s v="2023"/>
    <d v="2023-06-25T00:00:00"/>
    <s v="CUST407"/>
    <x v="1"/>
    <x v="0"/>
    <n v="46"/>
    <x v="0"/>
    <n v="3"/>
    <n v="300"/>
    <n v="900"/>
    <n v="13.5"/>
    <n v="18"/>
  </r>
  <r>
    <n v="408"/>
    <n v="15"/>
    <n v="4"/>
    <n v="2023"/>
    <s v="Saturday"/>
    <s v="April"/>
    <s v="2023"/>
    <d v="2023-04-15T00:00:00"/>
    <s v="CUST408"/>
    <x v="1"/>
    <x v="2"/>
    <n v="64"/>
    <x v="0"/>
    <n v="1"/>
    <n v="500"/>
    <n v="500"/>
    <n v="7.5"/>
    <n v="10"/>
  </r>
  <r>
    <n v="409"/>
    <n v="18"/>
    <n v="12"/>
    <n v="2023"/>
    <s v="Monday"/>
    <s v="December"/>
    <s v="2023"/>
    <d v="2023-12-18T00:00:00"/>
    <s v="CUST409"/>
    <x v="1"/>
    <x v="1"/>
    <n v="21"/>
    <x v="0"/>
    <n v="3"/>
    <n v="300"/>
    <n v="900"/>
    <n v="13.5"/>
    <n v="18"/>
  </r>
  <r>
    <n v="410"/>
    <n v="21"/>
    <n v="11"/>
    <n v="2023"/>
    <s v="Tuesday"/>
    <s v="November"/>
    <s v="2023"/>
    <d v="2023-11-21T00:00:00"/>
    <s v="CUST410"/>
    <x v="1"/>
    <x v="1"/>
    <n v="29"/>
    <x v="0"/>
    <n v="2"/>
    <n v="50"/>
    <n v="100"/>
    <n v="1.5"/>
    <n v="2"/>
  </r>
  <r>
    <n v="411"/>
    <n v="16"/>
    <n v="5"/>
    <n v="2023"/>
    <s v="Tuesday"/>
    <s v="May"/>
    <s v="2023"/>
    <d v="2023-05-16T00:00:00"/>
    <s v="CUST411"/>
    <x v="0"/>
    <x v="2"/>
    <n v="62"/>
    <x v="0"/>
    <n v="4"/>
    <n v="50"/>
    <n v="200"/>
    <n v="3"/>
    <n v="4"/>
  </r>
  <r>
    <n v="412"/>
    <n v="16"/>
    <n v="9"/>
    <n v="2023"/>
    <s v="Saturday"/>
    <s v="September"/>
    <s v="2023"/>
    <d v="2023-09-16T00:00:00"/>
    <s v="CUST412"/>
    <x v="1"/>
    <x v="1"/>
    <n v="19"/>
    <x v="0"/>
    <n v="4"/>
    <n v="500"/>
    <n v="2000"/>
    <n v="30"/>
    <n v="40"/>
  </r>
  <r>
    <n v="413"/>
    <n v="8"/>
    <n v="9"/>
    <n v="2023"/>
    <s v="Friday"/>
    <s v="September"/>
    <s v="2023"/>
    <d v="2023-09-08T00:00:00"/>
    <s v="CUST413"/>
    <x v="1"/>
    <x v="0"/>
    <n v="44"/>
    <x v="0"/>
    <n v="3"/>
    <n v="25"/>
    <n v="75"/>
    <n v="1.125"/>
    <n v="1.5"/>
  </r>
  <r>
    <n v="414"/>
    <n v="9"/>
    <n v="5"/>
    <n v="2023"/>
    <s v="Tuesday"/>
    <s v="May"/>
    <s v="2023"/>
    <d v="2023-05-09T00:00:00"/>
    <s v="CUST414"/>
    <x v="0"/>
    <x v="0"/>
    <n v="48"/>
    <x v="0"/>
    <n v="4"/>
    <n v="25"/>
    <n v="100"/>
    <n v="1.5"/>
    <n v="2"/>
  </r>
  <r>
    <n v="415"/>
    <n v="27"/>
    <n v="1"/>
    <n v="2023"/>
    <s v="Friday"/>
    <s v="January"/>
    <s v="2023"/>
    <d v="2023-01-27T00:00:00"/>
    <s v="CUST415"/>
    <x v="0"/>
    <x v="2"/>
    <n v="53"/>
    <x v="0"/>
    <n v="2"/>
    <n v="30"/>
    <n v="60"/>
    <n v="0.89999999999999991"/>
    <n v="1.2"/>
  </r>
  <r>
    <n v="416"/>
    <n v="17"/>
    <n v="2"/>
    <n v="2023"/>
    <s v="Friday"/>
    <s v="February"/>
    <s v="2023"/>
    <d v="2023-02-17T00:00:00"/>
    <s v="CUST416"/>
    <x v="0"/>
    <x v="2"/>
    <n v="53"/>
    <x v="0"/>
    <n v="4"/>
    <n v="500"/>
    <n v="2000"/>
    <n v="30"/>
    <n v="40"/>
  </r>
  <r>
    <n v="417"/>
    <n v="21"/>
    <n v="11"/>
    <n v="2023"/>
    <s v="Tuesday"/>
    <s v="November"/>
    <s v="2023"/>
    <d v="2023-11-21T00:00:00"/>
    <s v="CUST417"/>
    <x v="0"/>
    <x v="0"/>
    <n v="43"/>
    <x v="0"/>
    <n v="3"/>
    <n v="300"/>
    <n v="900"/>
    <n v="13.5"/>
    <n v="18"/>
  </r>
  <r>
    <n v="418"/>
    <n v="5"/>
    <n v="8"/>
    <n v="2023"/>
    <s v="Saturday"/>
    <s v="August"/>
    <s v="2023"/>
    <d v="2023-08-05T00:00:00"/>
    <s v="CUST418"/>
    <x v="1"/>
    <x v="2"/>
    <n v="60"/>
    <x v="0"/>
    <n v="2"/>
    <n v="500"/>
    <n v="1000"/>
    <n v="15"/>
    <n v="20"/>
  </r>
  <r>
    <n v="419"/>
    <n v="22"/>
    <n v="5"/>
    <n v="2023"/>
    <s v="Monday"/>
    <s v="May"/>
    <s v="2023"/>
    <d v="2023-05-22T00:00:00"/>
    <s v="CUST419"/>
    <x v="1"/>
    <x v="0"/>
    <n v="44"/>
    <x v="0"/>
    <n v="3"/>
    <n v="30"/>
    <n v="90"/>
    <n v="1.3499999999999999"/>
    <n v="1.8"/>
  </r>
  <r>
    <n v="420"/>
    <n v="23"/>
    <n v="1"/>
    <n v="2023"/>
    <s v="Monday"/>
    <s v="January"/>
    <s v="2023"/>
    <d v="2023-01-23T00:00:00"/>
    <s v="CUST420"/>
    <x v="1"/>
    <x v="1"/>
    <n v="22"/>
    <x v="0"/>
    <n v="4"/>
    <n v="500"/>
    <n v="2000"/>
    <n v="30"/>
    <n v="40"/>
  </r>
  <r>
    <n v="421"/>
    <n v="2"/>
    <n v="1"/>
    <n v="2023"/>
    <s v="Monday"/>
    <s v="January"/>
    <s v="2023"/>
    <d v="2023-01-02T00:00:00"/>
    <s v="CUST421"/>
    <x v="1"/>
    <x v="0"/>
    <n v="37"/>
    <x v="0"/>
    <n v="3"/>
    <n v="500"/>
    <n v="1500"/>
    <n v="22.5"/>
    <n v="30"/>
  </r>
  <r>
    <n v="422"/>
    <n v="20"/>
    <n v="6"/>
    <n v="2023"/>
    <s v="Tuesday"/>
    <s v="June"/>
    <s v="2023"/>
    <d v="2023-06-20T00:00:00"/>
    <s v="CUST422"/>
    <x v="1"/>
    <x v="1"/>
    <n v="28"/>
    <x v="0"/>
    <n v="3"/>
    <n v="30"/>
    <n v="90"/>
    <n v="1.3499999999999999"/>
    <n v="1.8"/>
  </r>
  <r>
    <n v="423"/>
    <n v="8"/>
    <n v="3"/>
    <n v="2023"/>
    <s v="Wednesday"/>
    <s v="March"/>
    <s v="2023"/>
    <d v="2023-03-08T00:00:00"/>
    <s v="CUST423"/>
    <x v="1"/>
    <x v="1"/>
    <n v="27"/>
    <x v="0"/>
    <n v="1"/>
    <n v="25"/>
    <n v="25"/>
    <n v="0.375"/>
    <n v="0.5"/>
  </r>
  <r>
    <n v="424"/>
    <n v="23"/>
    <n v="11"/>
    <n v="2023"/>
    <s v="Thursday"/>
    <s v="November"/>
    <s v="2023"/>
    <d v="2023-11-23T00:00:00"/>
    <s v="CUST424"/>
    <x v="0"/>
    <x v="2"/>
    <n v="57"/>
    <x v="0"/>
    <n v="4"/>
    <n v="300"/>
    <n v="1200"/>
    <n v="18"/>
    <n v="24"/>
  </r>
  <r>
    <n v="425"/>
    <n v="15"/>
    <n v="5"/>
    <n v="2023"/>
    <s v="Monday"/>
    <s v="May"/>
    <s v="2023"/>
    <d v="2023-05-15T00:00:00"/>
    <s v="CUST425"/>
    <x v="1"/>
    <x v="2"/>
    <n v="55"/>
    <x v="0"/>
    <n v="4"/>
    <n v="30"/>
    <n v="120"/>
    <n v="1.7999999999999998"/>
    <n v="2.4"/>
  </r>
  <r>
    <n v="426"/>
    <n v="24"/>
    <n v="3"/>
    <n v="2023"/>
    <s v="Friday"/>
    <s v="March"/>
    <s v="2023"/>
    <d v="2023-03-24T00:00:00"/>
    <s v="CUST426"/>
    <x v="0"/>
    <x v="1"/>
    <n v="23"/>
    <x v="0"/>
    <n v="3"/>
    <n v="50"/>
    <n v="150"/>
    <n v="2.25"/>
    <n v="3"/>
  </r>
  <r>
    <n v="427"/>
    <n v="15"/>
    <n v="8"/>
    <n v="2023"/>
    <s v="Tuesday"/>
    <s v="August"/>
    <s v="2023"/>
    <d v="2023-08-15T00:00:00"/>
    <s v="CUST427"/>
    <x v="0"/>
    <x v="1"/>
    <n v="25"/>
    <x v="0"/>
    <n v="1"/>
    <n v="25"/>
    <n v="25"/>
    <n v="0.375"/>
    <n v="0.5"/>
  </r>
  <r>
    <n v="428"/>
    <n v="10"/>
    <n v="10"/>
    <n v="2023"/>
    <s v="Tuesday"/>
    <s v="October"/>
    <s v="2023"/>
    <d v="2023-10-10T00:00:00"/>
    <s v="CUST428"/>
    <x v="1"/>
    <x v="0"/>
    <n v="40"/>
    <x v="0"/>
    <n v="4"/>
    <n v="50"/>
    <n v="200"/>
    <n v="3"/>
    <n v="4"/>
  </r>
  <r>
    <n v="429"/>
    <n v="28"/>
    <n v="12"/>
    <n v="2023"/>
    <s v="Thursday"/>
    <s v="December"/>
    <s v="2023"/>
    <d v="2023-12-28T00:00:00"/>
    <s v="CUST429"/>
    <x v="0"/>
    <x v="2"/>
    <n v="64"/>
    <x v="0"/>
    <n v="2"/>
    <n v="25"/>
    <n v="50"/>
    <n v="0.75"/>
    <n v="1"/>
  </r>
  <r>
    <n v="430"/>
    <n v="7"/>
    <n v="8"/>
    <n v="2023"/>
    <s v="Monday"/>
    <s v="August"/>
    <s v="2023"/>
    <d v="2023-08-07T00:00:00"/>
    <s v="CUST430"/>
    <x v="1"/>
    <x v="0"/>
    <n v="43"/>
    <x v="0"/>
    <n v="3"/>
    <n v="300"/>
    <n v="900"/>
    <n v="13.5"/>
    <n v="18"/>
  </r>
  <r>
    <n v="431"/>
    <n v="15"/>
    <n v="10"/>
    <n v="2023"/>
    <s v="Sunday"/>
    <s v="October"/>
    <s v="2023"/>
    <d v="2023-10-15T00:00:00"/>
    <s v="CUST431"/>
    <x v="0"/>
    <x v="2"/>
    <n v="63"/>
    <x v="0"/>
    <n v="4"/>
    <n v="300"/>
    <n v="1200"/>
    <n v="18"/>
    <n v="24"/>
  </r>
  <r>
    <n v="432"/>
    <n v="5"/>
    <n v="1"/>
    <n v="2023"/>
    <s v="Thursday"/>
    <s v="January"/>
    <s v="2023"/>
    <d v="2023-01-05T00:00:00"/>
    <s v="CUST432"/>
    <x v="1"/>
    <x v="2"/>
    <n v="60"/>
    <x v="0"/>
    <n v="2"/>
    <n v="500"/>
    <n v="1000"/>
    <n v="15"/>
    <n v="20"/>
  </r>
  <r>
    <n v="433"/>
    <n v="27"/>
    <n v="2"/>
    <n v="2023"/>
    <s v="Monday"/>
    <s v="February"/>
    <s v="2023"/>
    <d v="2023-02-27T00:00:00"/>
    <s v="CUST433"/>
    <x v="0"/>
    <x v="1"/>
    <n v="29"/>
    <x v="0"/>
    <n v="4"/>
    <n v="50"/>
    <n v="200"/>
    <n v="3"/>
    <n v="4"/>
  </r>
  <r>
    <n v="434"/>
    <n v="8"/>
    <n v="2"/>
    <n v="2023"/>
    <s v="Wednesday"/>
    <s v="February"/>
    <s v="2023"/>
    <d v="2023-02-08T00:00:00"/>
    <s v="CUST434"/>
    <x v="1"/>
    <x v="0"/>
    <n v="43"/>
    <x v="0"/>
    <n v="2"/>
    <n v="25"/>
    <n v="50"/>
    <n v="0.75"/>
    <n v="1"/>
  </r>
  <r>
    <n v="435"/>
    <n v="20"/>
    <n v="12"/>
    <n v="2023"/>
    <s v="Wednesday"/>
    <s v="December"/>
    <s v="2023"/>
    <d v="2023-12-20T00:00:00"/>
    <s v="CUST435"/>
    <x v="1"/>
    <x v="0"/>
    <n v="30"/>
    <x v="0"/>
    <n v="3"/>
    <n v="300"/>
    <n v="900"/>
    <n v="13.5"/>
    <n v="18"/>
  </r>
  <r>
    <n v="436"/>
    <n v="18"/>
    <n v="3"/>
    <n v="2023"/>
    <s v="Saturday"/>
    <s v="March"/>
    <s v="2023"/>
    <d v="2023-03-18T00:00:00"/>
    <s v="CUST436"/>
    <x v="1"/>
    <x v="2"/>
    <n v="57"/>
    <x v="0"/>
    <n v="4"/>
    <n v="30"/>
    <n v="120"/>
    <n v="1.7999999999999998"/>
    <n v="2.4"/>
  </r>
  <r>
    <n v="437"/>
    <n v="7"/>
    <n v="10"/>
    <n v="2023"/>
    <s v="Saturday"/>
    <s v="October"/>
    <s v="2023"/>
    <d v="2023-10-07T00:00:00"/>
    <s v="CUST437"/>
    <x v="1"/>
    <x v="0"/>
    <n v="35"/>
    <x v="0"/>
    <n v="4"/>
    <n v="300"/>
    <n v="1200"/>
    <n v="18"/>
    <n v="24"/>
  </r>
  <r>
    <n v="438"/>
    <n v="19"/>
    <n v="1"/>
    <n v="2023"/>
    <s v="Thursday"/>
    <s v="January"/>
    <s v="2023"/>
    <d v="2023-01-19T00:00:00"/>
    <s v="CUST438"/>
    <x v="1"/>
    <x v="0"/>
    <n v="42"/>
    <x v="0"/>
    <n v="1"/>
    <n v="30"/>
    <n v="30"/>
    <n v="0.44999999999999996"/>
    <n v="0.6"/>
  </r>
  <r>
    <n v="439"/>
    <n v="9"/>
    <n v="7"/>
    <n v="2023"/>
    <s v="Sunday"/>
    <s v="July"/>
    <s v="2023"/>
    <d v="2023-07-09T00:00:00"/>
    <s v="CUST439"/>
    <x v="0"/>
    <x v="0"/>
    <n v="50"/>
    <x v="0"/>
    <n v="3"/>
    <n v="25"/>
    <n v="75"/>
    <n v="1.125"/>
    <n v="1.5"/>
  </r>
  <r>
    <n v="440"/>
    <n v="26"/>
    <n v="10"/>
    <n v="2023"/>
    <s v="Thursday"/>
    <s v="October"/>
    <s v="2023"/>
    <d v="2023-10-26T00:00:00"/>
    <s v="CUST440"/>
    <x v="0"/>
    <x v="2"/>
    <n v="64"/>
    <x v="0"/>
    <n v="2"/>
    <n v="300"/>
    <n v="600"/>
    <n v="9"/>
    <n v="12"/>
  </r>
  <r>
    <n v="441"/>
    <n v="10"/>
    <n v="10"/>
    <n v="2023"/>
    <s v="Tuesday"/>
    <s v="October"/>
    <s v="2023"/>
    <d v="2023-10-10T00:00:00"/>
    <s v="CUST441"/>
    <x v="0"/>
    <x v="2"/>
    <n v="57"/>
    <x v="0"/>
    <n v="4"/>
    <n v="300"/>
    <n v="1200"/>
    <n v="18"/>
    <n v="24"/>
  </r>
  <r>
    <n v="442"/>
    <n v="17"/>
    <n v="3"/>
    <n v="2023"/>
    <s v="Friday"/>
    <s v="March"/>
    <s v="2023"/>
    <d v="2023-03-17T00:00:00"/>
    <s v="CUST442"/>
    <x v="1"/>
    <x v="2"/>
    <n v="60"/>
    <x v="0"/>
    <n v="4"/>
    <n v="25"/>
    <n v="100"/>
    <n v="1.5"/>
    <n v="2"/>
  </r>
  <r>
    <n v="443"/>
    <n v="9"/>
    <n v="8"/>
    <n v="2023"/>
    <s v="Wednesday"/>
    <s v="August"/>
    <s v="2023"/>
    <d v="2023-08-09T00:00:00"/>
    <s v="CUST443"/>
    <x v="0"/>
    <x v="1"/>
    <n v="29"/>
    <x v="0"/>
    <n v="2"/>
    <n v="300"/>
    <n v="600"/>
    <n v="9"/>
    <n v="12"/>
  </r>
  <r>
    <n v="444"/>
    <n v="7"/>
    <n v="3"/>
    <n v="2023"/>
    <s v="Tuesday"/>
    <s v="March"/>
    <s v="2023"/>
    <d v="2023-03-07T00:00:00"/>
    <s v="CUST444"/>
    <x v="1"/>
    <x v="2"/>
    <n v="61"/>
    <x v="0"/>
    <n v="3"/>
    <n v="30"/>
    <n v="90"/>
    <n v="1.3499999999999999"/>
    <n v="1.8"/>
  </r>
  <r>
    <n v="445"/>
    <n v="22"/>
    <n v="1"/>
    <n v="2023"/>
    <s v="Sunday"/>
    <s v="January"/>
    <s v="2023"/>
    <d v="2023-01-22T00:00:00"/>
    <s v="CUST445"/>
    <x v="1"/>
    <x v="2"/>
    <n v="53"/>
    <x v="0"/>
    <n v="1"/>
    <n v="300"/>
    <n v="300"/>
    <n v="4.5"/>
    <n v="6"/>
  </r>
  <r>
    <n v="446"/>
    <n v="7"/>
    <n v="6"/>
    <n v="2023"/>
    <s v="Wednesday"/>
    <s v="June"/>
    <s v="2023"/>
    <d v="2023-06-07T00:00:00"/>
    <s v="CUST446"/>
    <x v="0"/>
    <x v="1"/>
    <n v="21"/>
    <x v="0"/>
    <n v="1"/>
    <n v="50"/>
    <n v="50"/>
    <n v="0.75"/>
    <n v="1"/>
  </r>
  <r>
    <n v="447"/>
    <n v="6"/>
    <n v="7"/>
    <n v="2023"/>
    <s v="Thursday"/>
    <s v="July"/>
    <s v="2023"/>
    <d v="2023-07-06T00:00:00"/>
    <s v="CUST447"/>
    <x v="0"/>
    <x v="1"/>
    <n v="22"/>
    <x v="0"/>
    <n v="4"/>
    <n v="500"/>
    <n v="2000"/>
    <n v="30"/>
    <n v="40"/>
  </r>
  <r>
    <n v="448"/>
    <n v="21"/>
    <n v="1"/>
    <n v="2023"/>
    <s v="Saturday"/>
    <s v="January"/>
    <s v="2023"/>
    <d v="2023-01-21T00:00:00"/>
    <s v="CUST448"/>
    <x v="1"/>
    <x v="2"/>
    <n v="54"/>
    <x v="0"/>
    <n v="2"/>
    <n v="30"/>
    <n v="60"/>
    <n v="0.89999999999999991"/>
    <n v="1.2"/>
  </r>
  <r>
    <n v="449"/>
    <n v="3"/>
    <n v="7"/>
    <n v="2023"/>
    <s v="Monday"/>
    <s v="July"/>
    <s v="2023"/>
    <d v="2023-07-03T00:00:00"/>
    <s v="CUST449"/>
    <x v="0"/>
    <x v="1"/>
    <n v="25"/>
    <x v="0"/>
    <n v="4"/>
    <n v="50"/>
    <n v="200"/>
    <n v="3"/>
    <n v="4"/>
  </r>
  <r>
    <n v="450"/>
    <n v="18"/>
    <n v="4"/>
    <n v="2023"/>
    <s v="Tuesday"/>
    <s v="April"/>
    <s v="2023"/>
    <d v="2023-04-18T00:00:00"/>
    <s v="CUST450"/>
    <x v="1"/>
    <x v="2"/>
    <n v="59"/>
    <x v="0"/>
    <n v="2"/>
    <n v="25"/>
    <n v="50"/>
    <n v="0.75"/>
    <n v="1"/>
  </r>
  <r>
    <n v="451"/>
    <n v="16"/>
    <n v="12"/>
    <n v="2023"/>
    <s v="Saturday"/>
    <s v="December"/>
    <s v="2023"/>
    <d v="2023-12-16T00:00:00"/>
    <s v="CUST451"/>
    <x v="1"/>
    <x v="0"/>
    <n v="45"/>
    <x v="0"/>
    <n v="1"/>
    <n v="30"/>
    <n v="30"/>
    <n v="0.44999999999999996"/>
    <n v="0.6"/>
  </r>
  <r>
    <n v="452"/>
    <n v="8"/>
    <n v="5"/>
    <n v="2023"/>
    <s v="Monday"/>
    <s v="May"/>
    <s v="2023"/>
    <d v="2023-05-08T00:00:00"/>
    <s v="CUST452"/>
    <x v="1"/>
    <x v="0"/>
    <n v="48"/>
    <x v="0"/>
    <n v="3"/>
    <n v="500"/>
    <n v="1500"/>
    <n v="22.5"/>
    <n v="30"/>
  </r>
  <r>
    <n v="453"/>
    <n v="8"/>
    <n v="12"/>
    <n v="2023"/>
    <s v="Friday"/>
    <s v="December"/>
    <s v="2023"/>
    <d v="2023-12-08T00:00:00"/>
    <s v="CUST453"/>
    <x v="1"/>
    <x v="1"/>
    <n v="26"/>
    <x v="0"/>
    <n v="2"/>
    <n v="500"/>
    <n v="1000"/>
    <n v="15"/>
    <n v="20"/>
  </r>
  <r>
    <n v="454"/>
    <n v="22"/>
    <n v="2"/>
    <n v="2023"/>
    <s v="Wednesday"/>
    <s v="February"/>
    <s v="2023"/>
    <d v="2023-02-22T00:00:00"/>
    <s v="CUST454"/>
    <x v="1"/>
    <x v="0"/>
    <n v="46"/>
    <x v="0"/>
    <n v="1"/>
    <n v="25"/>
    <n v="25"/>
    <n v="0.375"/>
    <n v="0.5"/>
  </r>
  <r>
    <n v="455"/>
    <n v="1"/>
    <n v="7"/>
    <n v="2023"/>
    <s v="Saturday"/>
    <s v="July"/>
    <s v="2023"/>
    <d v="2023-07-01T00:00:00"/>
    <s v="CUST455"/>
    <x v="0"/>
    <x v="0"/>
    <n v="31"/>
    <x v="0"/>
    <n v="4"/>
    <n v="25"/>
    <n v="100"/>
    <n v="1.5"/>
    <n v="2"/>
  </r>
  <r>
    <n v="456"/>
    <n v="14"/>
    <n v="10"/>
    <n v="2023"/>
    <s v="Saturday"/>
    <s v="October"/>
    <s v="2023"/>
    <d v="2023-10-14T00:00:00"/>
    <s v="CUST456"/>
    <x v="0"/>
    <x v="2"/>
    <n v="57"/>
    <x v="0"/>
    <n v="2"/>
    <n v="30"/>
    <n v="60"/>
    <n v="0.89999999999999991"/>
    <n v="1.2"/>
  </r>
  <r>
    <n v="457"/>
    <n v="28"/>
    <n v="7"/>
    <n v="2023"/>
    <s v="Friday"/>
    <s v="July"/>
    <s v="2023"/>
    <d v="2023-07-28T00:00:00"/>
    <s v="CUST457"/>
    <x v="1"/>
    <x v="2"/>
    <n v="58"/>
    <x v="0"/>
    <n v="3"/>
    <n v="300"/>
    <n v="900"/>
    <n v="13.5"/>
    <n v="18"/>
  </r>
  <r>
    <n v="458"/>
    <n v="14"/>
    <n v="11"/>
    <n v="2023"/>
    <s v="Tuesday"/>
    <s v="November"/>
    <s v="2023"/>
    <d v="2023-11-14T00:00:00"/>
    <s v="CUST458"/>
    <x v="1"/>
    <x v="0"/>
    <n v="39"/>
    <x v="0"/>
    <n v="4"/>
    <n v="25"/>
    <n v="100"/>
    <n v="1.5"/>
    <n v="2"/>
  </r>
  <r>
    <n v="459"/>
    <n v="21"/>
    <n v="3"/>
    <n v="2023"/>
    <s v="Tuesday"/>
    <s v="March"/>
    <s v="2023"/>
    <d v="2023-03-21T00:00:00"/>
    <s v="CUST459"/>
    <x v="0"/>
    <x v="1"/>
    <n v="28"/>
    <x v="0"/>
    <n v="4"/>
    <n v="300"/>
    <n v="1200"/>
    <n v="18"/>
    <n v="24"/>
  </r>
  <r>
    <n v="460"/>
    <n v="2"/>
    <n v="5"/>
    <n v="2023"/>
    <s v="Tuesday"/>
    <s v="May"/>
    <s v="2023"/>
    <d v="2023-05-02T00:00:00"/>
    <s v="CUST460"/>
    <x v="0"/>
    <x v="0"/>
    <n v="40"/>
    <x v="0"/>
    <n v="1"/>
    <n v="50"/>
    <n v="50"/>
    <n v="0.75"/>
    <n v="1"/>
  </r>
  <r>
    <n v="461"/>
    <n v="25"/>
    <n v="3"/>
    <n v="2023"/>
    <s v="Saturday"/>
    <s v="March"/>
    <s v="2023"/>
    <d v="2023-03-25T00:00:00"/>
    <s v="CUST461"/>
    <x v="1"/>
    <x v="1"/>
    <n v="18"/>
    <x v="0"/>
    <n v="2"/>
    <n v="500"/>
    <n v="1000"/>
    <n v="15"/>
    <n v="20"/>
  </r>
  <r>
    <n v="462"/>
    <n v="1"/>
    <n v="4"/>
    <n v="2023"/>
    <s v="Saturday"/>
    <s v="April"/>
    <s v="2023"/>
    <d v="2023-04-01T00:00:00"/>
    <s v="CUST462"/>
    <x v="0"/>
    <x v="2"/>
    <n v="63"/>
    <x v="0"/>
    <n v="4"/>
    <n v="300"/>
    <n v="1200"/>
    <n v="18"/>
    <n v="24"/>
  </r>
  <r>
    <n v="463"/>
    <n v="31"/>
    <n v="7"/>
    <n v="2023"/>
    <s v="Monday"/>
    <s v="July"/>
    <s v="2023"/>
    <d v="2023-07-31T00:00:00"/>
    <s v="CUST463"/>
    <x v="1"/>
    <x v="2"/>
    <n v="54"/>
    <x v="0"/>
    <n v="3"/>
    <n v="500"/>
    <n v="1500"/>
    <n v="22.5"/>
    <n v="30"/>
  </r>
  <r>
    <n v="464"/>
    <n v="13"/>
    <n v="1"/>
    <n v="2023"/>
    <s v="Friday"/>
    <s v="January"/>
    <s v="2023"/>
    <d v="2023-01-13T00:00:00"/>
    <s v="CUST464"/>
    <x v="0"/>
    <x v="0"/>
    <n v="38"/>
    <x v="0"/>
    <n v="2"/>
    <n v="300"/>
    <n v="600"/>
    <n v="9"/>
    <n v="12"/>
  </r>
  <r>
    <n v="465"/>
    <n v="2"/>
    <n v="4"/>
    <n v="2023"/>
    <s v="Sunday"/>
    <s v="April"/>
    <s v="2023"/>
    <d v="2023-04-02T00:00:00"/>
    <s v="CUST465"/>
    <x v="1"/>
    <x v="0"/>
    <n v="43"/>
    <x v="0"/>
    <n v="3"/>
    <n v="50"/>
    <n v="150"/>
    <n v="2.25"/>
    <n v="3"/>
  </r>
  <r>
    <n v="466"/>
    <n v="20"/>
    <n v="6"/>
    <n v="2023"/>
    <s v="Tuesday"/>
    <s v="June"/>
    <s v="2023"/>
    <d v="2023-06-20T00:00:00"/>
    <s v="CUST466"/>
    <x v="0"/>
    <x v="2"/>
    <n v="63"/>
    <x v="0"/>
    <n v="4"/>
    <n v="25"/>
    <n v="100"/>
    <n v="1.5"/>
    <n v="2"/>
  </r>
  <r>
    <n v="467"/>
    <n v="30"/>
    <n v="7"/>
    <n v="2023"/>
    <s v="Sunday"/>
    <s v="July"/>
    <s v="2023"/>
    <d v="2023-07-30T00:00:00"/>
    <s v="CUST467"/>
    <x v="1"/>
    <x v="2"/>
    <n v="53"/>
    <x v="0"/>
    <n v="3"/>
    <n v="50"/>
    <n v="150"/>
    <n v="2.25"/>
    <n v="3"/>
  </r>
  <r>
    <n v="468"/>
    <n v="9"/>
    <n v="12"/>
    <n v="2023"/>
    <s v="Saturday"/>
    <s v="December"/>
    <s v="2023"/>
    <d v="2023-12-09T00:00:00"/>
    <s v="CUST468"/>
    <x v="0"/>
    <x v="0"/>
    <n v="40"/>
    <x v="0"/>
    <n v="1"/>
    <n v="25"/>
    <n v="25"/>
    <n v="0.375"/>
    <n v="0.5"/>
  </r>
  <r>
    <n v="469"/>
    <n v="8"/>
    <n v="5"/>
    <n v="2023"/>
    <s v="Monday"/>
    <s v="May"/>
    <s v="2023"/>
    <d v="2023-05-08T00:00:00"/>
    <s v="CUST469"/>
    <x v="0"/>
    <x v="1"/>
    <n v="18"/>
    <x v="0"/>
    <n v="3"/>
    <n v="25"/>
    <n v="75"/>
    <n v="1.125"/>
    <n v="1.5"/>
  </r>
  <r>
    <n v="470"/>
    <n v="17"/>
    <n v="5"/>
    <n v="2023"/>
    <s v="Wednesday"/>
    <s v="May"/>
    <s v="2023"/>
    <d v="2023-05-17T00:00:00"/>
    <s v="CUST470"/>
    <x v="1"/>
    <x v="2"/>
    <n v="57"/>
    <x v="0"/>
    <n v="2"/>
    <n v="500"/>
    <n v="1000"/>
    <n v="15"/>
    <n v="20"/>
  </r>
  <r>
    <n v="471"/>
    <n v="23"/>
    <n v="3"/>
    <n v="2023"/>
    <s v="Thursday"/>
    <s v="March"/>
    <s v="2023"/>
    <d v="2023-03-23T00:00:00"/>
    <s v="CUST471"/>
    <x v="0"/>
    <x v="0"/>
    <n v="32"/>
    <x v="0"/>
    <n v="3"/>
    <n v="50"/>
    <n v="150"/>
    <n v="2.25"/>
    <n v="3"/>
  </r>
  <r>
    <n v="472"/>
    <n v="26"/>
    <n v="12"/>
    <n v="2023"/>
    <s v="Tuesday"/>
    <s v="December"/>
    <s v="2023"/>
    <d v="2023-12-26T00:00:00"/>
    <s v="CUST472"/>
    <x v="1"/>
    <x v="0"/>
    <n v="38"/>
    <x v="0"/>
    <n v="3"/>
    <n v="300"/>
    <n v="900"/>
    <n v="13.5"/>
    <n v="18"/>
  </r>
  <r>
    <n v="473"/>
    <n v="25"/>
    <n v="2"/>
    <n v="2023"/>
    <s v="Saturday"/>
    <s v="February"/>
    <s v="2023"/>
    <d v="2023-02-25T00:00:00"/>
    <s v="CUST473"/>
    <x v="0"/>
    <x v="2"/>
    <n v="64"/>
    <x v="0"/>
    <n v="1"/>
    <n v="50"/>
    <n v="50"/>
    <n v="0.75"/>
    <n v="1"/>
  </r>
  <r>
    <n v="474"/>
    <n v="15"/>
    <n v="7"/>
    <n v="2023"/>
    <s v="Saturday"/>
    <s v="July"/>
    <s v="2023"/>
    <d v="2023-07-15T00:00:00"/>
    <s v="CUST474"/>
    <x v="1"/>
    <x v="1"/>
    <n v="26"/>
    <x v="0"/>
    <n v="3"/>
    <n v="500"/>
    <n v="1500"/>
    <n v="22.5"/>
    <n v="30"/>
  </r>
  <r>
    <n v="475"/>
    <n v="20"/>
    <n v="1"/>
    <n v="2023"/>
    <s v="Friday"/>
    <s v="January"/>
    <s v="2023"/>
    <d v="2023-01-20T00:00:00"/>
    <s v="CUST475"/>
    <x v="0"/>
    <x v="1"/>
    <n v="26"/>
    <x v="0"/>
    <n v="3"/>
    <n v="25"/>
    <n v="75"/>
    <n v="1.125"/>
    <n v="1.5"/>
  </r>
  <r>
    <n v="476"/>
    <n v="29"/>
    <n v="8"/>
    <n v="2023"/>
    <s v="Tuesday"/>
    <s v="August"/>
    <s v="2023"/>
    <d v="2023-08-29T00:00:00"/>
    <s v="CUST476"/>
    <x v="1"/>
    <x v="1"/>
    <n v="27"/>
    <x v="0"/>
    <n v="4"/>
    <n v="500"/>
    <n v="2000"/>
    <n v="30"/>
    <n v="40"/>
  </r>
  <r>
    <n v="477"/>
    <n v="24"/>
    <n v="4"/>
    <n v="2023"/>
    <s v="Monday"/>
    <s v="April"/>
    <s v="2023"/>
    <d v="2023-04-24T00:00:00"/>
    <s v="CUST477"/>
    <x v="0"/>
    <x v="0"/>
    <n v="43"/>
    <x v="0"/>
    <n v="4"/>
    <n v="30"/>
    <n v="120"/>
    <n v="1.7999999999999998"/>
    <n v="2.4"/>
  </r>
  <r>
    <n v="478"/>
    <n v="13"/>
    <n v="4"/>
    <n v="2023"/>
    <s v="Thursday"/>
    <s v="April"/>
    <s v="2023"/>
    <d v="2023-04-13T00:00:00"/>
    <s v="CUST478"/>
    <x v="1"/>
    <x v="2"/>
    <n v="58"/>
    <x v="0"/>
    <n v="2"/>
    <n v="30"/>
    <n v="60"/>
    <n v="0.89999999999999991"/>
    <n v="1.2"/>
  </r>
  <r>
    <n v="479"/>
    <n v="24"/>
    <n v="8"/>
    <n v="2023"/>
    <s v="Thursday"/>
    <s v="August"/>
    <s v="2023"/>
    <d v="2023-08-24T00:00:00"/>
    <s v="CUST479"/>
    <x v="0"/>
    <x v="2"/>
    <n v="52"/>
    <x v="0"/>
    <n v="4"/>
    <n v="300"/>
    <n v="1200"/>
    <n v="18"/>
    <n v="24"/>
  </r>
  <r>
    <n v="480"/>
    <n v="29"/>
    <n v="6"/>
    <n v="2023"/>
    <s v="Thursday"/>
    <s v="June"/>
    <s v="2023"/>
    <d v="2023-06-29T00:00:00"/>
    <s v="CUST480"/>
    <x v="1"/>
    <x v="0"/>
    <n v="42"/>
    <x v="0"/>
    <n v="4"/>
    <n v="500"/>
    <n v="2000"/>
    <n v="30"/>
    <n v="40"/>
  </r>
  <r>
    <n v="481"/>
    <n v="6"/>
    <n v="6"/>
    <n v="2023"/>
    <s v="Tuesday"/>
    <s v="June"/>
    <s v="2023"/>
    <d v="2023-06-06T00:00:00"/>
    <s v="CUST481"/>
    <x v="1"/>
    <x v="0"/>
    <n v="43"/>
    <x v="0"/>
    <n v="4"/>
    <n v="300"/>
    <n v="1200"/>
    <n v="18"/>
    <n v="24"/>
  </r>
  <r>
    <n v="482"/>
    <n v="27"/>
    <n v="4"/>
    <n v="2023"/>
    <s v="Thursday"/>
    <s v="April"/>
    <s v="2023"/>
    <d v="2023-04-27T00:00:00"/>
    <s v="CUST482"/>
    <x v="1"/>
    <x v="1"/>
    <n v="28"/>
    <x v="0"/>
    <n v="4"/>
    <n v="300"/>
    <n v="1200"/>
    <n v="18"/>
    <n v="24"/>
  </r>
  <r>
    <n v="483"/>
    <n v="25"/>
    <n v="4"/>
    <n v="2023"/>
    <s v="Tuesday"/>
    <s v="April"/>
    <s v="2023"/>
    <d v="2023-04-25T00:00:00"/>
    <s v="CUST483"/>
    <x v="0"/>
    <x v="2"/>
    <n v="55"/>
    <x v="0"/>
    <n v="1"/>
    <n v="30"/>
    <n v="30"/>
    <n v="0.44999999999999996"/>
    <n v="0.6"/>
  </r>
  <r>
    <n v="484"/>
    <n v="13"/>
    <n v="1"/>
    <n v="2023"/>
    <s v="Friday"/>
    <s v="January"/>
    <s v="2023"/>
    <d v="2023-01-13T00:00:00"/>
    <s v="CUST484"/>
    <x v="1"/>
    <x v="1"/>
    <n v="19"/>
    <x v="0"/>
    <n v="4"/>
    <n v="300"/>
    <n v="1200"/>
    <n v="18"/>
    <n v="24"/>
  </r>
  <r>
    <n v="485"/>
    <n v="4"/>
    <n v="12"/>
    <n v="2023"/>
    <s v="Monday"/>
    <s v="December"/>
    <s v="2023"/>
    <d v="2023-12-04T00:00:00"/>
    <s v="CUST485"/>
    <x v="0"/>
    <x v="1"/>
    <n v="24"/>
    <x v="0"/>
    <n v="1"/>
    <n v="30"/>
    <n v="30"/>
    <n v="0.44999999999999996"/>
    <n v="0.6"/>
  </r>
  <r>
    <n v="486"/>
    <n v="9"/>
    <n v="4"/>
    <n v="2023"/>
    <s v="Sunday"/>
    <s v="April"/>
    <s v="2023"/>
    <d v="2023-04-09T00:00:00"/>
    <s v="CUST486"/>
    <x v="1"/>
    <x v="0"/>
    <n v="35"/>
    <x v="0"/>
    <n v="1"/>
    <n v="25"/>
    <n v="25"/>
    <n v="0.375"/>
    <n v="0.5"/>
  </r>
  <r>
    <n v="487"/>
    <n v="24"/>
    <n v="7"/>
    <n v="2023"/>
    <s v="Monday"/>
    <s v="July"/>
    <s v="2023"/>
    <d v="2023-07-24T00:00:00"/>
    <s v="CUST487"/>
    <x v="0"/>
    <x v="0"/>
    <n v="44"/>
    <x v="0"/>
    <n v="4"/>
    <n v="500"/>
    <n v="2000"/>
    <n v="30"/>
    <n v="40"/>
  </r>
  <r>
    <n v="488"/>
    <n v="18"/>
    <n v="6"/>
    <n v="2023"/>
    <s v="Sunday"/>
    <s v="June"/>
    <s v="2023"/>
    <d v="2023-06-18T00:00:00"/>
    <s v="CUST488"/>
    <x v="1"/>
    <x v="2"/>
    <n v="51"/>
    <x v="0"/>
    <n v="3"/>
    <n v="300"/>
    <n v="900"/>
    <n v="13.5"/>
    <n v="18"/>
  </r>
  <r>
    <n v="489"/>
    <n v="23"/>
    <n v="5"/>
    <n v="2023"/>
    <s v="Tuesday"/>
    <s v="May"/>
    <s v="2023"/>
    <d v="2023-05-23T00:00:00"/>
    <s v="CUST489"/>
    <x v="0"/>
    <x v="0"/>
    <n v="44"/>
    <x v="0"/>
    <n v="1"/>
    <n v="30"/>
    <n v="30"/>
    <n v="0.44999999999999996"/>
    <n v="0.6"/>
  </r>
  <r>
    <n v="490"/>
    <n v="5"/>
    <n v="2"/>
    <n v="2023"/>
    <s v="Sunday"/>
    <s v="February"/>
    <s v="2023"/>
    <d v="2023-02-05T00:00:00"/>
    <s v="CUST490"/>
    <x v="0"/>
    <x v="0"/>
    <n v="34"/>
    <x v="0"/>
    <n v="3"/>
    <n v="50"/>
    <n v="150"/>
    <n v="2.25"/>
    <n v="3"/>
  </r>
  <r>
    <n v="491"/>
    <n v="23"/>
    <n v="5"/>
    <n v="2023"/>
    <s v="Tuesday"/>
    <s v="May"/>
    <s v="2023"/>
    <d v="2023-05-23T00:00:00"/>
    <s v="CUST491"/>
    <x v="1"/>
    <x v="2"/>
    <n v="60"/>
    <x v="0"/>
    <n v="3"/>
    <n v="300"/>
    <n v="900"/>
    <n v="13.5"/>
    <n v="18"/>
  </r>
  <r>
    <n v="492"/>
    <n v="29"/>
    <n v="6"/>
    <n v="2023"/>
    <s v="Thursday"/>
    <s v="June"/>
    <s v="2023"/>
    <d v="2023-06-29T00:00:00"/>
    <s v="CUST492"/>
    <x v="0"/>
    <x v="2"/>
    <n v="61"/>
    <x v="0"/>
    <n v="4"/>
    <n v="25"/>
    <n v="100"/>
    <n v="1.5"/>
    <n v="2"/>
  </r>
  <r>
    <n v="493"/>
    <n v="25"/>
    <n v="11"/>
    <n v="2023"/>
    <s v="Saturday"/>
    <s v="November"/>
    <s v="2023"/>
    <d v="2023-11-25T00:00:00"/>
    <s v="CUST493"/>
    <x v="0"/>
    <x v="0"/>
    <n v="41"/>
    <x v="0"/>
    <n v="2"/>
    <n v="25"/>
    <n v="50"/>
    <n v="0.75"/>
    <n v="1"/>
  </r>
  <r>
    <n v="494"/>
    <n v="18"/>
    <n v="9"/>
    <n v="2023"/>
    <s v="Monday"/>
    <s v="September"/>
    <s v="2023"/>
    <d v="2023-09-18T00:00:00"/>
    <s v="CUST494"/>
    <x v="1"/>
    <x v="0"/>
    <n v="42"/>
    <x v="0"/>
    <n v="4"/>
    <n v="50"/>
    <n v="200"/>
    <n v="3"/>
    <n v="4"/>
  </r>
  <r>
    <n v="495"/>
    <n v="24"/>
    <n v="7"/>
    <n v="2023"/>
    <s v="Monday"/>
    <s v="July"/>
    <s v="2023"/>
    <d v="2023-07-24T00:00:00"/>
    <s v="CUST495"/>
    <x v="0"/>
    <x v="1"/>
    <n v="24"/>
    <x v="0"/>
    <n v="2"/>
    <n v="30"/>
    <n v="60"/>
    <n v="0.89999999999999991"/>
    <n v="1.2"/>
  </r>
  <r>
    <n v="496"/>
    <n v="14"/>
    <n v="12"/>
    <n v="2023"/>
    <s v="Thursday"/>
    <s v="December"/>
    <s v="2023"/>
    <d v="2023-12-14T00:00:00"/>
    <s v="CUST496"/>
    <x v="0"/>
    <x v="1"/>
    <n v="23"/>
    <x v="0"/>
    <n v="2"/>
    <n v="300"/>
    <n v="600"/>
    <n v="9"/>
    <n v="12"/>
  </r>
  <r>
    <n v="497"/>
    <n v="2"/>
    <n v="10"/>
    <n v="2023"/>
    <s v="Monday"/>
    <s v="October"/>
    <s v="2023"/>
    <d v="2023-10-02T00:00:00"/>
    <s v="CUST497"/>
    <x v="0"/>
    <x v="0"/>
    <n v="41"/>
    <x v="0"/>
    <n v="4"/>
    <n v="30"/>
    <n v="120"/>
    <n v="1.7999999999999998"/>
    <n v="2.4"/>
  </r>
  <r>
    <n v="498"/>
    <n v="19"/>
    <n v="6"/>
    <n v="2023"/>
    <s v="Monday"/>
    <s v="June"/>
    <s v="2023"/>
    <d v="2023-06-19T00:00:00"/>
    <s v="CUST498"/>
    <x v="1"/>
    <x v="0"/>
    <n v="50"/>
    <x v="0"/>
    <n v="4"/>
    <n v="25"/>
    <n v="100"/>
    <n v="1.5"/>
    <n v="2"/>
  </r>
  <r>
    <n v="499"/>
    <n v="15"/>
    <n v="1"/>
    <n v="2023"/>
    <s v="Sunday"/>
    <s v="January"/>
    <s v="2023"/>
    <d v="2023-01-15T00:00:00"/>
    <s v="CUST499"/>
    <x v="0"/>
    <x v="0"/>
    <n v="46"/>
    <x v="0"/>
    <n v="2"/>
    <n v="30"/>
    <n v="60"/>
    <n v="0.89999999999999991"/>
    <n v="1.2"/>
  </r>
  <r>
    <n v="500"/>
    <n v="1"/>
    <n v="3"/>
    <n v="2023"/>
    <s v="Wednesday"/>
    <s v="March"/>
    <s v="2023"/>
    <d v="2023-03-01T00:00:00"/>
    <s v="CUST500"/>
    <x v="1"/>
    <x v="2"/>
    <n v="60"/>
    <x v="0"/>
    <n v="4"/>
    <n v="25"/>
    <n v="100"/>
    <n v="1.5"/>
    <n v="2"/>
  </r>
  <r>
    <n v="501"/>
    <n v="14"/>
    <n v="5"/>
    <n v="2023"/>
    <s v="Sunday"/>
    <s v="May"/>
    <s v="2023"/>
    <d v="2023-05-14T00:00:00"/>
    <s v="CUST501"/>
    <x v="0"/>
    <x v="0"/>
    <n v="39"/>
    <x v="0"/>
    <n v="2"/>
    <n v="30"/>
    <n v="60"/>
    <n v="0.89999999999999991"/>
    <n v="1.2"/>
  </r>
  <r>
    <n v="502"/>
    <n v="2"/>
    <n v="4"/>
    <n v="2023"/>
    <s v="Sunday"/>
    <s v="April"/>
    <s v="2023"/>
    <d v="2023-04-02T00:00:00"/>
    <s v="CUST502"/>
    <x v="0"/>
    <x v="0"/>
    <n v="43"/>
    <x v="0"/>
    <n v="3"/>
    <n v="50"/>
    <n v="150"/>
    <n v="2.25"/>
    <n v="3"/>
  </r>
  <r>
    <n v="503"/>
    <n v="25"/>
    <n v="10"/>
    <n v="2023"/>
    <s v="Wednesday"/>
    <s v="October"/>
    <s v="2023"/>
    <d v="2023-10-25T00:00:00"/>
    <s v="CUST503"/>
    <x v="0"/>
    <x v="0"/>
    <n v="45"/>
    <x v="0"/>
    <n v="4"/>
    <n v="500"/>
    <n v="2000"/>
    <n v="30"/>
    <n v="40"/>
  </r>
  <r>
    <n v="504"/>
    <n v="16"/>
    <n v="5"/>
    <n v="2023"/>
    <s v="Tuesday"/>
    <s v="May"/>
    <s v="2023"/>
    <d v="2023-05-16T00:00:00"/>
    <s v="CUST504"/>
    <x v="1"/>
    <x v="0"/>
    <n v="38"/>
    <x v="0"/>
    <n v="3"/>
    <n v="50"/>
    <n v="150"/>
    <n v="2.25"/>
    <n v="3"/>
  </r>
  <r>
    <n v="505"/>
    <n v="20"/>
    <n v="1"/>
    <n v="2023"/>
    <s v="Friday"/>
    <s v="January"/>
    <s v="2023"/>
    <d v="2023-01-20T00:00:00"/>
    <s v="CUST505"/>
    <x v="0"/>
    <x v="1"/>
    <n v="24"/>
    <x v="0"/>
    <n v="1"/>
    <n v="50"/>
    <n v="50"/>
    <n v="0.75"/>
    <n v="1"/>
  </r>
  <r>
    <n v="506"/>
    <n v="25"/>
    <n v="2"/>
    <n v="2023"/>
    <s v="Saturday"/>
    <s v="February"/>
    <s v="2023"/>
    <d v="2023-02-25T00:00:00"/>
    <s v="CUST506"/>
    <x v="0"/>
    <x v="0"/>
    <n v="34"/>
    <x v="0"/>
    <n v="3"/>
    <n v="500"/>
    <n v="1500"/>
    <n v="22.5"/>
    <n v="30"/>
  </r>
  <r>
    <n v="507"/>
    <n v="2"/>
    <n v="11"/>
    <n v="2023"/>
    <s v="Thursday"/>
    <s v="November"/>
    <s v="2023"/>
    <d v="2023-11-02T00:00:00"/>
    <s v="CUST507"/>
    <x v="1"/>
    <x v="0"/>
    <n v="37"/>
    <x v="0"/>
    <n v="3"/>
    <n v="500"/>
    <n v="1500"/>
    <n v="22.5"/>
    <n v="30"/>
  </r>
  <r>
    <n v="508"/>
    <n v="11"/>
    <n v="8"/>
    <n v="2023"/>
    <s v="Friday"/>
    <s v="August"/>
    <s v="2023"/>
    <d v="2023-08-11T00:00:00"/>
    <s v="CUST508"/>
    <x v="0"/>
    <x v="2"/>
    <n v="58"/>
    <x v="0"/>
    <n v="2"/>
    <n v="300"/>
    <n v="600"/>
    <n v="9"/>
    <n v="12"/>
  </r>
  <r>
    <n v="509"/>
    <n v="26"/>
    <n v="6"/>
    <n v="2023"/>
    <s v="Monday"/>
    <s v="June"/>
    <s v="2023"/>
    <d v="2023-06-26T00:00:00"/>
    <s v="CUST509"/>
    <x v="1"/>
    <x v="0"/>
    <n v="37"/>
    <x v="0"/>
    <n v="3"/>
    <n v="300"/>
    <n v="900"/>
    <n v="13.5"/>
    <n v="18"/>
  </r>
  <r>
    <n v="510"/>
    <n v="10"/>
    <n v="6"/>
    <n v="2023"/>
    <s v="Saturday"/>
    <s v="June"/>
    <s v="2023"/>
    <d v="2023-06-10T00:00:00"/>
    <s v="CUST510"/>
    <x v="1"/>
    <x v="0"/>
    <n v="39"/>
    <x v="0"/>
    <n v="4"/>
    <n v="50"/>
    <n v="200"/>
    <n v="3"/>
    <n v="4"/>
  </r>
  <r>
    <n v="511"/>
    <n v="12"/>
    <n v="8"/>
    <n v="2023"/>
    <s v="Saturday"/>
    <s v="August"/>
    <s v="2023"/>
    <d v="2023-08-12T00:00:00"/>
    <s v="CUST511"/>
    <x v="0"/>
    <x v="0"/>
    <n v="45"/>
    <x v="0"/>
    <n v="2"/>
    <n v="50"/>
    <n v="100"/>
    <n v="1.5"/>
    <n v="2"/>
  </r>
  <r>
    <n v="512"/>
    <n v="7"/>
    <n v="11"/>
    <n v="2023"/>
    <s v="Tuesday"/>
    <s v="November"/>
    <s v="2023"/>
    <d v="2023-11-07T00:00:00"/>
    <s v="CUST512"/>
    <x v="1"/>
    <x v="2"/>
    <n v="57"/>
    <x v="0"/>
    <n v="1"/>
    <n v="25"/>
    <n v="25"/>
    <n v="0.375"/>
    <n v="0.5"/>
  </r>
  <r>
    <n v="513"/>
    <n v="19"/>
    <n v="9"/>
    <n v="2023"/>
    <s v="Tuesday"/>
    <s v="September"/>
    <s v="2023"/>
    <d v="2023-09-19T00:00:00"/>
    <s v="CUST513"/>
    <x v="0"/>
    <x v="1"/>
    <n v="24"/>
    <x v="0"/>
    <n v="4"/>
    <n v="25"/>
    <n v="100"/>
    <n v="1.5"/>
    <n v="2"/>
  </r>
  <r>
    <n v="514"/>
    <n v="1"/>
    <n v="3"/>
    <n v="2023"/>
    <s v="Wednesday"/>
    <s v="March"/>
    <s v="2023"/>
    <d v="2023-03-01T00:00:00"/>
    <s v="CUST514"/>
    <x v="1"/>
    <x v="1"/>
    <n v="18"/>
    <x v="0"/>
    <n v="1"/>
    <n v="300"/>
    <n v="300"/>
    <n v="4.5"/>
    <n v="6"/>
  </r>
  <r>
    <n v="515"/>
    <n v="17"/>
    <n v="7"/>
    <n v="2023"/>
    <s v="Monday"/>
    <s v="July"/>
    <s v="2023"/>
    <d v="2023-07-17T00:00:00"/>
    <s v="CUST515"/>
    <x v="1"/>
    <x v="0"/>
    <n v="49"/>
    <x v="0"/>
    <n v="3"/>
    <n v="300"/>
    <n v="900"/>
    <n v="13.5"/>
    <n v="18"/>
  </r>
  <r>
    <n v="516"/>
    <n v="23"/>
    <n v="10"/>
    <n v="2023"/>
    <s v="Monday"/>
    <s v="October"/>
    <s v="2023"/>
    <d v="2023-10-23T00:00:00"/>
    <s v="CUST516"/>
    <x v="0"/>
    <x v="0"/>
    <n v="30"/>
    <x v="0"/>
    <n v="4"/>
    <n v="25"/>
    <n v="100"/>
    <n v="1.5"/>
    <n v="2"/>
  </r>
  <r>
    <n v="517"/>
    <n v="8"/>
    <n v="4"/>
    <n v="2023"/>
    <s v="Saturday"/>
    <s v="April"/>
    <s v="2023"/>
    <d v="2023-04-08T00:00:00"/>
    <s v="CUST517"/>
    <x v="1"/>
    <x v="0"/>
    <n v="47"/>
    <x v="0"/>
    <n v="4"/>
    <n v="25"/>
    <n v="100"/>
    <n v="1.5"/>
    <n v="2"/>
  </r>
  <r>
    <n v="518"/>
    <n v="11"/>
    <n v="5"/>
    <n v="2023"/>
    <s v="Thursday"/>
    <s v="May"/>
    <s v="2023"/>
    <d v="2023-05-11T00:00:00"/>
    <s v="CUST518"/>
    <x v="1"/>
    <x v="0"/>
    <n v="40"/>
    <x v="0"/>
    <n v="1"/>
    <n v="30"/>
    <n v="30"/>
    <n v="0.44999999999999996"/>
    <n v="0.6"/>
  </r>
  <r>
    <n v="519"/>
    <n v="23"/>
    <n v="1"/>
    <n v="2023"/>
    <s v="Monday"/>
    <s v="January"/>
    <s v="2023"/>
    <d v="2023-01-23T00:00:00"/>
    <s v="CUST519"/>
    <x v="1"/>
    <x v="0"/>
    <n v="36"/>
    <x v="0"/>
    <n v="4"/>
    <n v="30"/>
    <n v="120"/>
    <n v="1.7999999999999998"/>
    <n v="2.4"/>
  </r>
  <r>
    <n v="520"/>
    <n v="29"/>
    <n v="12"/>
    <n v="2023"/>
    <s v="Friday"/>
    <s v="December"/>
    <s v="2023"/>
    <d v="2023-12-29T00:00:00"/>
    <s v="CUST520"/>
    <x v="1"/>
    <x v="0"/>
    <n v="49"/>
    <x v="1"/>
    <n v="4"/>
    <n v="25"/>
    <n v="100"/>
    <n v="1.5"/>
    <n v="2"/>
  </r>
  <r>
    <n v="521"/>
    <n v="12"/>
    <n v="8"/>
    <n v="2023"/>
    <s v="Saturday"/>
    <s v="August"/>
    <s v="2023"/>
    <d v="2023-08-12T00:00:00"/>
    <s v="CUST521"/>
    <x v="1"/>
    <x v="0"/>
    <n v="47"/>
    <x v="2"/>
    <n v="4"/>
    <n v="30"/>
    <n v="120"/>
    <n v="1.7999999999999998"/>
    <n v="2.4"/>
  </r>
  <r>
    <n v="522"/>
    <n v="1"/>
    <n v="1"/>
    <n v="2023"/>
    <s v="Sunday"/>
    <s v="January"/>
    <s v="2023"/>
    <d v="2023-01-01T00:00:00"/>
    <s v="CUST522"/>
    <x v="0"/>
    <x v="0"/>
    <n v="46"/>
    <x v="0"/>
    <n v="3"/>
    <n v="500"/>
    <n v="1500"/>
    <n v="22.5"/>
    <n v="30"/>
  </r>
  <r>
    <n v="523"/>
    <n v="24"/>
    <n v="9"/>
    <n v="2023"/>
    <s v="Sunday"/>
    <s v="September"/>
    <s v="2023"/>
    <d v="2023-09-24T00:00:00"/>
    <s v="CUST523"/>
    <x v="1"/>
    <x v="2"/>
    <n v="62"/>
    <x v="1"/>
    <n v="1"/>
    <n v="300"/>
    <n v="300"/>
    <n v="4.5"/>
    <n v="6"/>
  </r>
  <r>
    <n v="524"/>
    <n v="3"/>
    <n v="10"/>
    <n v="2023"/>
    <s v="Tuesday"/>
    <s v="October"/>
    <s v="2023"/>
    <d v="2023-10-03T00:00:00"/>
    <s v="CUST524"/>
    <x v="0"/>
    <x v="0"/>
    <n v="46"/>
    <x v="0"/>
    <n v="4"/>
    <n v="300"/>
    <n v="1200"/>
    <n v="18"/>
    <n v="24"/>
  </r>
  <r>
    <n v="525"/>
    <n v="18"/>
    <n v="12"/>
    <n v="2023"/>
    <s v="Monday"/>
    <s v="December"/>
    <s v="2023"/>
    <d v="2023-12-18T00:00:00"/>
    <s v="CUST525"/>
    <x v="1"/>
    <x v="0"/>
    <n v="47"/>
    <x v="0"/>
    <n v="2"/>
    <n v="25"/>
    <n v="50"/>
    <n v="0.75"/>
    <n v="1"/>
  </r>
  <r>
    <n v="526"/>
    <n v="10"/>
    <n v="12"/>
    <n v="2023"/>
    <s v="Sunday"/>
    <s v="December"/>
    <s v="2023"/>
    <d v="2023-12-10T00:00:00"/>
    <s v="CUST526"/>
    <x v="0"/>
    <x v="0"/>
    <n v="33"/>
    <x v="2"/>
    <n v="2"/>
    <n v="50"/>
    <n v="100"/>
    <n v="1.5"/>
    <n v="2"/>
  </r>
  <r>
    <n v="527"/>
    <n v="11"/>
    <n v="4"/>
    <n v="2023"/>
    <s v="Tuesday"/>
    <s v="April"/>
    <s v="2023"/>
    <d v="2023-04-11T00:00:00"/>
    <s v="CUST527"/>
    <x v="0"/>
    <x v="2"/>
    <n v="57"/>
    <x v="2"/>
    <n v="2"/>
    <n v="25"/>
    <n v="50"/>
    <n v="0.75"/>
    <n v="1"/>
  </r>
  <r>
    <n v="528"/>
    <n v="6"/>
    <n v="7"/>
    <n v="2023"/>
    <s v="Thursday"/>
    <s v="July"/>
    <s v="2023"/>
    <d v="2023-07-06T00:00:00"/>
    <s v="CUST528"/>
    <x v="1"/>
    <x v="0"/>
    <n v="36"/>
    <x v="2"/>
    <n v="2"/>
    <n v="30"/>
    <n v="60"/>
    <n v="0.89999999999999991"/>
    <n v="1.2"/>
  </r>
  <r>
    <n v="529"/>
    <n v="9"/>
    <n v="8"/>
    <n v="2023"/>
    <s v="Wednesday"/>
    <s v="August"/>
    <s v="2023"/>
    <d v="2023-08-09T00:00:00"/>
    <s v="CUST529"/>
    <x v="1"/>
    <x v="0"/>
    <n v="35"/>
    <x v="2"/>
    <n v="3"/>
    <n v="50"/>
    <n v="150"/>
    <n v="2.25"/>
    <n v="3"/>
  </r>
  <r>
    <n v="530"/>
    <n v="5"/>
    <n v="2"/>
    <n v="2023"/>
    <s v="Sunday"/>
    <s v="February"/>
    <s v="2023"/>
    <d v="2023-02-05T00:00:00"/>
    <s v="CUST530"/>
    <x v="1"/>
    <x v="1"/>
    <n v="18"/>
    <x v="1"/>
    <n v="4"/>
    <n v="30"/>
    <n v="120"/>
    <n v="1.7999999999999998"/>
    <n v="2.4"/>
  </r>
  <r>
    <n v="531"/>
    <n v="7"/>
    <n v="12"/>
    <n v="2023"/>
    <s v="Thursday"/>
    <s v="December"/>
    <s v="2023"/>
    <d v="2023-12-07T00:00:00"/>
    <s v="CUST531"/>
    <x v="0"/>
    <x v="0"/>
    <n v="31"/>
    <x v="1"/>
    <n v="1"/>
    <n v="500"/>
    <n v="500"/>
    <n v="7.5"/>
    <n v="10"/>
  </r>
  <r>
    <n v="532"/>
    <n v="19"/>
    <n v="6"/>
    <n v="2023"/>
    <s v="Monday"/>
    <s v="June"/>
    <s v="2023"/>
    <d v="2023-06-19T00:00:00"/>
    <s v="CUST532"/>
    <x v="1"/>
    <x v="2"/>
    <n v="64"/>
    <x v="2"/>
    <n v="4"/>
    <n v="30"/>
    <n v="120"/>
    <n v="1.7999999999999998"/>
    <n v="2.4"/>
  </r>
  <r>
    <n v="533"/>
    <n v="16"/>
    <n v="11"/>
    <n v="2023"/>
    <s v="Thursday"/>
    <s v="November"/>
    <s v="2023"/>
    <d v="2023-11-16T00:00:00"/>
    <s v="CUST533"/>
    <x v="0"/>
    <x v="1"/>
    <n v="19"/>
    <x v="1"/>
    <n v="3"/>
    <n v="500"/>
    <n v="1500"/>
    <n v="22.5"/>
    <n v="30"/>
  </r>
  <r>
    <n v="534"/>
    <n v="10"/>
    <n v="6"/>
    <n v="2023"/>
    <s v="Saturday"/>
    <s v="June"/>
    <s v="2023"/>
    <d v="2023-06-10T00:00:00"/>
    <s v="CUST534"/>
    <x v="0"/>
    <x v="0"/>
    <n v="45"/>
    <x v="2"/>
    <n v="2"/>
    <n v="500"/>
    <n v="1000"/>
    <n v="15"/>
    <n v="20"/>
  </r>
  <r>
    <n v="535"/>
    <n v="6"/>
    <n v="12"/>
    <n v="2023"/>
    <s v="Wednesday"/>
    <s v="December"/>
    <s v="2023"/>
    <d v="2023-12-06T00:00:00"/>
    <s v="CUST535"/>
    <x v="0"/>
    <x v="0"/>
    <n v="47"/>
    <x v="0"/>
    <n v="3"/>
    <n v="30"/>
    <n v="90"/>
    <n v="1.3499999999999999"/>
    <n v="1.8"/>
  </r>
  <r>
    <n v="536"/>
    <n v="5"/>
    <n v="3"/>
    <n v="2023"/>
    <s v="Sunday"/>
    <s v="March"/>
    <s v="2023"/>
    <d v="2023-03-05T00:00:00"/>
    <s v="CUST536"/>
    <x v="1"/>
    <x v="2"/>
    <n v="55"/>
    <x v="0"/>
    <n v="4"/>
    <n v="30"/>
    <n v="120"/>
    <n v="1.7999999999999998"/>
    <n v="2.4"/>
  </r>
  <r>
    <n v="537"/>
    <n v="3"/>
    <n v="6"/>
    <n v="2023"/>
    <s v="Saturday"/>
    <s v="June"/>
    <s v="2023"/>
    <d v="2023-06-03T00:00:00"/>
    <s v="CUST537"/>
    <x v="1"/>
    <x v="1"/>
    <n v="21"/>
    <x v="0"/>
    <n v="1"/>
    <n v="500"/>
    <n v="500"/>
    <n v="7.5"/>
    <n v="10"/>
  </r>
  <r>
    <n v="538"/>
    <n v="17"/>
    <n v="9"/>
    <n v="2023"/>
    <s v="Sunday"/>
    <s v="September"/>
    <s v="2023"/>
    <d v="2023-09-17T00:00:00"/>
    <s v="CUST538"/>
    <x v="0"/>
    <x v="1"/>
    <n v="18"/>
    <x v="2"/>
    <n v="3"/>
    <n v="50"/>
    <n v="150"/>
    <n v="2.25"/>
    <n v="3"/>
  </r>
  <r>
    <n v="539"/>
    <n v="8"/>
    <n v="6"/>
    <n v="2023"/>
    <s v="Thursday"/>
    <s v="June"/>
    <s v="2023"/>
    <d v="2023-06-08T00:00:00"/>
    <s v="CUST539"/>
    <x v="0"/>
    <x v="1"/>
    <n v="25"/>
    <x v="0"/>
    <n v="1"/>
    <n v="500"/>
    <n v="500"/>
    <n v="7.5"/>
    <n v="10"/>
  </r>
  <r>
    <n v="540"/>
    <n v="8"/>
    <n v="12"/>
    <n v="2023"/>
    <s v="Friday"/>
    <s v="December"/>
    <s v="2023"/>
    <d v="2023-12-08T00:00:00"/>
    <s v="CUST540"/>
    <x v="1"/>
    <x v="0"/>
    <n v="46"/>
    <x v="1"/>
    <n v="3"/>
    <n v="300"/>
    <n v="900"/>
    <n v="13.5"/>
    <n v="18"/>
  </r>
  <r>
    <n v="541"/>
    <n v="29"/>
    <n v="7"/>
    <n v="2023"/>
    <s v="Saturday"/>
    <s v="July"/>
    <s v="2023"/>
    <d v="2023-07-29T00:00:00"/>
    <s v="CUST541"/>
    <x v="0"/>
    <x v="2"/>
    <n v="56"/>
    <x v="0"/>
    <n v="1"/>
    <n v="500"/>
    <n v="500"/>
    <n v="7.5"/>
    <n v="10"/>
  </r>
  <r>
    <n v="542"/>
    <n v="17"/>
    <n v="6"/>
    <n v="2023"/>
    <s v="Saturday"/>
    <s v="June"/>
    <s v="2023"/>
    <d v="2023-06-17T00:00:00"/>
    <s v="CUST542"/>
    <x v="1"/>
    <x v="1"/>
    <n v="20"/>
    <x v="0"/>
    <n v="1"/>
    <n v="50"/>
    <n v="50"/>
    <n v="0.75"/>
    <n v="1"/>
  </r>
  <r>
    <n v="543"/>
    <n v="26"/>
    <n v="7"/>
    <n v="2023"/>
    <s v="Wednesday"/>
    <s v="July"/>
    <s v="2023"/>
    <d v="2023-07-26T00:00:00"/>
    <s v="CUST543"/>
    <x v="0"/>
    <x v="0"/>
    <n v="49"/>
    <x v="0"/>
    <n v="2"/>
    <n v="300"/>
    <n v="600"/>
    <n v="9"/>
    <n v="12"/>
  </r>
  <r>
    <n v="544"/>
    <n v="23"/>
    <n v="12"/>
    <n v="2023"/>
    <s v="Saturday"/>
    <s v="December"/>
    <s v="2023"/>
    <d v="2023-12-23T00:00:00"/>
    <s v="CUST544"/>
    <x v="1"/>
    <x v="1"/>
    <n v="27"/>
    <x v="1"/>
    <n v="1"/>
    <n v="25"/>
    <n v="25"/>
    <n v="0.375"/>
    <n v="0.5"/>
  </r>
  <r>
    <n v="545"/>
    <n v="1"/>
    <n v="6"/>
    <n v="2023"/>
    <s v="Thursday"/>
    <s v="June"/>
    <s v="2023"/>
    <d v="2023-06-01T00:00:00"/>
    <s v="CUST545"/>
    <x v="0"/>
    <x v="1"/>
    <n v="27"/>
    <x v="2"/>
    <n v="2"/>
    <n v="25"/>
    <n v="50"/>
    <n v="0.75"/>
    <n v="1"/>
  </r>
  <r>
    <n v="546"/>
    <n v="11"/>
    <n v="10"/>
    <n v="2023"/>
    <s v="Wednesday"/>
    <s v="October"/>
    <s v="2023"/>
    <d v="2023-10-11T00:00:00"/>
    <s v="CUST546"/>
    <x v="1"/>
    <x v="0"/>
    <n v="36"/>
    <x v="1"/>
    <n v="4"/>
    <n v="50"/>
    <n v="200"/>
    <n v="3"/>
    <n v="4"/>
  </r>
  <r>
    <n v="547"/>
    <n v="7"/>
    <n v="3"/>
    <n v="2023"/>
    <s v="Tuesday"/>
    <s v="March"/>
    <s v="2023"/>
    <d v="2023-03-07T00:00:00"/>
    <s v="CUST547"/>
    <x v="0"/>
    <x v="2"/>
    <n v="63"/>
    <x v="2"/>
    <n v="4"/>
    <n v="500"/>
    <n v="2000"/>
    <n v="30"/>
    <n v="40"/>
  </r>
  <r>
    <n v="548"/>
    <n v="9"/>
    <n v="4"/>
    <n v="2023"/>
    <s v="Sunday"/>
    <s v="April"/>
    <s v="2023"/>
    <d v="2023-04-09T00:00:00"/>
    <s v="CUST548"/>
    <x v="1"/>
    <x v="2"/>
    <n v="51"/>
    <x v="2"/>
    <n v="2"/>
    <n v="30"/>
    <n v="60"/>
    <n v="0.89999999999999991"/>
    <n v="1.2"/>
  </r>
  <r>
    <n v="549"/>
    <n v="4"/>
    <n v="8"/>
    <n v="2023"/>
    <s v="Friday"/>
    <s v="August"/>
    <s v="2023"/>
    <d v="2023-08-04T00:00:00"/>
    <s v="CUST549"/>
    <x v="1"/>
    <x v="0"/>
    <n v="50"/>
    <x v="0"/>
    <n v="2"/>
    <n v="50"/>
    <n v="100"/>
    <n v="1.5"/>
    <n v="2"/>
  </r>
  <r>
    <n v="550"/>
    <n v="7"/>
    <n v="12"/>
    <n v="2023"/>
    <s v="Thursday"/>
    <s v="December"/>
    <s v="2023"/>
    <d v="2023-12-07T00:00:00"/>
    <s v="CUST550"/>
    <x v="0"/>
    <x v="0"/>
    <n v="40"/>
    <x v="2"/>
    <n v="3"/>
    <n v="300"/>
    <n v="900"/>
    <n v="13.5"/>
    <n v="18"/>
  </r>
  <r>
    <n v="551"/>
    <n v="14"/>
    <n v="7"/>
    <n v="2023"/>
    <s v="Friday"/>
    <s v="July"/>
    <s v="2023"/>
    <d v="2023-07-14T00:00:00"/>
    <s v="CUST551"/>
    <x v="0"/>
    <x v="0"/>
    <n v="45"/>
    <x v="1"/>
    <n v="3"/>
    <n v="300"/>
    <n v="900"/>
    <n v="13.5"/>
    <n v="18"/>
  </r>
  <r>
    <n v="552"/>
    <n v="13"/>
    <n v="12"/>
    <n v="2023"/>
    <s v="Wednesday"/>
    <s v="December"/>
    <s v="2023"/>
    <d v="2023-12-13T00:00:00"/>
    <s v="CUST552"/>
    <x v="1"/>
    <x v="0"/>
    <n v="49"/>
    <x v="1"/>
    <n v="3"/>
    <n v="25"/>
    <n v="75"/>
    <n v="1.125"/>
    <n v="1.5"/>
  </r>
  <r>
    <n v="553"/>
    <n v="31"/>
    <n v="3"/>
    <n v="2023"/>
    <s v="Friday"/>
    <s v="March"/>
    <s v="2023"/>
    <d v="2023-03-31T00:00:00"/>
    <s v="CUST553"/>
    <x v="0"/>
    <x v="1"/>
    <n v="24"/>
    <x v="2"/>
    <n v="4"/>
    <n v="300"/>
    <n v="1200"/>
    <n v="18"/>
    <n v="24"/>
  </r>
  <r>
    <n v="554"/>
    <n v="12"/>
    <n v="11"/>
    <n v="2023"/>
    <s v="Sunday"/>
    <s v="November"/>
    <s v="2023"/>
    <d v="2023-11-12T00:00:00"/>
    <s v="CUST554"/>
    <x v="1"/>
    <x v="0"/>
    <n v="46"/>
    <x v="0"/>
    <n v="3"/>
    <n v="50"/>
    <n v="150"/>
    <n v="2.25"/>
    <n v="3"/>
  </r>
  <r>
    <n v="555"/>
    <n v="19"/>
    <n v="10"/>
    <n v="2023"/>
    <s v="Thursday"/>
    <s v="October"/>
    <s v="2023"/>
    <d v="2023-10-19T00:00:00"/>
    <s v="CUST555"/>
    <x v="0"/>
    <x v="1"/>
    <n v="25"/>
    <x v="0"/>
    <n v="1"/>
    <n v="300"/>
    <n v="300"/>
    <n v="4.5"/>
    <n v="6"/>
  </r>
  <r>
    <n v="556"/>
    <n v="4"/>
    <n v="6"/>
    <n v="2023"/>
    <s v="Sunday"/>
    <s v="June"/>
    <s v="2023"/>
    <d v="2023-06-04T00:00:00"/>
    <s v="CUST556"/>
    <x v="1"/>
    <x v="1"/>
    <n v="18"/>
    <x v="1"/>
    <n v="1"/>
    <n v="50"/>
    <n v="50"/>
    <n v="0.75"/>
    <n v="1"/>
  </r>
  <r>
    <n v="557"/>
    <n v="27"/>
    <n v="7"/>
    <n v="2023"/>
    <s v="Thursday"/>
    <s v="July"/>
    <s v="2023"/>
    <d v="2023-07-27T00:00:00"/>
    <s v="CUST557"/>
    <x v="1"/>
    <x v="1"/>
    <n v="20"/>
    <x v="0"/>
    <n v="3"/>
    <n v="30"/>
    <n v="90"/>
    <n v="1.3499999999999999"/>
    <n v="1.8"/>
  </r>
  <r>
    <n v="558"/>
    <n v="8"/>
    <n v="10"/>
    <n v="2023"/>
    <s v="Sunday"/>
    <s v="October"/>
    <s v="2023"/>
    <d v="2023-10-08T00:00:00"/>
    <s v="CUST558"/>
    <x v="1"/>
    <x v="0"/>
    <n v="41"/>
    <x v="2"/>
    <n v="1"/>
    <n v="25"/>
    <n v="25"/>
    <n v="0.375"/>
    <n v="0.5"/>
  </r>
  <r>
    <n v="559"/>
    <n v="1"/>
    <n v="1"/>
    <n v="2023"/>
    <s v="Sunday"/>
    <s v="January"/>
    <s v="2023"/>
    <d v="2023-01-01T00:00:00"/>
    <s v="CUST559"/>
    <x v="1"/>
    <x v="0"/>
    <n v="40"/>
    <x v="2"/>
    <n v="4"/>
    <n v="300"/>
    <n v="1200"/>
    <n v="18"/>
    <n v="24"/>
  </r>
  <r>
    <n v="560"/>
    <n v="5"/>
    <n v="6"/>
    <n v="2023"/>
    <s v="Monday"/>
    <s v="June"/>
    <s v="2023"/>
    <d v="2023-06-05T00:00:00"/>
    <s v="CUST560"/>
    <x v="1"/>
    <x v="1"/>
    <n v="25"/>
    <x v="1"/>
    <n v="1"/>
    <n v="50"/>
    <n v="50"/>
    <n v="0.75"/>
    <n v="1"/>
  </r>
  <r>
    <n v="561"/>
    <n v="27"/>
    <n v="5"/>
    <n v="2023"/>
    <s v="Saturday"/>
    <s v="May"/>
    <s v="2023"/>
    <d v="2023-05-27T00:00:00"/>
    <s v="CUST561"/>
    <x v="1"/>
    <x v="2"/>
    <n v="64"/>
    <x v="2"/>
    <n v="4"/>
    <n v="500"/>
    <n v="2000"/>
    <n v="30"/>
    <n v="40"/>
  </r>
  <r>
    <n v="562"/>
    <n v="18"/>
    <n v="4"/>
    <n v="2023"/>
    <s v="Tuesday"/>
    <s v="April"/>
    <s v="2023"/>
    <d v="2023-04-18T00:00:00"/>
    <s v="CUST562"/>
    <x v="0"/>
    <x v="2"/>
    <n v="54"/>
    <x v="1"/>
    <n v="2"/>
    <n v="25"/>
    <n v="50"/>
    <n v="0.75"/>
    <n v="1"/>
  </r>
  <r>
    <n v="563"/>
    <n v="9"/>
    <n v="8"/>
    <n v="2023"/>
    <s v="Wednesday"/>
    <s v="August"/>
    <s v="2023"/>
    <d v="2023-08-09T00:00:00"/>
    <s v="CUST563"/>
    <x v="0"/>
    <x v="1"/>
    <n v="20"/>
    <x v="2"/>
    <n v="2"/>
    <n v="30"/>
    <n v="60"/>
    <n v="0.89999999999999991"/>
    <n v="1.2"/>
  </r>
  <r>
    <n v="564"/>
    <n v="24"/>
    <n v="10"/>
    <n v="2023"/>
    <s v="Tuesday"/>
    <s v="October"/>
    <s v="2023"/>
    <d v="2023-10-24T00:00:00"/>
    <s v="CUST564"/>
    <x v="0"/>
    <x v="0"/>
    <n v="50"/>
    <x v="1"/>
    <n v="2"/>
    <n v="50"/>
    <n v="100"/>
    <n v="1.5"/>
    <n v="2"/>
  </r>
  <r>
    <n v="565"/>
    <n v="7"/>
    <n v="11"/>
    <n v="2023"/>
    <s v="Tuesday"/>
    <s v="November"/>
    <s v="2023"/>
    <d v="2023-11-07T00:00:00"/>
    <s v="CUST565"/>
    <x v="1"/>
    <x v="0"/>
    <n v="45"/>
    <x v="0"/>
    <n v="2"/>
    <n v="30"/>
    <n v="60"/>
    <n v="0.89999999999999991"/>
    <n v="1.2"/>
  </r>
  <r>
    <n v="566"/>
    <n v="2"/>
    <n v="12"/>
    <n v="2023"/>
    <s v="Saturday"/>
    <s v="December"/>
    <s v="2023"/>
    <d v="2023-12-02T00:00:00"/>
    <s v="CUST566"/>
    <x v="1"/>
    <x v="2"/>
    <n v="64"/>
    <x v="2"/>
    <n v="1"/>
    <n v="30"/>
    <n v="30"/>
    <n v="0.44999999999999996"/>
    <n v="0.6"/>
  </r>
  <r>
    <n v="567"/>
    <n v="14"/>
    <n v="6"/>
    <n v="2023"/>
    <s v="Wednesday"/>
    <s v="June"/>
    <s v="2023"/>
    <d v="2023-06-14T00:00:00"/>
    <s v="CUST567"/>
    <x v="1"/>
    <x v="1"/>
    <n v="25"/>
    <x v="2"/>
    <n v="3"/>
    <n v="300"/>
    <n v="900"/>
    <n v="13.5"/>
    <n v="18"/>
  </r>
  <r>
    <n v="568"/>
    <n v="27"/>
    <n v="8"/>
    <n v="2023"/>
    <s v="Sunday"/>
    <s v="August"/>
    <s v="2023"/>
    <d v="2023-08-27T00:00:00"/>
    <s v="CUST568"/>
    <x v="1"/>
    <x v="2"/>
    <n v="51"/>
    <x v="1"/>
    <n v="1"/>
    <n v="300"/>
    <n v="300"/>
    <n v="4.5"/>
    <n v="6"/>
  </r>
  <r>
    <n v="569"/>
    <n v="15"/>
    <n v="8"/>
    <n v="2023"/>
    <s v="Tuesday"/>
    <s v="August"/>
    <s v="2023"/>
    <d v="2023-08-15T00:00:00"/>
    <s v="CUST569"/>
    <x v="0"/>
    <x v="2"/>
    <n v="52"/>
    <x v="1"/>
    <n v="4"/>
    <n v="50"/>
    <n v="200"/>
    <n v="3"/>
    <n v="4"/>
  </r>
  <r>
    <n v="570"/>
    <n v="15"/>
    <n v="8"/>
    <n v="2023"/>
    <s v="Tuesday"/>
    <s v="August"/>
    <s v="2023"/>
    <d v="2023-08-15T00:00:00"/>
    <s v="CUST570"/>
    <x v="0"/>
    <x v="0"/>
    <n v="49"/>
    <x v="2"/>
    <n v="1"/>
    <n v="500"/>
    <n v="500"/>
    <n v="7.5"/>
    <n v="10"/>
  </r>
  <r>
    <n v="571"/>
    <n v="12"/>
    <n v="12"/>
    <n v="2023"/>
    <s v="Tuesday"/>
    <s v="December"/>
    <s v="2023"/>
    <d v="2023-12-12T00:00:00"/>
    <s v="CUST571"/>
    <x v="1"/>
    <x v="0"/>
    <n v="41"/>
    <x v="1"/>
    <n v="1"/>
    <n v="50"/>
    <n v="50"/>
    <n v="0.75"/>
    <n v="1"/>
  </r>
  <r>
    <n v="572"/>
    <n v="20"/>
    <n v="4"/>
    <n v="2023"/>
    <s v="Thursday"/>
    <s v="April"/>
    <s v="2023"/>
    <d v="2023-04-20T00:00:00"/>
    <s v="CUST572"/>
    <x v="0"/>
    <x v="0"/>
    <n v="31"/>
    <x v="2"/>
    <n v="4"/>
    <n v="500"/>
    <n v="2000"/>
    <n v="30"/>
    <n v="40"/>
  </r>
  <r>
    <n v="573"/>
    <n v="19"/>
    <n v="9"/>
    <n v="2023"/>
    <s v="Tuesday"/>
    <s v="September"/>
    <s v="2023"/>
    <d v="2023-09-19T00:00:00"/>
    <s v="CUST573"/>
    <x v="0"/>
    <x v="0"/>
    <n v="49"/>
    <x v="0"/>
    <n v="2"/>
    <n v="30"/>
    <n v="60"/>
    <n v="0.89999999999999991"/>
    <n v="1.2"/>
  </r>
  <r>
    <n v="574"/>
    <n v="31"/>
    <n v="8"/>
    <n v="2023"/>
    <s v="Thursday"/>
    <s v="August"/>
    <s v="2023"/>
    <d v="2023-08-31T00:00:00"/>
    <s v="CUST574"/>
    <x v="1"/>
    <x v="2"/>
    <n v="63"/>
    <x v="1"/>
    <n v="2"/>
    <n v="25"/>
    <n v="50"/>
    <n v="0.75"/>
    <n v="1"/>
  </r>
  <r>
    <n v="575"/>
    <n v="28"/>
    <n v="3"/>
    <n v="2023"/>
    <s v="Tuesday"/>
    <s v="March"/>
    <s v="2023"/>
    <d v="2023-03-28T00:00:00"/>
    <s v="CUST575"/>
    <x v="0"/>
    <x v="2"/>
    <n v="60"/>
    <x v="2"/>
    <n v="2"/>
    <n v="50"/>
    <n v="100"/>
    <n v="1.5"/>
    <n v="2"/>
  </r>
  <r>
    <n v="576"/>
    <n v="4"/>
    <n v="12"/>
    <n v="2023"/>
    <s v="Monday"/>
    <s v="December"/>
    <s v="2023"/>
    <d v="2023-12-04T00:00:00"/>
    <s v="CUST576"/>
    <x v="1"/>
    <x v="0"/>
    <n v="33"/>
    <x v="0"/>
    <n v="3"/>
    <n v="50"/>
    <n v="150"/>
    <n v="2.25"/>
    <n v="3"/>
  </r>
  <r>
    <n v="577"/>
    <n v="13"/>
    <n v="2"/>
    <n v="2023"/>
    <s v="Monday"/>
    <s v="February"/>
    <s v="2023"/>
    <d v="2023-02-13T00:00:00"/>
    <s v="CUST577"/>
    <x v="0"/>
    <x v="1"/>
    <n v="21"/>
    <x v="0"/>
    <n v="4"/>
    <n v="500"/>
    <n v="2000"/>
    <n v="30"/>
    <n v="40"/>
  </r>
  <r>
    <n v="578"/>
    <n v="26"/>
    <n v="5"/>
    <n v="2023"/>
    <s v="Friday"/>
    <s v="May"/>
    <s v="2023"/>
    <d v="2023-05-26T00:00:00"/>
    <s v="CUST578"/>
    <x v="1"/>
    <x v="2"/>
    <n v="54"/>
    <x v="2"/>
    <n v="4"/>
    <n v="30"/>
    <n v="120"/>
    <n v="1.7999999999999998"/>
    <n v="2.4"/>
  </r>
  <r>
    <n v="579"/>
    <n v="21"/>
    <n v="9"/>
    <n v="2023"/>
    <s v="Thursday"/>
    <s v="September"/>
    <s v="2023"/>
    <d v="2023-09-21T00:00:00"/>
    <s v="CUST579"/>
    <x v="1"/>
    <x v="0"/>
    <n v="38"/>
    <x v="1"/>
    <n v="1"/>
    <n v="30"/>
    <n v="30"/>
    <n v="0.44999999999999996"/>
    <n v="0.6"/>
  </r>
  <r>
    <n v="580"/>
    <n v="6"/>
    <n v="12"/>
    <n v="2023"/>
    <s v="Wednesday"/>
    <s v="December"/>
    <s v="2023"/>
    <d v="2023-12-06T00:00:00"/>
    <s v="CUST580"/>
    <x v="1"/>
    <x v="0"/>
    <n v="31"/>
    <x v="2"/>
    <n v="3"/>
    <n v="500"/>
    <n v="1500"/>
    <n v="22.5"/>
    <n v="30"/>
  </r>
  <r>
    <n v="581"/>
    <n v="21"/>
    <n v="11"/>
    <n v="2023"/>
    <s v="Tuesday"/>
    <s v="November"/>
    <s v="2023"/>
    <d v="2023-11-21T00:00:00"/>
    <s v="CUST581"/>
    <x v="1"/>
    <x v="0"/>
    <n v="48"/>
    <x v="0"/>
    <n v="2"/>
    <n v="30"/>
    <n v="60"/>
    <n v="0.89999999999999991"/>
    <n v="1.2"/>
  </r>
  <r>
    <n v="582"/>
    <n v="14"/>
    <n v="11"/>
    <n v="2023"/>
    <s v="Tuesday"/>
    <s v="November"/>
    <s v="2023"/>
    <d v="2023-11-14T00:00:00"/>
    <s v="CUST582"/>
    <x v="0"/>
    <x v="0"/>
    <n v="35"/>
    <x v="2"/>
    <n v="3"/>
    <n v="300"/>
    <n v="900"/>
    <n v="13.5"/>
    <n v="18"/>
  </r>
  <r>
    <n v="583"/>
    <n v="21"/>
    <n v="6"/>
    <n v="2023"/>
    <s v="Wednesday"/>
    <s v="June"/>
    <s v="2023"/>
    <d v="2023-06-21T00:00:00"/>
    <s v="CUST583"/>
    <x v="1"/>
    <x v="1"/>
    <n v="24"/>
    <x v="1"/>
    <n v="4"/>
    <n v="25"/>
    <n v="100"/>
    <n v="1.5"/>
    <n v="2"/>
  </r>
  <r>
    <n v="584"/>
    <n v="17"/>
    <n v="2"/>
    <n v="2023"/>
    <s v="Friday"/>
    <s v="February"/>
    <s v="2023"/>
    <d v="2023-02-17T00:00:00"/>
    <s v="CUST584"/>
    <x v="1"/>
    <x v="1"/>
    <n v="27"/>
    <x v="0"/>
    <n v="4"/>
    <n v="50"/>
    <n v="200"/>
    <n v="3"/>
    <n v="4"/>
  </r>
  <r>
    <n v="585"/>
    <n v="1"/>
    <n v="5"/>
    <n v="2023"/>
    <s v="Monday"/>
    <s v="May"/>
    <s v="2023"/>
    <d v="2023-05-01T00:00:00"/>
    <s v="CUST585"/>
    <x v="1"/>
    <x v="1"/>
    <n v="24"/>
    <x v="2"/>
    <n v="1"/>
    <n v="25"/>
    <n v="25"/>
    <n v="0.375"/>
    <n v="0.5"/>
  </r>
  <r>
    <n v="586"/>
    <n v="11"/>
    <n v="12"/>
    <n v="2023"/>
    <s v="Monday"/>
    <s v="December"/>
    <s v="2023"/>
    <d v="2023-12-11T00:00:00"/>
    <s v="CUST586"/>
    <x v="0"/>
    <x v="0"/>
    <n v="50"/>
    <x v="1"/>
    <n v="1"/>
    <n v="50"/>
    <n v="50"/>
    <n v="0.75"/>
    <n v="1"/>
  </r>
  <r>
    <n v="587"/>
    <n v="8"/>
    <n v="6"/>
    <n v="2023"/>
    <s v="Thursday"/>
    <s v="June"/>
    <s v="2023"/>
    <d v="2023-06-08T00:00:00"/>
    <s v="CUST587"/>
    <x v="1"/>
    <x v="0"/>
    <n v="40"/>
    <x v="0"/>
    <n v="4"/>
    <n v="300"/>
    <n v="1200"/>
    <n v="18"/>
    <n v="24"/>
  </r>
  <r>
    <n v="588"/>
    <n v="26"/>
    <n v="4"/>
    <n v="2023"/>
    <s v="Wednesday"/>
    <s v="April"/>
    <s v="2023"/>
    <d v="2023-04-26T00:00:00"/>
    <s v="CUST588"/>
    <x v="0"/>
    <x v="0"/>
    <n v="38"/>
    <x v="1"/>
    <n v="2"/>
    <n v="30"/>
    <n v="60"/>
    <n v="0.89999999999999991"/>
    <n v="1.2"/>
  </r>
  <r>
    <n v="589"/>
    <n v="12"/>
    <n v="4"/>
    <n v="2023"/>
    <s v="Wednesday"/>
    <s v="April"/>
    <s v="2023"/>
    <d v="2023-04-12T00:00:00"/>
    <s v="CUST589"/>
    <x v="1"/>
    <x v="0"/>
    <n v="36"/>
    <x v="0"/>
    <n v="2"/>
    <n v="500"/>
    <n v="1000"/>
    <n v="15"/>
    <n v="20"/>
  </r>
  <r>
    <n v="590"/>
    <n v="17"/>
    <n v="3"/>
    <n v="2023"/>
    <s v="Friday"/>
    <s v="March"/>
    <s v="2023"/>
    <d v="2023-03-17T00:00:00"/>
    <s v="CUST590"/>
    <x v="0"/>
    <x v="0"/>
    <n v="36"/>
    <x v="2"/>
    <n v="3"/>
    <n v="300"/>
    <n v="900"/>
    <n v="13.5"/>
    <n v="18"/>
  </r>
  <r>
    <n v="591"/>
    <n v="13"/>
    <n v="1"/>
    <n v="2023"/>
    <s v="Friday"/>
    <s v="January"/>
    <s v="2023"/>
    <d v="2023-01-13T00:00:00"/>
    <s v="CUST591"/>
    <x v="0"/>
    <x v="2"/>
    <n v="53"/>
    <x v="1"/>
    <n v="4"/>
    <n v="25"/>
    <n v="100"/>
    <n v="1.5"/>
    <n v="2"/>
  </r>
  <r>
    <n v="592"/>
    <n v="24"/>
    <n v="1"/>
    <n v="2023"/>
    <s v="Tuesday"/>
    <s v="January"/>
    <s v="2023"/>
    <d v="2023-01-24T00:00:00"/>
    <s v="CUST592"/>
    <x v="1"/>
    <x v="0"/>
    <n v="46"/>
    <x v="0"/>
    <n v="4"/>
    <n v="500"/>
    <n v="2000"/>
    <n v="30"/>
    <n v="40"/>
  </r>
  <r>
    <n v="593"/>
    <n v="6"/>
    <n v="5"/>
    <n v="2023"/>
    <s v="Saturday"/>
    <s v="May"/>
    <s v="2023"/>
    <d v="2023-05-06T00:00:00"/>
    <s v="CUST593"/>
    <x v="0"/>
    <x v="0"/>
    <n v="35"/>
    <x v="1"/>
    <n v="2"/>
    <n v="30"/>
    <n v="60"/>
    <n v="0.89999999999999991"/>
    <n v="1.2"/>
  </r>
  <r>
    <n v="594"/>
    <n v="1"/>
    <n v="9"/>
    <n v="2023"/>
    <s v="Friday"/>
    <s v="September"/>
    <s v="2023"/>
    <d v="2023-09-01T00:00:00"/>
    <s v="CUST594"/>
    <x v="1"/>
    <x v="1"/>
    <n v="19"/>
    <x v="1"/>
    <n v="2"/>
    <n v="300"/>
    <n v="600"/>
    <n v="9"/>
    <n v="12"/>
  </r>
  <r>
    <n v="595"/>
    <n v="9"/>
    <n v="11"/>
    <n v="2023"/>
    <s v="Thursday"/>
    <s v="November"/>
    <s v="2023"/>
    <d v="2023-11-09T00:00:00"/>
    <s v="CUST595"/>
    <x v="1"/>
    <x v="1"/>
    <n v="18"/>
    <x v="2"/>
    <n v="4"/>
    <n v="500"/>
    <n v="2000"/>
    <n v="30"/>
    <n v="40"/>
  </r>
  <r>
    <n v="596"/>
    <n v="7"/>
    <n v="2"/>
    <n v="2023"/>
    <s v="Tuesday"/>
    <s v="February"/>
    <s v="2023"/>
    <d v="2023-02-07T00:00:00"/>
    <s v="CUST596"/>
    <x v="1"/>
    <x v="2"/>
    <n v="64"/>
    <x v="1"/>
    <n v="1"/>
    <n v="300"/>
    <n v="300"/>
    <n v="4.5"/>
    <n v="6"/>
  </r>
  <r>
    <n v="597"/>
    <n v="22"/>
    <n v="8"/>
    <n v="2023"/>
    <s v="Tuesday"/>
    <s v="August"/>
    <s v="2023"/>
    <d v="2023-08-22T00:00:00"/>
    <s v="CUST597"/>
    <x v="0"/>
    <x v="1"/>
    <n v="22"/>
    <x v="0"/>
    <n v="4"/>
    <n v="300"/>
    <n v="1200"/>
    <n v="18"/>
    <n v="24"/>
  </r>
  <r>
    <n v="598"/>
    <n v="1"/>
    <n v="8"/>
    <n v="2023"/>
    <s v="Tuesday"/>
    <s v="August"/>
    <s v="2023"/>
    <d v="2023-08-01T00:00:00"/>
    <s v="CUST598"/>
    <x v="0"/>
    <x v="0"/>
    <n v="37"/>
    <x v="0"/>
    <n v="4"/>
    <n v="30"/>
    <n v="120"/>
    <n v="1.7999999999999998"/>
    <n v="2.4"/>
  </r>
  <r>
    <n v="599"/>
    <n v="19"/>
    <n v="11"/>
    <n v="2023"/>
    <s v="Sunday"/>
    <s v="November"/>
    <s v="2023"/>
    <d v="2023-11-19T00:00:00"/>
    <s v="CUST599"/>
    <x v="1"/>
    <x v="1"/>
    <n v="28"/>
    <x v="0"/>
    <n v="2"/>
    <n v="50"/>
    <n v="100"/>
    <n v="1.5"/>
    <n v="2"/>
  </r>
  <r>
    <n v="600"/>
    <n v="22"/>
    <n v="10"/>
    <n v="2023"/>
    <s v="Sunday"/>
    <s v="October"/>
    <s v="2023"/>
    <d v="2023-10-22T00:00:00"/>
    <s v="CUST600"/>
    <x v="1"/>
    <x v="2"/>
    <n v="59"/>
    <x v="0"/>
    <n v="2"/>
    <n v="500"/>
    <n v="1000"/>
    <n v="15"/>
    <n v="20"/>
  </r>
  <r>
    <n v="601"/>
    <n v="10"/>
    <n v="4"/>
    <n v="2023"/>
    <s v="Monday"/>
    <s v="April"/>
    <s v="2023"/>
    <d v="2023-04-10T00:00:00"/>
    <s v="CUST601"/>
    <x v="0"/>
    <x v="1"/>
    <n v="19"/>
    <x v="2"/>
    <n v="1"/>
    <n v="30"/>
    <n v="30"/>
    <n v="0.44999999999999996"/>
    <n v="0.6"/>
  </r>
  <r>
    <n v="602"/>
    <n v="23"/>
    <n v="12"/>
    <n v="2023"/>
    <s v="Saturday"/>
    <s v="December"/>
    <s v="2023"/>
    <d v="2023-12-23T00:00:00"/>
    <s v="CUST602"/>
    <x v="1"/>
    <x v="1"/>
    <n v="20"/>
    <x v="1"/>
    <n v="1"/>
    <n v="300"/>
    <n v="300"/>
    <n v="4.5"/>
    <n v="6"/>
  </r>
  <r>
    <n v="603"/>
    <n v="16"/>
    <n v="7"/>
    <n v="2023"/>
    <s v="Sunday"/>
    <s v="July"/>
    <s v="2023"/>
    <d v="2023-07-16T00:00:00"/>
    <s v="CUST603"/>
    <x v="1"/>
    <x v="0"/>
    <n v="40"/>
    <x v="2"/>
    <n v="3"/>
    <n v="30"/>
    <n v="90"/>
    <n v="1.3499999999999999"/>
    <n v="1.8"/>
  </r>
  <r>
    <n v="604"/>
    <n v="11"/>
    <n v="9"/>
    <n v="2023"/>
    <s v="Monday"/>
    <s v="September"/>
    <s v="2023"/>
    <d v="2023-09-11T00:00:00"/>
    <s v="CUST604"/>
    <x v="1"/>
    <x v="1"/>
    <n v="29"/>
    <x v="1"/>
    <n v="4"/>
    <n v="50"/>
    <n v="200"/>
    <n v="3"/>
    <n v="4"/>
  </r>
  <r>
    <n v="605"/>
    <n v="24"/>
    <n v="7"/>
    <n v="2023"/>
    <s v="Monday"/>
    <s v="July"/>
    <s v="2023"/>
    <d v="2023-07-24T00:00:00"/>
    <s v="CUST605"/>
    <x v="0"/>
    <x v="0"/>
    <n v="37"/>
    <x v="1"/>
    <n v="2"/>
    <n v="500"/>
    <n v="1000"/>
    <n v="15"/>
    <n v="20"/>
  </r>
  <r>
    <n v="606"/>
    <n v="5"/>
    <n v="5"/>
    <n v="2023"/>
    <s v="Friday"/>
    <s v="May"/>
    <s v="2023"/>
    <d v="2023-05-05T00:00:00"/>
    <s v="CUST606"/>
    <x v="0"/>
    <x v="1"/>
    <n v="22"/>
    <x v="1"/>
    <n v="1"/>
    <n v="50"/>
    <n v="50"/>
    <n v="0.75"/>
    <n v="1"/>
  </r>
  <r>
    <n v="607"/>
    <n v="17"/>
    <n v="3"/>
    <n v="2023"/>
    <s v="Friday"/>
    <s v="March"/>
    <s v="2023"/>
    <d v="2023-03-17T00:00:00"/>
    <s v="CUST607"/>
    <x v="0"/>
    <x v="2"/>
    <n v="54"/>
    <x v="2"/>
    <n v="3"/>
    <n v="25"/>
    <n v="75"/>
    <n v="1.125"/>
    <n v="1.5"/>
  </r>
  <r>
    <n v="608"/>
    <n v="2"/>
    <n v="12"/>
    <n v="2023"/>
    <s v="Saturday"/>
    <s v="December"/>
    <s v="2023"/>
    <d v="2023-12-02T00:00:00"/>
    <s v="CUST608"/>
    <x v="1"/>
    <x v="2"/>
    <n v="55"/>
    <x v="1"/>
    <n v="3"/>
    <n v="500"/>
    <n v="1500"/>
    <n v="22.5"/>
    <n v="30"/>
  </r>
  <r>
    <n v="609"/>
    <n v="19"/>
    <n v="12"/>
    <n v="2023"/>
    <s v="Tuesday"/>
    <s v="December"/>
    <s v="2023"/>
    <d v="2023-12-19T00:00:00"/>
    <s v="CUST609"/>
    <x v="1"/>
    <x v="0"/>
    <n v="47"/>
    <x v="2"/>
    <n v="2"/>
    <n v="50"/>
    <n v="100"/>
    <n v="1.5"/>
    <n v="2"/>
  </r>
  <r>
    <n v="610"/>
    <n v="3"/>
    <n v="1"/>
    <n v="2023"/>
    <s v="Tuesday"/>
    <s v="January"/>
    <s v="2023"/>
    <d v="2023-01-03T00:00:00"/>
    <s v="CUST610"/>
    <x v="1"/>
    <x v="1"/>
    <n v="26"/>
    <x v="0"/>
    <n v="2"/>
    <n v="300"/>
    <n v="600"/>
    <n v="9"/>
    <n v="12"/>
  </r>
  <r>
    <n v="611"/>
    <n v="24"/>
    <n v="2"/>
    <n v="2023"/>
    <s v="Friday"/>
    <s v="February"/>
    <s v="2023"/>
    <d v="2023-02-24T00:00:00"/>
    <s v="CUST611"/>
    <x v="0"/>
    <x v="2"/>
    <n v="51"/>
    <x v="0"/>
    <n v="3"/>
    <n v="500"/>
    <n v="1500"/>
    <n v="22.5"/>
    <n v="30"/>
  </r>
  <r>
    <n v="612"/>
    <n v="6"/>
    <n v="8"/>
    <n v="2023"/>
    <s v="Sunday"/>
    <s v="August"/>
    <s v="2023"/>
    <d v="2023-08-06T00:00:00"/>
    <s v="CUST612"/>
    <x v="1"/>
    <x v="2"/>
    <n v="61"/>
    <x v="1"/>
    <n v="1"/>
    <n v="500"/>
    <n v="500"/>
    <n v="7.5"/>
    <n v="10"/>
  </r>
  <r>
    <n v="613"/>
    <n v="23"/>
    <n v="4"/>
    <n v="2023"/>
    <s v="Sunday"/>
    <s v="April"/>
    <s v="2023"/>
    <d v="2023-04-23T00:00:00"/>
    <s v="CUST613"/>
    <x v="1"/>
    <x v="2"/>
    <n v="52"/>
    <x v="2"/>
    <n v="3"/>
    <n v="30"/>
    <n v="90"/>
    <n v="1.3499999999999999"/>
    <n v="1.8"/>
  </r>
  <r>
    <n v="614"/>
    <n v="1"/>
    <n v="4"/>
    <n v="2023"/>
    <s v="Saturday"/>
    <s v="April"/>
    <s v="2023"/>
    <d v="2023-04-01T00:00:00"/>
    <s v="CUST614"/>
    <x v="1"/>
    <x v="0"/>
    <n v="39"/>
    <x v="0"/>
    <n v="4"/>
    <n v="300"/>
    <n v="1200"/>
    <n v="18"/>
    <n v="24"/>
  </r>
  <r>
    <n v="615"/>
    <n v="23"/>
    <n v="12"/>
    <n v="2023"/>
    <s v="Saturday"/>
    <s v="December"/>
    <s v="2023"/>
    <d v="2023-12-23T00:00:00"/>
    <s v="CUST615"/>
    <x v="1"/>
    <x v="2"/>
    <n v="61"/>
    <x v="2"/>
    <n v="4"/>
    <n v="25"/>
    <n v="100"/>
    <n v="1.5"/>
    <n v="2"/>
  </r>
  <r>
    <n v="616"/>
    <n v="23"/>
    <n v="9"/>
    <n v="2023"/>
    <s v="Saturday"/>
    <s v="September"/>
    <s v="2023"/>
    <d v="2023-09-23T00:00:00"/>
    <s v="CUST616"/>
    <x v="0"/>
    <x v="0"/>
    <n v="41"/>
    <x v="2"/>
    <n v="2"/>
    <n v="50"/>
    <n v="100"/>
    <n v="1.5"/>
    <n v="2"/>
  </r>
  <r>
    <n v="617"/>
    <n v="26"/>
    <n v="8"/>
    <n v="2023"/>
    <s v="Saturday"/>
    <s v="August"/>
    <s v="2023"/>
    <d v="2023-08-26T00:00:00"/>
    <s v="CUST617"/>
    <x v="0"/>
    <x v="0"/>
    <n v="34"/>
    <x v="1"/>
    <n v="1"/>
    <n v="30"/>
    <n v="30"/>
    <n v="0.44999999999999996"/>
    <n v="0.6"/>
  </r>
  <r>
    <n v="618"/>
    <n v="26"/>
    <n v="1"/>
    <n v="2023"/>
    <s v="Thursday"/>
    <s v="January"/>
    <s v="2023"/>
    <d v="2023-01-26T00:00:00"/>
    <s v="CUST618"/>
    <x v="1"/>
    <x v="1"/>
    <n v="27"/>
    <x v="0"/>
    <n v="1"/>
    <n v="50"/>
    <n v="50"/>
    <n v="0.75"/>
    <n v="1"/>
  </r>
  <r>
    <n v="619"/>
    <n v="13"/>
    <n v="10"/>
    <n v="2023"/>
    <s v="Friday"/>
    <s v="October"/>
    <s v="2023"/>
    <d v="2023-10-13T00:00:00"/>
    <s v="CUST619"/>
    <x v="0"/>
    <x v="0"/>
    <n v="47"/>
    <x v="1"/>
    <n v="4"/>
    <n v="25"/>
    <n v="100"/>
    <n v="1.5"/>
    <n v="2"/>
  </r>
  <r>
    <n v="620"/>
    <n v="8"/>
    <n v="5"/>
    <n v="2023"/>
    <s v="Monday"/>
    <s v="May"/>
    <s v="2023"/>
    <d v="2023-05-08T00:00:00"/>
    <s v="CUST620"/>
    <x v="0"/>
    <x v="2"/>
    <n v="63"/>
    <x v="1"/>
    <n v="3"/>
    <n v="25"/>
    <n v="75"/>
    <n v="1.125"/>
    <n v="1.5"/>
  </r>
  <r>
    <n v="621"/>
    <n v="4"/>
    <n v="3"/>
    <n v="2023"/>
    <s v="Saturday"/>
    <s v="March"/>
    <s v="2023"/>
    <d v="2023-03-04T00:00:00"/>
    <s v="CUST621"/>
    <x v="1"/>
    <x v="0"/>
    <n v="40"/>
    <x v="0"/>
    <n v="2"/>
    <n v="500"/>
    <n v="1000"/>
    <n v="15"/>
    <n v="20"/>
  </r>
  <r>
    <n v="622"/>
    <n v="22"/>
    <n v="8"/>
    <n v="2023"/>
    <s v="Tuesday"/>
    <s v="August"/>
    <s v="2023"/>
    <d v="2023-08-22T00:00:00"/>
    <s v="CUST622"/>
    <x v="1"/>
    <x v="0"/>
    <n v="49"/>
    <x v="0"/>
    <n v="3"/>
    <n v="25"/>
    <n v="75"/>
    <n v="1.125"/>
    <n v="1.5"/>
  </r>
  <r>
    <n v="623"/>
    <n v="10"/>
    <n v="3"/>
    <n v="2023"/>
    <s v="Friday"/>
    <s v="March"/>
    <s v="2023"/>
    <d v="2023-03-10T00:00:00"/>
    <s v="CUST623"/>
    <x v="0"/>
    <x v="0"/>
    <n v="34"/>
    <x v="2"/>
    <n v="3"/>
    <n v="50"/>
    <n v="150"/>
    <n v="2.25"/>
    <n v="3"/>
  </r>
  <r>
    <n v="624"/>
    <n v="26"/>
    <n v="8"/>
    <n v="2023"/>
    <s v="Saturday"/>
    <s v="August"/>
    <s v="2023"/>
    <d v="2023-08-26T00:00:00"/>
    <s v="CUST624"/>
    <x v="1"/>
    <x v="0"/>
    <n v="34"/>
    <x v="0"/>
    <n v="3"/>
    <n v="300"/>
    <n v="900"/>
    <n v="13.5"/>
    <n v="18"/>
  </r>
  <r>
    <n v="625"/>
    <n v="8"/>
    <n v="12"/>
    <n v="2023"/>
    <s v="Friday"/>
    <s v="December"/>
    <s v="2023"/>
    <d v="2023-12-08T00:00:00"/>
    <s v="CUST625"/>
    <x v="0"/>
    <x v="0"/>
    <n v="31"/>
    <x v="2"/>
    <n v="1"/>
    <n v="300"/>
    <n v="300"/>
    <n v="4.5"/>
    <n v="6"/>
  </r>
  <r>
    <n v="626"/>
    <n v="29"/>
    <n v="9"/>
    <n v="2023"/>
    <s v="Friday"/>
    <s v="September"/>
    <s v="2023"/>
    <d v="2023-09-29T00:00:00"/>
    <s v="CUST626"/>
    <x v="1"/>
    <x v="1"/>
    <n v="26"/>
    <x v="2"/>
    <n v="4"/>
    <n v="500"/>
    <n v="2000"/>
    <n v="30"/>
    <n v="40"/>
  </r>
  <r>
    <n v="627"/>
    <n v="14"/>
    <n v="10"/>
    <n v="2023"/>
    <s v="Saturday"/>
    <s v="October"/>
    <s v="2023"/>
    <d v="2023-10-14T00:00:00"/>
    <s v="CUST627"/>
    <x v="0"/>
    <x v="2"/>
    <n v="57"/>
    <x v="2"/>
    <n v="1"/>
    <n v="50"/>
    <n v="50"/>
    <n v="0.75"/>
    <n v="1"/>
  </r>
  <r>
    <n v="628"/>
    <n v="1"/>
    <n v="11"/>
    <n v="2023"/>
    <s v="Wednesday"/>
    <s v="November"/>
    <s v="2023"/>
    <d v="2023-11-01T00:00:00"/>
    <s v="CUST628"/>
    <x v="1"/>
    <x v="1"/>
    <n v="19"/>
    <x v="0"/>
    <n v="4"/>
    <n v="50"/>
    <n v="200"/>
    <n v="3"/>
    <n v="4"/>
  </r>
  <r>
    <n v="629"/>
    <n v="12"/>
    <n v="6"/>
    <n v="2023"/>
    <s v="Monday"/>
    <s v="June"/>
    <s v="2023"/>
    <d v="2023-06-12T00:00:00"/>
    <s v="CUST629"/>
    <x v="0"/>
    <x v="2"/>
    <n v="62"/>
    <x v="1"/>
    <n v="2"/>
    <n v="25"/>
    <n v="50"/>
    <n v="0.75"/>
    <n v="1"/>
  </r>
  <r>
    <n v="630"/>
    <n v="15"/>
    <n v="8"/>
    <n v="2023"/>
    <s v="Tuesday"/>
    <s v="August"/>
    <s v="2023"/>
    <d v="2023-08-15T00:00:00"/>
    <s v="CUST630"/>
    <x v="0"/>
    <x v="0"/>
    <n v="42"/>
    <x v="2"/>
    <n v="2"/>
    <n v="50"/>
    <n v="100"/>
    <n v="1.5"/>
    <n v="2"/>
  </r>
  <r>
    <n v="631"/>
    <n v="10"/>
    <n v="11"/>
    <n v="2023"/>
    <s v="Friday"/>
    <s v="November"/>
    <s v="2023"/>
    <d v="2023-11-10T00:00:00"/>
    <s v="CUST631"/>
    <x v="0"/>
    <x v="2"/>
    <n v="56"/>
    <x v="1"/>
    <n v="3"/>
    <n v="30"/>
    <n v="90"/>
    <n v="1.3499999999999999"/>
    <n v="1.8"/>
  </r>
  <r>
    <n v="632"/>
    <n v="16"/>
    <n v="9"/>
    <n v="2023"/>
    <s v="Saturday"/>
    <s v="September"/>
    <s v="2023"/>
    <d v="2023-09-16T00:00:00"/>
    <s v="CUST632"/>
    <x v="1"/>
    <x v="1"/>
    <n v="26"/>
    <x v="1"/>
    <n v="4"/>
    <n v="25"/>
    <n v="100"/>
    <n v="1.5"/>
    <n v="2"/>
  </r>
  <r>
    <n v="633"/>
    <n v="7"/>
    <n v="8"/>
    <n v="2023"/>
    <s v="Monday"/>
    <s v="August"/>
    <s v="2023"/>
    <d v="2023-08-07T00:00:00"/>
    <s v="CUST633"/>
    <x v="0"/>
    <x v="0"/>
    <n v="39"/>
    <x v="0"/>
    <n v="4"/>
    <n v="30"/>
    <n v="120"/>
    <n v="1.7999999999999998"/>
    <n v="2.4"/>
  </r>
  <r>
    <n v="634"/>
    <n v="8"/>
    <n v="10"/>
    <n v="2023"/>
    <s v="Sunday"/>
    <s v="October"/>
    <s v="2023"/>
    <d v="2023-10-08T00:00:00"/>
    <s v="CUST634"/>
    <x v="0"/>
    <x v="2"/>
    <n v="60"/>
    <x v="1"/>
    <n v="4"/>
    <n v="500"/>
    <n v="2000"/>
    <n v="30"/>
    <n v="40"/>
  </r>
  <r>
    <n v="635"/>
    <n v="17"/>
    <n v="8"/>
    <n v="2023"/>
    <s v="Thursday"/>
    <s v="August"/>
    <s v="2023"/>
    <d v="2023-08-17T00:00:00"/>
    <s v="CUST635"/>
    <x v="1"/>
    <x v="2"/>
    <n v="63"/>
    <x v="1"/>
    <n v="3"/>
    <n v="300"/>
    <n v="900"/>
    <n v="13.5"/>
    <n v="18"/>
  </r>
  <r>
    <n v="636"/>
    <n v="23"/>
    <n v="3"/>
    <n v="2023"/>
    <s v="Thursday"/>
    <s v="March"/>
    <s v="2023"/>
    <d v="2023-03-23T00:00:00"/>
    <s v="CUST636"/>
    <x v="1"/>
    <x v="1"/>
    <n v="21"/>
    <x v="0"/>
    <n v="3"/>
    <n v="500"/>
    <n v="1500"/>
    <n v="22.5"/>
    <n v="30"/>
  </r>
  <r>
    <n v="637"/>
    <n v="1"/>
    <n v="9"/>
    <n v="2023"/>
    <s v="Friday"/>
    <s v="September"/>
    <s v="2023"/>
    <d v="2023-09-01T00:00:00"/>
    <s v="CUST637"/>
    <x v="0"/>
    <x v="0"/>
    <n v="43"/>
    <x v="2"/>
    <n v="2"/>
    <n v="300"/>
    <n v="600"/>
    <n v="9"/>
    <n v="12"/>
  </r>
  <r>
    <n v="638"/>
    <n v="19"/>
    <n v="8"/>
    <n v="2023"/>
    <s v="Saturday"/>
    <s v="August"/>
    <s v="2023"/>
    <d v="2023-08-19T00:00:00"/>
    <s v="CUST638"/>
    <x v="0"/>
    <x v="0"/>
    <n v="46"/>
    <x v="1"/>
    <n v="1"/>
    <n v="500"/>
    <n v="500"/>
    <n v="7.5"/>
    <n v="10"/>
  </r>
  <r>
    <n v="639"/>
    <n v="13"/>
    <n v="5"/>
    <n v="2023"/>
    <s v="Saturday"/>
    <s v="May"/>
    <s v="2023"/>
    <d v="2023-05-13T00:00:00"/>
    <s v="CUST639"/>
    <x v="1"/>
    <x v="2"/>
    <n v="62"/>
    <x v="0"/>
    <n v="4"/>
    <n v="50"/>
    <n v="200"/>
    <n v="3"/>
    <n v="4"/>
  </r>
  <r>
    <n v="640"/>
    <n v="7"/>
    <n v="5"/>
    <n v="2023"/>
    <s v="Sunday"/>
    <s v="May"/>
    <s v="2023"/>
    <d v="2023-05-07T00:00:00"/>
    <s v="CUST640"/>
    <x v="1"/>
    <x v="2"/>
    <n v="51"/>
    <x v="1"/>
    <n v="4"/>
    <n v="30"/>
    <n v="120"/>
    <n v="1.7999999999999998"/>
    <n v="2.4"/>
  </r>
  <r>
    <n v="641"/>
    <n v="23"/>
    <n v="11"/>
    <n v="2023"/>
    <s v="Thursday"/>
    <s v="November"/>
    <s v="2023"/>
    <d v="2023-11-23T00:00:00"/>
    <s v="CUST641"/>
    <x v="1"/>
    <x v="0"/>
    <n v="40"/>
    <x v="1"/>
    <n v="1"/>
    <n v="300"/>
    <n v="300"/>
    <n v="4.5"/>
    <n v="6"/>
  </r>
  <r>
    <n v="642"/>
    <n v="22"/>
    <n v="5"/>
    <n v="2023"/>
    <s v="Monday"/>
    <s v="May"/>
    <s v="2023"/>
    <d v="2023-05-22T00:00:00"/>
    <s v="CUST642"/>
    <x v="1"/>
    <x v="2"/>
    <n v="54"/>
    <x v="2"/>
    <n v="4"/>
    <n v="25"/>
    <n v="100"/>
    <n v="1.5"/>
    <n v="2"/>
  </r>
  <r>
    <n v="643"/>
    <n v="24"/>
    <n v="9"/>
    <n v="2023"/>
    <s v="Sunday"/>
    <s v="September"/>
    <s v="2023"/>
    <d v="2023-09-24T00:00:00"/>
    <s v="CUST643"/>
    <x v="1"/>
    <x v="1"/>
    <n v="28"/>
    <x v="1"/>
    <n v="3"/>
    <n v="30"/>
    <n v="90"/>
    <n v="1.3499999999999999"/>
    <n v="1.8"/>
  </r>
  <r>
    <n v="644"/>
    <n v="6"/>
    <n v="9"/>
    <n v="2023"/>
    <s v="Wednesday"/>
    <s v="September"/>
    <s v="2023"/>
    <d v="2023-09-06T00:00:00"/>
    <s v="CUST644"/>
    <x v="0"/>
    <x v="1"/>
    <n v="23"/>
    <x v="0"/>
    <n v="3"/>
    <n v="25"/>
    <n v="75"/>
    <n v="1.125"/>
    <n v="1.5"/>
  </r>
  <r>
    <n v="645"/>
    <n v="17"/>
    <n v="11"/>
    <n v="2023"/>
    <s v="Friday"/>
    <s v="November"/>
    <s v="2023"/>
    <d v="2023-11-17T00:00:00"/>
    <s v="CUST645"/>
    <x v="1"/>
    <x v="0"/>
    <n v="35"/>
    <x v="1"/>
    <n v="4"/>
    <n v="30"/>
    <n v="120"/>
    <n v="1.7999999999999998"/>
    <n v="2.4"/>
  </r>
  <r>
    <n v="646"/>
    <n v="3"/>
    <n v="5"/>
    <n v="2023"/>
    <s v="Wednesday"/>
    <s v="May"/>
    <s v="2023"/>
    <d v="2023-05-03T00:00:00"/>
    <s v="CUST646"/>
    <x v="0"/>
    <x v="0"/>
    <n v="38"/>
    <x v="2"/>
    <n v="3"/>
    <n v="30"/>
    <n v="90"/>
    <n v="1.3499999999999999"/>
    <n v="1.8"/>
  </r>
  <r>
    <n v="647"/>
    <n v="21"/>
    <n v="5"/>
    <n v="2023"/>
    <s v="Sunday"/>
    <s v="May"/>
    <s v="2023"/>
    <d v="2023-05-21T00:00:00"/>
    <s v="CUST647"/>
    <x v="0"/>
    <x v="2"/>
    <n v="59"/>
    <x v="2"/>
    <n v="3"/>
    <n v="500"/>
    <n v="1500"/>
    <n v="22.5"/>
    <n v="30"/>
  </r>
  <r>
    <n v="648"/>
    <n v="14"/>
    <n v="8"/>
    <n v="2023"/>
    <s v="Monday"/>
    <s v="August"/>
    <s v="2023"/>
    <d v="2023-08-14T00:00:00"/>
    <s v="CUST648"/>
    <x v="0"/>
    <x v="2"/>
    <n v="53"/>
    <x v="0"/>
    <n v="4"/>
    <n v="300"/>
    <n v="1200"/>
    <n v="18"/>
    <n v="24"/>
  </r>
  <r>
    <n v="649"/>
    <n v="9"/>
    <n v="2"/>
    <n v="2023"/>
    <s v="Thursday"/>
    <s v="February"/>
    <s v="2023"/>
    <d v="2023-02-09T00:00:00"/>
    <s v="CUST649"/>
    <x v="1"/>
    <x v="2"/>
    <n v="58"/>
    <x v="2"/>
    <n v="2"/>
    <n v="300"/>
    <n v="600"/>
    <n v="9"/>
    <n v="12"/>
  </r>
  <r>
    <n v="650"/>
    <n v="1"/>
    <n v="1"/>
    <n v="2024"/>
    <s v="Monday"/>
    <s v="January"/>
    <s v="2024"/>
    <d v="2024-01-01T00:00:00"/>
    <s v="CUST650"/>
    <x v="0"/>
    <x v="2"/>
    <n v="55"/>
    <x v="1"/>
    <n v="1"/>
    <n v="30"/>
    <n v="30"/>
    <n v="0.44999999999999996"/>
    <n v="0.6"/>
  </r>
  <r>
    <n v="651"/>
    <n v="27"/>
    <n v="5"/>
    <n v="2023"/>
    <s v="Saturday"/>
    <s v="May"/>
    <s v="2023"/>
    <d v="2023-05-27T00:00:00"/>
    <s v="CUST651"/>
    <x v="0"/>
    <x v="2"/>
    <n v="51"/>
    <x v="2"/>
    <n v="3"/>
    <n v="50"/>
    <n v="150"/>
    <n v="2.25"/>
    <n v="3"/>
  </r>
  <r>
    <n v="652"/>
    <n v="1"/>
    <n v="5"/>
    <n v="2023"/>
    <s v="Monday"/>
    <s v="May"/>
    <s v="2023"/>
    <d v="2023-05-01T00:00:00"/>
    <s v="CUST652"/>
    <x v="1"/>
    <x v="0"/>
    <n v="34"/>
    <x v="0"/>
    <n v="2"/>
    <n v="50"/>
    <n v="100"/>
    <n v="1.5"/>
    <n v="2"/>
  </r>
  <r>
    <n v="653"/>
    <n v="20"/>
    <n v="5"/>
    <n v="2023"/>
    <s v="Saturday"/>
    <s v="May"/>
    <s v="2023"/>
    <d v="2023-05-20T00:00:00"/>
    <s v="CUST653"/>
    <x v="0"/>
    <x v="2"/>
    <n v="54"/>
    <x v="2"/>
    <n v="3"/>
    <n v="25"/>
    <n v="75"/>
    <n v="1.125"/>
    <n v="1.5"/>
  </r>
  <r>
    <n v="654"/>
    <n v="21"/>
    <n v="6"/>
    <n v="2023"/>
    <s v="Wednesday"/>
    <s v="June"/>
    <s v="2023"/>
    <d v="2023-06-21T00:00:00"/>
    <s v="CUST654"/>
    <x v="0"/>
    <x v="0"/>
    <n v="42"/>
    <x v="2"/>
    <n v="3"/>
    <n v="25"/>
    <n v="75"/>
    <n v="1.125"/>
    <n v="1.5"/>
  </r>
  <r>
    <n v="655"/>
    <n v="13"/>
    <n v="6"/>
    <n v="2023"/>
    <s v="Tuesday"/>
    <s v="June"/>
    <s v="2023"/>
    <d v="2023-06-13T00:00:00"/>
    <s v="CUST655"/>
    <x v="1"/>
    <x v="2"/>
    <n v="55"/>
    <x v="2"/>
    <n v="1"/>
    <n v="500"/>
    <n v="500"/>
    <n v="7.5"/>
    <n v="10"/>
  </r>
  <r>
    <n v="656"/>
    <n v="4"/>
    <n v="10"/>
    <n v="2023"/>
    <s v="Wednesday"/>
    <s v="October"/>
    <s v="2023"/>
    <d v="2023-10-04T00:00:00"/>
    <s v="CUST656"/>
    <x v="0"/>
    <x v="1"/>
    <n v="29"/>
    <x v="0"/>
    <n v="3"/>
    <n v="30"/>
    <n v="90"/>
    <n v="1.3499999999999999"/>
    <n v="1.8"/>
  </r>
  <r>
    <n v="657"/>
    <n v="11"/>
    <n v="2"/>
    <n v="2023"/>
    <s v="Saturday"/>
    <s v="February"/>
    <s v="2023"/>
    <d v="2023-02-11T00:00:00"/>
    <s v="CUST657"/>
    <x v="0"/>
    <x v="0"/>
    <n v="40"/>
    <x v="2"/>
    <n v="1"/>
    <n v="25"/>
    <n v="25"/>
    <n v="0.375"/>
    <n v="0.5"/>
  </r>
  <r>
    <n v="658"/>
    <n v="12"/>
    <n v="3"/>
    <n v="2023"/>
    <s v="Sunday"/>
    <s v="March"/>
    <s v="2023"/>
    <d v="2023-03-12T00:00:00"/>
    <s v="CUST658"/>
    <x v="0"/>
    <x v="2"/>
    <n v="59"/>
    <x v="2"/>
    <n v="1"/>
    <n v="25"/>
    <n v="25"/>
    <n v="0.375"/>
    <n v="0.5"/>
  </r>
  <r>
    <n v="659"/>
    <n v="19"/>
    <n v="3"/>
    <n v="2023"/>
    <s v="Sunday"/>
    <s v="March"/>
    <s v="2023"/>
    <d v="2023-03-19T00:00:00"/>
    <s v="CUST659"/>
    <x v="1"/>
    <x v="0"/>
    <n v="39"/>
    <x v="1"/>
    <n v="1"/>
    <n v="30"/>
    <n v="30"/>
    <n v="0.44999999999999996"/>
    <n v="0.6"/>
  </r>
  <r>
    <n v="660"/>
    <n v="29"/>
    <n v="4"/>
    <n v="2023"/>
    <s v="Saturday"/>
    <s v="April"/>
    <s v="2023"/>
    <d v="2023-04-29T00:00:00"/>
    <s v="CUST660"/>
    <x v="1"/>
    <x v="0"/>
    <n v="38"/>
    <x v="0"/>
    <n v="2"/>
    <n v="500"/>
    <n v="1000"/>
    <n v="15"/>
    <n v="20"/>
  </r>
  <r>
    <n v="661"/>
    <n v="16"/>
    <n v="7"/>
    <n v="2023"/>
    <s v="Sunday"/>
    <s v="July"/>
    <s v="2023"/>
    <d v="2023-07-16T00:00:00"/>
    <s v="CUST661"/>
    <x v="1"/>
    <x v="0"/>
    <n v="44"/>
    <x v="2"/>
    <n v="4"/>
    <n v="25"/>
    <n v="100"/>
    <n v="1.5"/>
    <n v="2"/>
  </r>
  <r>
    <n v="662"/>
    <n v="22"/>
    <n v="12"/>
    <n v="2023"/>
    <s v="Friday"/>
    <s v="December"/>
    <s v="2023"/>
    <d v="2023-12-22T00:00:00"/>
    <s v="CUST662"/>
    <x v="0"/>
    <x v="0"/>
    <n v="48"/>
    <x v="0"/>
    <n v="2"/>
    <n v="500"/>
    <n v="1000"/>
    <n v="15"/>
    <n v="20"/>
  </r>
  <r>
    <n v="663"/>
    <n v="20"/>
    <n v="3"/>
    <n v="2023"/>
    <s v="Monday"/>
    <s v="March"/>
    <s v="2023"/>
    <d v="2023-03-20T00:00:00"/>
    <s v="CUST663"/>
    <x v="0"/>
    <x v="1"/>
    <n v="23"/>
    <x v="2"/>
    <n v="4"/>
    <n v="300"/>
    <n v="1200"/>
    <n v="18"/>
    <n v="24"/>
  </r>
  <r>
    <n v="664"/>
    <n v="28"/>
    <n v="12"/>
    <n v="2023"/>
    <s v="Thursday"/>
    <s v="December"/>
    <s v="2023"/>
    <d v="2023-12-28T00:00:00"/>
    <s v="CUST664"/>
    <x v="1"/>
    <x v="0"/>
    <n v="44"/>
    <x v="2"/>
    <n v="4"/>
    <n v="500"/>
    <n v="2000"/>
    <n v="30"/>
    <n v="40"/>
  </r>
  <r>
    <n v="665"/>
    <n v="20"/>
    <n v="4"/>
    <n v="2023"/>
    <s v="Thursday"/>
    <s v="April"/>
    <s v="2023"/>
    <d v="2023-04-20T00:00:00"/>
    <s v="CUST665"/>
    <x v="0"/>
    <x v="2"/>
    <n v="57"/>
    <x v="2"/>
    <n v="1"/>
    <n v="50"/>
    <n v="50"/>
    <n v="0.75"/>
    <n v="1"/>
  </r>
  <r>
    <n v="666"/>
    <n v="2"/>
    <n v="2"/>
    <n v="2023"/>
    <s v="Thursday"/>
    <s v="February"/>
    <s v="2023"/>
    <d v="2023-02-02T00:00:00"/>
    <s v="CUST666"/>
    <x v="0"/>
    <x v="2"/>
    <n v="51"/>
    <x v="1"/>
    <n v="3"/>
    <n v="50"/>
    <n v="150"/>
    <n v="2.25"/>
    <n v="3"/>
  </r>
  <r>
    <n v="667"/>
    <n v="1"/>
    <n v="8"/>
    <n v="2023"/>
    <s v="Tuesday"/>
    <s v="August"/>
    <s v="2023"/>
    <d v="2023-08-01T00:00:00"/>
    <s v="CUST667"/>
    <x v="1"/>
    <x v="1"/>
    <n v="29"/>
    <x v="1"/>
    <n v="1"/>
    <n v="500"/>
    <n v="500"/>
    <n v="7.5"/>
    <n v="10"/>
  </r>
  <r>
    <n v="668"/>
    <n v="28"/>
    <n v="7"/>
    <n v="2023"/>
    <s v="Friday"/>
    <s v="July"/>
    <s v="2023"/>
    <d v="2023-07-28T00:00:00"/>
    <s v="CUST668"/>
    <x v="1"/>
    <x v="2"/>
    <n v="62"/>
    <x v="1"/>
    <n v="3"/>
    <n v="50"/>
    <n v="150"/>
    <n v="2.25"/>
    <n v="3"/>
  </r>
  <r>
    <n v="669"/>
    <n v="19"/>
    <n v="6"/>
    <n v="2023"/>
    <s v="Monday"/>
    <s v="June"/>
    <s v="2023"/>
    <d v="2023-06-19T00:00:00"/>
    <s v="CUST669"/>
    <x v="0"/>
    <x v="1"/>
    <n v="24"/>
    <x v="0"/>
    <n v="4"/>
    <n v="300"/>
    <n v="1200"/>
    <n v="18"/>
    <n v="24"/>
  </r>
  <r>
    <n v="670"/>
    <n v="5"/>
    <n v="10"/>
    <n v="2023"/>
    <s v="Thursday"/>
    <s v="October"/>
    <s v="2023"/>
    <d v="2023-10-05T00:00:00"/>
    <s v="CUST670"/>
    <x v="0"/>
    <x v="1"/>
    <n v="27"/>
    <x v="0"/>
    <n v="1"/>
    <n v="30"/>
    <n v="30"/>
    <n v="0.44999999999999996"/>
    <n v="0.6"/>
  </r>
  <r>
    <n v="671"/>
    <n v="27"/>
    <n v="8"/>
    <n v="2023"/>
    <s v="Sunday"/>
    <s v="August"/>
    <s v="2023"/>
    <d v="2023-08-27T00:00:00"/>
    <s v="CUST671"/>
    <x v="0"/>
    <x v="2"/>
    <n v="62"/>
    <x v="1"/>
    <n v="3"/>
    <n v="50"/>
    <n v="150"/>
    <n v="2.25"/>
    <n v="3"/>
  </r>
  <r>
    <n v="672"/>
    <n v="1"/>
    <n v="8"/>
    <n v="2023"/>
    <s v="Tuesday"/>
    <s v="August"/>
    <s v="2023"/>
    <d v="2023-08-01T00:00:00"/>
    <s v="CUST672"/>
    <x v="1"/>
    <x v="0"/>
    <n v="34"/>
    <x v="0"/>
    <n v="2"/>
    <n v="50"/>
    <n v="100"/>
    <n v="1.5"/>
    <n v="2"/>
  </r>
  <r>
    <n v="673"/>
    <n v="1"/>
    <n v="2"/>
    <n v="2023"/>
    <s v="Wednesday"/>
    <s v="February"/>
    <s v="2023"/>
    <d v="2023-02-01T00:00:00"/>
    <s v="CUST673"/>
    <x v="1"/>
    <x v="0"/>
    <n v="43"/>
    <x v="2"/>
    <n v="3"/>
    <n v="500"/>
    <n v="1500"/>
    <n v="22.5"/>
    <n v="30"/>
  </r>
  <r>
    <n v="674"/>
    <n v="16"/>
    <n v="4"/>
    <n v="2023"/>
    <s v="Sunday"/>
    <s v="April"/>
    <s v="2023"/>
    <d v="2023-04-16T00:00:00"/>
    <s v="CUST674"/>
    <x v="1"/>
    <x v="0"/>
    <n v="38"/>
    <x v="2"/>
    <n v="1"/>
    <n v="300"/>
    <n v="300"/>
    <n v="4.5"/>
    <n v="6"/>
  </r>
  <r>
    <n v="675"/>
    <n v="4"/>
    <n v="8"/>
    <n v="2023"/>
    <s v="Friday"/>
    <s v="August"/>
    <s v="2023"/>
    <d v="2023-08-04T00:00:00"/>
    <s v="CUST675"/>
    <x v="1"/>
    <x v="0"/>
    <n v="45"/>
    <x v="2"/>
    <n v="2"/>
    <n v="30"/>
    <n v="60"/>
    <n v="0.89999999999999991"/>
    <n v="1.2"/>
  </r>
  <r>
    <n v="676"/>
    <n v="19"/>
    <n v="7"/>
    <n v="2023"/>
    <s v="Wednesday"/>
    <s v="July"/>
    <s v="2023"/>
    <d v="2023-07-19T00:00:00"/>
    <s v="CUST676"/>
    <x v="0"/>
    <x v="2"/>
    <n v="63"/>
    <x v="1"/>
    <n v="3"/>
    <n v="500"/>
    <n v="1500"/>
    <n v="22.5"/>
    <n v="30"/>
  </r>
  <r>
    <n v="677"/>
    <n v="27"/>
    <n v="10"/>
    <n v="2023"/>
    <s v="Friday"/>
    <s v="October"/>
    <s v="2023"/>
    <d v="2023-10-27T00:00:00"/>
    <s v="CUST677"/>
    <x v="1"/>
    <x v="1"/>
    <n v="19"/>
    <x v="0"/>
    <n v="3"/>
    <n v="500"/>
    <n v="1500"/>
    <n v="22.5"/>
    <n v="30"/>
  </r>
  <r>
    <n v="678"/>
    <n v="23"/>
    <n v="12"/>
    <n v="2023"/>
    <s v="Saturday"/>
    <s v="December"/>
    <s v="2023"/>
    <d v="2023-12-23T00:00:00"/>
    <s v="CUST678"/>
    <x v="1"/>
    <x v="2"/>
    <n v="60"/>
    <x v="1"/>
    <n v="3"/>
    <n v="300"/>
    <n v="900"/>
    <n v="13.5"/>
    <n v="18"/>
  </r>
  <r>
    <n v="679"/>
    <n v="11"/>
    <n v="1"/>
    <n v="2023"/>
    <s v="Wednesday"/>
    <s v="January"/>
    <s v="2023"/>
    <d v="2023-01-11T00:00:00"/>
    <s v="CUST679"/>
    <x v="1"/>
    <x v="1"/>
    <n v="18"/>
    <x v="0"/>
    <n v="3"/>
    <n v="30"/>
    <n v="90"/>
    <n v="1.3499999999999999"/>
    <n v="1.8"/>
  </r>
  <r>
    <n v="680"/>
    <n v="22"/>
    <n v="10"/>
    <n v="2023"/>
    <s v="Sunday"/>
    <s v="October"/>
    <s v="2023"/>
    <d v="2023-10-22T00:00:00"/>
    <s v="CUST680"/>
    <x v="1"/>
    <x v="2"/>
    <n v="53"/>
    <x v="2"/>
    <n v="3"/>
    <n v="300"/>
    <n v="900"/>
    <n v="13.5"/>
    <n v="18"/>
  </r>
  <r>
    <n v="681"/>
    <n v="14"/>
    <n v="7"/>
    <n v="2023"/>
    <s v="Friday"/>
    <s v="July"/>
    <s v="2023"/>
    <d v="2023-07-14T00:00:00"/>
    <s v="CUST681"/>
    <x v="1"/>
    <x v="0"/>
    <n v="43"/>
    <x v="1"/>
    <n v="2"/>
    <n v="30"/>
    <n v="60"/>
    <n v="0.89999999999999991"/>
    <n v="1.2"/>
  </r>
  <r>
    <n v="682"/>
    <n v="2"/>
    <n v="9"/>
    <n v="2023"/>
    <s v="Saturday"/>
    <s v="September"/>
    <s v="2023"/>
    <d v="2023-09-02T00:00:00"/>
    <s v="CUST682"/>
    <x v="0"/>
    <x v="0"/>
    <n v="46"/>
    <x v="0"/>
    <n v="4"/>
    <n v="300"/>
    <n v="1200"/>
    <n v="18"/>
    <n v="24"/>
  </r>
  <r>
    <n v="683"/>
    <n v="4"/>
    <n v="1"/>
    <n v="2023"/>
    <s v="Wednesday"/>
    <s v="January"/>
    <s v="2023"/>
    <d v="2023-01-04T00:00:00"/>
    <s v="CUST683"/>
    <x v="0"/>
    <x v="0"/>
    <n v="38"/>
    <x v="0"/>
    <n v="2"/>
    <n v="500"/>
    <n v="1000"/>
    <n v="15"/>
    <n v="20"/>
  </r>
  <r>
    <n v="684"/>
    <n v="30"/>
    <n v="6"/>
    <n v="2023"/>
    <s v="Friday"/>
    <s v="June"/>
    <s v="2023"/>
    <d v="2023-06-30T00:00:00"/>
    <s v="CUST684"/>
    <x v="1"/>
    <x v="1"/>
    <n v="28"/>
    <x v="2"/>
    <n v="2"/>
    <n v="500"/>
    <n v="1000"/>
    <n v="15"/>
    <n v="20"/>
  </r>
  <r>
    <n v="685"/>
    <n v="2"/>
    <n v="6"/>
    <n v="2023"/>
    <s v="Friday"/>
    <s v="June"/>
    <s v="2023"/>
    <d v="2023-06-02T00:00:00"/>
    <s v="CUST685"/>
    <x v="0"/>
    <x v="2"/>
    <n v="57"/>
    <x v="1"/>
    <n v="2"/>
    <n v="25"/>
    <n v="50"/>
    <n v="0.75"/>
    <n v="1"/>
  </r>
  <r>
    <n v="686"/>
    <n v="19"/>
    <n v="7"/>
    <n v="2023"/>
    <s v="Wednesday"/>
    <s v="July"/>
    <s v="2023"/>
    <d v="2023-07-19T00:00:00"/>
    <s v="CUST686"/>
    <x v="1"/>
    <x v="1"/>
    <n v="28"/>
    <x v="1"/>
    <n v="4"/>
    <n v="50"/>
    <n v="200"/>
    <n v="3"/>
    <n v="4"/>
  </r>
  <r>
    <n v="687"/>
    <n v="3"/>
    <n v="8"/>
    <n v="2023"/>
    <s v="Thursday"/>
    <s v="August"/>
    <s v="2023"/>
    <d v="2023-08-03T00:00:00"/>
    <s v="CUST687"/>
    <x v="1"/>
    <x v="2"/>
    <n v="53"/>
    <x v="1"/>
    <n v="1"/>
    <n v="300"/>
    <n v="300"/>
    <n v="4.5"/>
    <n v="6"/>
  </r>
  <r>
    <n v="688"/>
    <n v="3"/>
    <n v="10"/>
    <n v="2023"/>
    <s v="Tuesday"/>
    <s v="October"/>
    <s v="2023"/>
    <d v="2023-10-03T00:00:00"/>
    <s v="CUST688"/>
    <x v="0"/>
    <x v="2"/>
    <n v="56"/>
    <x v="2"/>
    <n v="4"/>
    <n v="25"/>
    <n v="100"/>
    <n v="1.5"/>
    <n v="2"/>
  </r>
  <r>
    <n v="689"/>
    <n v="7"/>
    <n v="10"/>
    <n v="2023"/>
    <s v="Saturday"/>
    <s v="October"/>
    <s v="2023"/>
    <d v="2023-10-07T00:00:00"/>
    <s v="CUST689"/>
    <x v="0"/>
    <x v="2"/>
    <n v="57"/>
    <x v="1"/>
    <n v="2"/>
    <n v="50"/>
    <n v="100"/>
    <n v="1.5"/>
    <n v="2"/>
  </r>
  <r>
    <n v="690"/>
    <n v="5"/>
    <n v="11"/>
    <n v="2023"/>
    <s v="Sunday"/>
    <s v="November"/>
    <s v="2023"/>
    <d v="2023-11-05T00:00:00"/>
    <s v="CUST690"/>
    <x v="1"/>
    <x v="2"/>
    <n v="52"/>
    <x v="2"/>
    <n v="3"/>
    <n v="300"/>
    <n v="900"/>
    <n v="13.5"/>
    <n v="18"/>
  </r>
  <r>
    <n v="691"/>
    <n v="23"/>
    <n v="4"/>
    <n v="2023"/>
    <s v="Sunday"/>
    <s v="April"/>
    <s v="2023"/>
    <d v="2023-04-23T00:00:00"/>
    <s v="CUST691"/>
    <x v="1"/>
    <x v="2"/>
    <n v="51"/>
    <x v="2"/>
    <n v="3"/>
    <n v="30"/>
    <n v="90"/>
    <n v="1.3499999999999999"/>
    <n v="1.8"/>
  </r>
  <r>
    <n v="692"/>
    <n v="7"/>
    <n v="9"/>
    <n v="2023"/>
    <s v="Thursday"/>
    <s v="September"/>
    <s v="2023"/>
    <d v="2023-09-07T00:00:00"/>
    <s v="CUST692"/>
    <x v="1"/>
    <x v="2"/>
    <n v="64"/>
    <x v="2"/>
    <n v="2"/>
    <n v="50"/>
    <n v="100"/>
    <n v="1.5"/>
    <n v="2"/>
  </r>
  <r>
    <n v="693"/>
    <n v="23"/>
    <n v="4"/>
    <n v="2023"/>
    <s v="Sunday"/>
    <s v="April"/>
    <s v="2023"/>
    <d v="2023-04-23T00:00:00"/>
    <s v="CUST693"/>
    <x v="0"/>
    <x v="0"/>
    <n v="41"/>
    <x v="0"/>
    <n v="3"/>
    <n v="500"/>
    <n v="1500"/>
    <n v="22.5"/>
    <n v="30"/>
  </r>
  <r>
    <n v="694"/>
    <n v="20"/>
    <n v="5"/>
    <n v="2023"/>
    <s v="Saturday"/>
    <s v="May"/>
    <s v="2023"/>
    <d v="2023-05-20T00:00:00"/>
    <s v="CUST694"/>
    <x v="1"/>
    <x v="0"/>
    <n v="39"/>
    <x v="1"/>
    <n v="2"/>
    <n v="25"/>
    <n v="50"/>
    <n v="0.75"/>
    <n v="1"/>
  </r>
  <r>
    <n v="695"/>
    <n v="12"/>
    <n v="8"/>
    <n v="2023"/>
    <s v="Saturday"/>
    <s v="August"/>
    <s v="2023"/>
    <d v="2023-08-12T00:00:00"/>
    <s v="CUST695"/>
    <x v="1"/>
    <x v="1"/>
    <n v="22"/>
    <x v="1"/>
    <n v="3"/>
    <n v="50"/>
    <n v="150"/>
    <n v="2.25"/>
    <n v="3"/>
  </r>
  <r>
    <n v="696"/>
    <n v="6"/>
    <n v="9"/>
    <n v="2023"/>
    <s v="Wednesday"/>
    <s v="September"/>
    <s v="2023"/>
    <d v="2023-09-06T00:00:00"/>
    <s v="CUST696"/>
    <x v="1"/>
    <x v="0"/>
    <n v="50"/>
    <x v="2"/>
    <n v="4"/>
    <n v="50"/>
    <n v="200"/>
    <n v="3"/>
    <n v="4"/>
  </r>
  <r>
    <n v="697"/>
    <n v="15"/>
    <n v="1"/>
    <n v="2023"/>
    <s v="Sunday"/>
    <s v="January"/>
    <s v="2023"/>
    <d v="2023-01-15T00:00:00"/>
    <s v="CUST697"/>
    <x v="0"/>
    <x v="2"/>
    <n v="53"/>
    <x v="2"/>
    <n v="1"/>
    <n v="500"/>
    <n v="500"/>
    <n v="7.5"/>
    <n v="10"/>
  </r>
  <r>
    <n v="698"/>
    <n v="19"/>
    <n v="7"/>
    <n v="2023"/>
    <s v="Wednesday"/>
    <s v="July"/>
    <s v="2023"/>
    <d v="2023-07-19T00:00:00"/>
    <s v="CUST698"/>
    <x v="1"/>
    <x v="2"/>
    <n v="64"/>
    <x v="1"/>
    <n v="1"/>
    <n v="300"/>
    <n v="300"/>
    <n v="4.5"/>
    <n v="6"/>
  </r>
  <r>
    <n v="699"/>
    <n v="22"/>
    <n v="6"/>
    <n v="2023"/>
    <s v="Thursday"/>
    <s v="June"/>
    <s v="2023"/>
    <d v="2023-06-22T00:00:00"/>
    <s v="CUST699"/>
    <x v="1"/>
    <x v="0"/>
    <n v="37"/>
    <x v="2"/>
    <n v="4"/>
    <n v="30"/>
    <n v="120"/>
    <n v="1.7999999999999998"/>
    <n v="2.4"/>
  </r>
  <r>
    <n v="700"/>
    <n v="9"/>
    <n v="12"/>
    <n v="2023"/>
    <s v="Saturday"/>
    <s v="December"/>
    <s v="2023"/>
    <d v="2023-12-09T00:00:00"/>
    <s v="CUST700"/>
    <x v="0"/>
    <x v="0"/>
    <n v="36"/>
    <x v="1"/>
    <n v="4"/>
    <n v="500"/>
    <n v="2000"/>
    <n v="30"/>
    <n v="40"/>
  </r>
  <r>
    <n v="701"/>
    <n v="14"/>
    <n v="12"/>
    <n v="2023"/>
    <s v="Thursday"/>
    <s v="December"/>
    <s v="2023"/>
    <d v="2023-12-14T00:00:00"/>
    <s v="CUST701"/>
    <x v="1"/>
    <x v="2"/>
    <n v="52"/>
    <x v="0"/>
    <n v="2"/>
    <n v="30"/>
    <n v="60"/>
    <n v="0.89999999999999991"/>
    <n v="1.2"/>
  </r>
  <r>
    <n v="702"/>
    <n v="27"/>
    <n v="7"/>
    <n v="2023"/>
    <s v="Thursday"/>
    <s v="July"/>
    <s v="2023"/>
    <d v="2023-07-27T00:00:00"/>
    <s v="CUST702"/>
    <x v="1"/>
    <x v="2"/>
    <n v="60"/>
    <x v="2"/>
    <n v="2"/>
    <n v="300"/>
    <n v="600"/>
    <n v="9"/>
    <n v="12"/>
  </r>
  <r>
    <n v="703"/>
    <n v="26"/>
    <n v="3"/>
    <n v="2023"/>
    <s v="Sunday"/>
    <s v="March"/>
    <s v="2023"/>
    <d v="2023-03-26T00:00:00"/>
    <s v="CUST703"/>
    <x v="0"/>
    <x v="0"/>
    <n v="34"/>
    <x v="1"/>
    <n v="2"/>
    <n v="50"/>
    <n v="100"/>
    <n v="1.5"/>
    <n v="2"/>
  </r>
  <r>
    <n v="704"/>
    <n v="28"/>
    <n v="8"/>
    <n v="2023"/>
    <s v="Monday"/>
    <s v="August"/>
    <s v="2023"/>
    <d v="2023-08-28T00:00:00"/>
    <s v="CUST704"/>
    <x v="1"/>
    <x v="2"/>
    <n v="62"/>
    <x v="2"/>
    <n v="3"/>
    <n v="30"/>
    <n v="90"/>
    <n v="1.3499999999999999"/>
    <n v="1.8"/>
  </r>
  <r>
    <n v="705"/>
    <n v="7"/>
    <n v="3"/>
    <n v="2023"/>
    <s v="Tuesday"/>
    <s v="March"/>
    <s v="2023"/>
    <d v="2023-03-07T00:00:00"/>
    <s v="CUST705"/>
    <x v="0"/>
    <x v="2"/>
    <n v="60"/>
    <x v="1"/>
    <n v="2"/>
    <n v="25"/>
    <n v="50"/>
    <n v="0.75"/>
    <n v="1"/>
  </r>
  <r>
    <n v="706"/>
    <n v="15"/>
    <n v="11"/>
    <n v="2023"/>
    <s v="Wednesday"/>
    <s v="November"/>
    <s v="2023"/>
    <d v="2023-11-15T00:00:00"/>
    <s v="CUST706"/>
    <x v="0"/>
    <x v="2"/>
    <n v="51"/>
    <x v="1"/>
    <n v="4"/>
    <n v="25"/>
    <n v="100"/>
    <n v="1.5"/>
    <n v="2"/>
  </r>
  <r>
    <n v="707"/>
    <n v="1"/>
    <n v="10"/>
    <n v="2023"/>
    <s v="Sunday"/>
    <s v="October"/>
    <s v="2023"/>
    <d v="2023-10-01T00:00:00"/>
    <s v="CUST707"/>
    <x v="1"/>
    <x v="1"/>
    <n v="26"/>
    <x v="2"/>
    <n v="1"/>
    <n v="500"/>
    <n v="500"/>
    <n v="7.5"/>
    <n v="10"/>
  </r>
  <r>
    <n v="708"/>
    <n v="14"/>
    <n v="1"/>
    <n v="2023"/>
    <s v="Saturday"/>
    <s v="January"/>
    <s v="2023"/>
    <d v="2023-01-14T00:00:00"/>
    <s v="CUST708"/>
    <x v="1"/>
    <x v="0"/>
    <n v="43"/>
    <x v="0"/>
    <n v="3"/>
    <n v="300"/>
    <n v="900"/>
    <n v="13.5"/>
    <n v="18"/>
  </r>
  <r>
    <n v="709"/>
    <n v="21"/>
    <n v="7"/>
    <n v="2023"/>
    <s v="Friday"/>
    <s v="July"/>
    <s v="2023"/>
    <d v="2023-07-21T00:00:00"/>
    <s v="CUST709"/>
    <x v="1"/>
    <x v="1"/>
    <n v="19"/>
    <x v="1"/>
    <n v="2"/>
    <n v="500"/>
    <n v="1000"/>
    <n v="15"/>
    <n v="20"/>
  </r>
  <r>
    <n v="710"/>
    <n v="31"/>
    <n v="10"/>
    <n v="2023"/>
    <s v="Tuesday"/>
    <s v="October"/>
    <s v="2023"/>
    <d v="2023-10-31T00:00:00"/>
    <s v="CUST710"/>
    <x v="1"/>
    <x v="1"/>
    <n v="26"/>
    <x v="1"/>
    <n v="3"/>
    <n v="500"/>
    <n v="1500"/>
    <n v="22.5"/>
    <n v="30"/>
  </r>
  <r>
    <n v="711"/>
    <n v="16"/>
    <n v="10"/>
    <n v="2023"/>
    <s v="Monday"/>
    <s v="October"/>
    <s v="2023"/>
    <d v="2023-10-16T00:00:00"/>
    <s v="CUST711"/>
    <x v="0"/>
    <x v="1"/>
    <n v="26"/>
    <x v="1"/>
    <n v="3"/>
    <n v="500"/>
    <n v="1500"/>
    <n v="22.5"/>
    <n v="30"/>
  </r>
  <r>
    <n v="712"/>
    <n v="6"/>
    <n v="12"/>
    <n v="2023"/>
    <s v="Wednesday"/>
    <s v="December"/>
    <s v="2023"/>
    <d v="2023-12-06T00:00:00"/>
    <s v="CUST712"/>
    <x v="1"/>
    <x v="2"/>
    <n v="57"/>
    <x v="0"/>
    <n v="2"/>
    <n v="25"/>
    <n v="50"/>
    <n v="0.75"/>
    <n v="1"/>
  </r>
  <r>
    <n v="713"/>
    <n v="14"/>
    <n v="1"/>
    <n v="2023"/>
    <s v="Saturday"/>
    <s v="January"/>
    <s v="2023"/>
    <d v="2023-01-14T00:00:00"/>
    <s v="CUST713"/>
    <x v="0"/>
    <x v="0"/>
    <n v="34"/>
    <x v="0"/>
    <n v="3"/>
    <n v="25"/>
    <n v="75"/>
    <n v="1.125"/>
    <n v="1.5"/>
  </r>
  <r>
    <n v="714"/>
    <n v="12"/>
    <n v="2"/>
    <n v="2023"/>
    <s v="Sunday"/>
    <s v="February"/>
    <s v="2023"/>
    <d v="2023-02-12T00:00:00"/>
    <s v="CUST714"/>
    <x v="1"/>
    <x v="1"/>
    <n v="18"/>
    <x v="2"/>
    <n v="1"/>
    <n v="500"/>
    <n v="500"/>
    <n v="7.5"/>
    <n v="10"/>
  </r>
  <r>
    <n v="715"/>
    <n v="26"/>
    <n v="11"/>
    <n v="2023"/>
    <s v="Sunday"/>
    <s v="November"/>
    <s v="2023"/>
    <d v="2023-11-26T00:00:00"/>
    <s v="CUST715"/>
    <x v="1"/>
    <x v="0"/>
    <n v="42"/>
    <x v="0"/>
    <n v="4"/>
    <n v="25"/>
    <n v="100"/>
    <n v="1.5"/>
    <n v="2"/>
  </r>
  <r>
    <n v="716"/>
    <n v="8"/>
    <n v="8"/>
    <n v="2023"/>
    <s v="Tuesday"/>
    <s v="August"/>
    <s v="2023"/>
    <d v="2023-08-08T00:00:00"/>
    <s v="CUST716"/>
    <x v="1"/>
    <x v="2"/>
    <n v="60"/>
    <x v="2"/>
    <n v="4"/>
    <n v="300"/>
    <n v="1200"/>
    <n v="18"/>
    <n v="24"/>
  </r>
  <r>
    <n v="717"/>
    <n v="11"/>
    <n v="3"/>
    <n v="2023"/>
    <s v="Saturday"/>
    <s v="March"/>
    <s v="2023"/>
    <d v="2023-03-11T00:00:00"/>
    <s v="CUST717"/>
    <x v="0"/>
    <x v="2"/>
    <n v="57"/>
    <x v="2"/>
    <n v="1"/>
    <n v="500"/>
    <n v="500"/>
    <n v="7.5"/>
    <n v="10"/>
  </r>
  <r>
    <n v="718"/>
    <n v="25"/>
    <n v="8"/>
    <n v="2023"/>
    <s v="Friday"/>
    <s v="August"/>
    <s v="2023"/>
    <d v="2023-08-25T00:00:00"/>
    <s v="CUST718"/>
    <x v="1"/>
    <x v="2"/>
    <n v="59"/>
    <x v="0"/>
    <n v="3"/>
    <n v="25"/>
    <n v="75"/>
    <n v="1.125"/>
    <n v="1.5"/>
  </r>
  <r>
    <n v="719"/>
    <n v="4"/>
    <n v="4"/>
    <n v="2023"/>
    <s v="Tuesday"/>
    <s v="April"/>
    <s v="2023"/>
    <d v="2023-04-04T00:00:00"/>
    <s v="CUST719"/>
    <x v="1"/>
    <x v="0"/>
    <n v="42"/>
    <x v="2"/>
    <n v="2"/>
    <n v="30"/>
    <n v="60"/>
    <n v="0.89999999999999991"/>
    <n v="1.2"/>
  </r>
  <r>
    <n v="720"/>
    <n v="26"/>
    <n v="1"/>
    <n v="2023"/>
    <s v="Thursday"/>
    <s v="January"/>
    <s v="2023"/>
    <d v="2023-01-26T00:00:00"/>
    <s v="CUST720"/>
    <x v="1"/>
    <x v="2"/>
    <n v="56"/>
    <x v="0"/>
    <n v="3"/>
    <n v="500"/>
    <n v="1500"/>
    <n v="22.5"/>
    <n v="30"/>
  </r>
  <r>
    <n v="721"/>
    <n v="14"/>
    <n v="5"/>
    <n v="2023"/>
    <s v="Sunday"/>
    <s v="May"/>
    <s v="2023"/>
    <d v="2023-05-14T00:00:00"/>
    <s v="CUST721"/>
    <x v="1"/>
    <x v="2"/>
    <n v="52"/>
    <x v="2"/>
    <n v="1"/>
    <n v="500"/>
    <n v="500"/>
    <n v="7.5"/>
    <n v="10"/>
  </r>
  <r>
    <n v="722"/>
    <n v="14"/>
    <n v="7"/>
    <n v="2023"/>
    <s v="Friday"/>
    <s v="July"/>
    <s v="2023"/>
    <d v="2023-07-14T00:00:00"/>
    <s v="CUST722"/>
    <x v="0"/>
    <x v="1"/>
    <n v="20"/>
    <x v="0"/>
    <n v="3"/>
    <n v="300"/>
    <n v="900"/>
    <n v="13.5"/>
    <n v="18"/>
  </r>
  <r>
    <n v="723"/>
    <n v="17"/>
    <n v="6"/>
    <n v="2023"/>
    <s v="Saturday"/>
    <s v="June"/>
    <s v="2023"/>
    <d v="2023-06-17T00:00:00"/>
    <s v="CUST723"/>
    <x v="1"/>
    <x v="2"/>
    <n v="54"/>
    <x v="0"/>
    <n v="4"/>
    <n v="50"/>
    <n v="200"/>
    <n v="3"/>
    <n v="4"/>
  </r>
  <r>
    <n v="724"/>
    <n v="19"/>
    <n v="4"/>
    <n v="2023"/>
    <s v="Wednesday"/>
    <s v="April"/>
    <s v="2023"/>
    <d v="2023-04-19T00:00:00"/>
    <s v="CUST724"/>
    <x v="0"/>
    <x v="2"/>
    <n v="61"/>
    <x v="2"/>
    <n v="3"/>
    <n v="50"/>
    <n v="150"/>
    <n v="2.25"/>
    <n v="3"/>
  </r>
  <r>
    <n v="725"/>
    <n v="21"/>
    <n v="8"/>
    <n v="2023"/>
    <s v="Monday"/>
    <s v="August"/>
    <s v="2023"/>
    <d v="2023-08-21T00:00:00"/>
    <s v="CUST725"/>
    <x v="0"/>
    <x v="2"/>
    <n v="61"/>
    <x v="1"/>
    <n v="1"/>
    <n v="300"/>
    <n v="300"/>
    <n v="4.5"/>
    <n v="6"/>
  </r>
  <r>
    <n v="726"/>
    <n v="17"/>
    <n v="6"/>
    <n v="2023"/>
    <s v="Saturday"/>
    <s v="June"/>
    <s v="2023"/>
    <d v="2023-06-17T00:00:00"/>
    <s v="CUST726"/>
    <x v="0"/>
    <x v="0"/>
    <n v="47"/>
    <x v="2"/>
    <n v="4"/>
    <n v="300"/>
    <n v="1200"/>
    <n v="18"/>
    <n v="24"/>
  </r>
  <r>
    <n v="727"/>
    <n v="22"/>
    <n v="6"/>
    <n v="2023"/>
    <s v="Thursday"/>
    <s v="June"/>
    <s v="2023"/>
    <d v="2023-06-22T00:00:00"/>
    <s v="CUST727"/>
    <x v="0"/>
    <x v="2"/>
    <n v="55"/>
    <x v="0"/>
    <n v="3"/>
    <n v="300"/>
    <n v="900"/>
    <n v="13.5"/>
    <n v="18"/>
  </r>
  <r>
    <n v="728"/>
    <n v="14"/>
    <n v="7"/>
    <n v="2023"/>
    <s v="Friday"/>
    <s v="July"/>
    <s v="2023"/>
    <d v="2023-07-14T00:00:00"/>
    <s v="CUST728"/>
    <x v="0"/>
    <x v="2"/>
    <n v="51"/>
    <x v="1"/>
    <n v="3"/>
    <n v="50"/>
    <n v="150"/>
    <n v="2.25"/>
    <n v="3"/>
  </r>
  <r>
    <n v="729"/>
    <n v="23"/>
    <n v="5"/>
    <n v="2023"/>
    <s v="Tuesday"/>
    <s v="May"/>
    <s v="2023"/>
    <d v="2023-05-23T00:00:00"/>
    <s v="CUST729"/>
    <x v="0"/>
    <x v="1"/>
    <n v="29"/>
    <x v="2"/>
    <n v="4"/>
    <n v="300"/>
    <n v="1200"/>
    <n v="18"/>
    <n v="24"/>
  </r>
  <r>
    <n v="730"/>
    <n v="4"/>
    <n v="8"/>
    <n v="2023"/>
    <s v="Friday"/>
    <s v="August"/>
    <s v="2023"/>
    <d v="2023-08-04T00:00:00"/>
    <s v="CUST730"/>
    <x v="1"/>
    <x v="0"/>
    <n v="36"/>
    <x v="2"/>
    <n v="2"/>
    <n v="25"/>
    <n v="50"/>
    <n v="0.75"/>
    <n v="1"/>
  </r>
  <r>
    <n v="731"/>
    <n v="10"/>
    <n v="5"/>
    <n v="2023"/>
    <s v="Wednesday"/>
    <s v="May"/>
    <s v="2023"/>
    <d v="2023-05-10T00:00:00"/>
    <s v="CUST731"/>
    <x v="0"/>
    <x v="2"/>
    <n v="54"/>
    <x v="2"/>
    <n v="4"/>
    <n v="500"/>
    <n v="2000"/>
    <n v="30"/>
    <n v="40"/>
  </r>
  <r>
    <n v="732"/>
    <n v="11"/>
    <n v="2"/>
    <n v="2023"/>
    <s v="Saturday"/>
    <s v="February"/>
    <s v="2023"/>
    <d v="2023-02-11T00:00:00"/>
    <s v="CUST732"/>
    <x v="0"/>
    <x v="2"/>
    <n v="61"/>
    <x v="1"/>
    <n v="2"/>
    <n v="500"/>
    <n v="1000"/>
    <n v="15"/>
    <n v="20"/>
  </r>
  <r>
    <n v="733"/>
    <n v="29"/>
    <n v="8"/>
    <n v="2023"/>
    <s v="Tuesday"/>
    <s v="August"/>
    <s v="2023"/>
    <d v="2023-08-29T00:00:00"/>
    <s v="CUST733"/>
    <x v="0"/>
    <x v="0"/>
    <n v="34"/>
    <x v="0"/>
    <n v="1"/>
    <n v="30"/>
    <n v="30"/>
    <n v="0.44999999999999996"/>
    <n v="0.6"/>
  </r>
  <r>
    <n v="734"/>
    <n v="10"/>
    <n v="1"/>
    <n v="2023"/>
    <s v="Tuesday"/>
    <s v="January"/>
    <s v="2023"/>
    <d v="2023-01-10T00:00:00"/>
    <s v="CUST734"/>
    <x v="1"/>
    <x v="1"/>
    <n v="27"/>
    <x v="2"/>
    <n v="1"/>
    <n v="30"/>
    <n v="30"/>
    <n v="0.44999999999999996"/>
    <n v="0.6"/>
  </r>
  <r>
    <n v="735"/>
    <n v="4"/>
    <n v="10"/>
    <n v="2023"/>
    <s v="Wednesday"/>
    <s v="October"/>
    <s v="2023"/>
    <d v="2023-10-04T00:00:00"/>
    <s v="CUST735"/>
    <x v="1"/>
    <x v="2"/>
    <n v="64"/>
    <x v="2"/>
    <n v="4"/>
    <n v="500"/>
    <n v="2000"/>
    <n v="30"/>
    <n v="40"/>
  </r>
  <r>
    <n v="736"/>
    <n v="27"/>
    <n v="1"/>
    <n v="2023"/>
    <s v="Friday"/>
    <s v="January"/>
    <s v="2023"/>
    <d v="2023-01-27T00:00:00"/>
    <s v="CUST736"/>
    <x v="0"/>
    <x v="1"/>
    <n v="29"/>
    <x v="2"/>
    <n v="4"/>
    <n v="25"/>
    <n v="100"/>
    <n v="1.5"/>
    <n v="2"/>
  </r>
  <r>
    <n v="737"/>
    <n v="29"/>
    <n v="6"/>
    <n v="2023"/>
    <s v="Thursday"/>
    <s v="June"/>
    <s v="2023"/>
    <d v="2023-06-29T00:00:00"/>
    <s v="CUST737"/>
    <x v="1"/>
    <x v="0"/>
    <n v="33"/>
    <x v="2"/>
    <n v="1"/>
    <n v="50"/>
    <n v="50"/>
    <n v="0.75"/>
    <n v="1"/>
  </r>
  <r>
    <n v="738"/>
    <n v="25"/>
    <n v="4"/>
    <n v="2023"/>
    <s v="Tuesday"/>
    <s v="April"/>
    <s v="2023"/>
    <d v="2023-04-25T00:00:00"/>
    <s v="CUST738"/>
    <x v="0"/>
    <x v="0"/>
    <n v="41"/>
    <x v="2"/>
    <n v="2"/>
    <n v="50"/>
    <n v="100"/>
    <n v="1.5"/>
    <n v="2"/>
  </r>
  <r>
    <n v="739"/>
    <n v="29"/>
    <n v="11"/>
    <n v="2023"/>
    <s v="Wednesday"/>
    <s v="November"/>
    <s v="2023"/>
    <d v="2023-11-29T00:00:00"/>
    <s v="CUST739"/>
    <x v="0"/>
    <x v="0"/>
    <n v="36"/>
    <x v="0"/>
    <n v="1"/>
    <n v="25"/>
    <n v="25"/>
    <n v="0.375"/>
    <n v="0.5"/>
  </r>
  <r>
    <n v="740"/>
    <n v="5"/>
    <n v="2"/>
    <n v="2023"/>
    <s v="Sunday"/>
    <s v="February"/>
    <s v="2023"/>
    <d v="2023-02-05T00:00:00"/>
    <s v="CUST740"/>
    <x v="1"/>
    <x v="1"/>
    <n v="25"/>
    <x v="0"/>
    <n v="4"/>
    <n v="50"/>
    <n v="200"/>
    <n v="3"/>
    <n v="4"/>
  </r>
  <r>
    <n v="741"/>
    <n v="30"/>
    <n v="11"/>
    <n v="2023"/>
    <s v="Thursday"/>
    <s v="November"/>
    <s v="2023"/>
    <d v="2023-11-30T00:00:00"/>
    <s v="CUST741"/>
    <x v="0"/>
    <x v="0"/>
    <n v="48"/>
    <x v="2"/>
    <n v="1"/>
    <n v="300"/>
    <n v="300"/>
    <n v="4.5"/>
    <n v="6"/>
  </r>
  <r>
    <n v="742"/>
    <n v="21"/>
    <n v="1"/>
    <n v="2023"/>
    <s v="Saturday"/>
    <s v="January"/>
    <s v="2023"/>
    <d v="2023-01-21T00:00:00"/>
    <s v="CUST742"/>
    <x v="1"/>
    <x v="0"/>
    <n v="38"/>
    <x v="1"/>
    <n v="4"/>
    <n v="500"/>
    <n v="2000"/>
    <n v="30"/>
    <n v="40"/>
  </r>
  <r>
    <n v="743"/>
    <n v="16"/>
    <n v="1"/>
    <n v="2023"/>
    <s v="Monday"/>
    <s v="January"/>
    <s v="2023"/>
    <d v="2023-01-16T00:00:00"/>
    <s v="CUST743"/>
    <x v="1"/>
    <x v="0"/>
    <n v="34"/>
    <x v="0"/>
    <n v="4"/>
    <n v="500"/>
    <n v="2000"/>
    <n v="30"/>
    <n v="40"/>
  </r>
  <r>
    <n v="744"/>
    <n v="7"/>
    <n v="5"/>
    <n v="2023"/>
    <s v="Sunday"/>
    <s v="May"/>
    <s v="2023"/>
    <d v="2023-05-07T00:00:00"/>
    <s v="CUST744"/>
    <x v="0"/>
    <x v="0"/>
    <n v="40"/>
    <x v="1"/>
    <n v="1"/>
    <n v="25"/>
    <n v="25"/>
    <n v="0.375"/>
    <n v="0.5"/>
  </r>
  <r>
    <n v="745"/>
    <n v="13"/>
    <n v="4"/>
    <n v="2023"/>
    <s v="Thursday"/>
    <s v="April"/>
    <s v="2023"/>
    <d v="2023-04-13T00:00:00"/>
    <s v="CUST745"/>
    <x v="0"/>
    <x v="2"/>
    <n v="54"/>
    <x v="0"/>
    <n v="2"/>
    <n v="50"/>
    <n v="100"/>
    <n v="1.5"/>
    <n v="2"/>
  </r>
  <r>
    <n v="746"/>
    <n v="11"/>
    <n v="1"/>
    <n v="2023"/>
    <s v="Wednesday"/>
    <s v="January"/>
    <s v="2023"/>
    <d v="2023-01-11T00:00:00"/>
    <s v="CUST746"/>
    <x v="1"/>
    <x v="0"/>
    <n v="33"/>
    <x v="2"/>
    <n v="3"/>
    <n v="30"/>
    <n v="90"/>
    <n v="1.3499999999999999"/>
    <n v="1.8"/>
  </r>
  <r>
    <n v="747"/>
    <n v="15"/>
    <n v="11"/>
    <n v="2023"/>
    <s v="Wednesday"/>
    <s v="November"/>
    <s v="2023"/>
    <d v="2023-11-15T00:00:00"/>
    <s v="CUST747"/>
    <x v="0"/>
    <x v="1"/>
    <n v="23"/>
    <x v="0"/>
    <n v="1"/>
    <n v="30"/>
    <n v="30"/>
    <n v="0.44999999999999996"/>
    <n v="0.6"/>
  </r>
  <r>
    <n v="748"/>
    <n v="20"/>
    <n v="3"/>
    <n v="2023"/>
    <s v="Monday"/>
    <s v="March"/>
    <s v="2023"/>
    <d v="2023-03-20T00:00:00"/>
    <s v="CUST748"/>
    <x v="0"/>
    <x v="1"/>
    <n v="25"/>
    <x v="2"/>
    <n v="3"/>
    <n v="50"/>
    <n v="150"/>
    <n v="2.25"/>
    <n v="3"/>
  </r>
  <r>
    <n v="749"/>
    <n v="3"/>
    <n v="5"/>
    <n v="2023"/>
    <s v="Wednesday"/>
    <s v="May"/>
    <s v="2023"/>
    <d v="2023-05-03T00:00:00"/>
    <s v="CUST749"/>
    <x v="0"/>
    <x v="0"/>
    <n v="42"/>
    <x v="0"/>
    <n v="1"/>
    <n v="30"/>
    <n v="30"/>
    <n v="0.44999999999999996"/>
    <n v="0.6"/>
  </r>
  <r>
    <n v="750"/>
    <n v="6"/>
    <n v="3"/>
    <n v="2023"/>
    <s v="Monday"/>
    <s v="March"/>
    <s v="2023"/>
    <d v="2023-03-06T00:00:00"/>
    <s v="CUST750"/>
    <x v="1"/>
    <x v="0"/>
    <n v="35"/>
    <x v="2"/>
    <n v="3"/>
    <n v="25"/>
    <n v="75"/>
    <n v="1.125"/>
    <n v="1.5"/>
  </r>
  <r>
    <n v="751"/>
    <n v="31"/>
    <n v="8"/>
    <n v="2023"/>
    <s v="Thursday"/>
    <s v="August"/>
    <s v="2023"/>
    <d v="2023-08-31T00:00:00"/>
    <s v="CUST751"/>
    <x v="1"/>
    <x v="0"/>
    <n v="42"/>
    <x v="2"/>
    <n v="2"/>
    <n v="25"/>
    <n v="50"/>
    <n v="0.75"/>
    <n v="1"/>
  </r>
  <r>
    <n v="752"/>
    <n v="9"/>
    <n v="12"/>
    <n v="2023"/>
    <s v="Saturday"/>
    <s v="December"/>
    <s v="2023"/>
    <d v="2023-12-09T00:00:00"/>
    <s v="CUST752"/>
    <x v="0"/>
    <x v="1"/>
    <n v="29"/>
    <x v="2"/>
    <n v="2"/>
    <n v="50"/>
    <n v="100"/>
    <n v="1.5"/>
    <n v="2"/>
  </r>
  <r>
    <n v="753"/>
    <n v="28"/>
    <n v="2"/>
    <n v="2023"/>
    <s v="Tuesday"/>
    <s v="February"/>
    <s v="2023"/>
    <d v="2023-02-28T00:00:00"/>
    <s v="CUST753"/>
    <x v="1"/>
    <x v="0"/>
    <n v="32"/>
    <x v="2"/>
    <n v="1"/>
    <n v="30"/>
    <n v="30"/>
    <n v="0.44999999999999996"/>
    <n v="0.6"/>
  </r>
  <r>
    <n v="754"/>
    <n v="16"/>
    <n v="10"/>
    <n v="2023"/>
    <s v="Monday"/>
    <s v="October"/>
    <s v="2023"/>
    <d v="2023-10-16T00:00:00"/>
    <s v="CUST754"/>
    <x v="1"/>
    <x v="0"/>
    <n v="43"/>
    <x v="1"/>
    <n v="4"/>
    <n v="25"/>
    <n v="100"/>
    <n v="1.5"/>
    <n v="2"/>
  </r>
  <r>
    <n v="755"/>
    <n v="22"/>
    <n v="4"/>
    <n v="2023"/>
    <s v="Saturday"/>
    <s v="April"/>
    <s v="2023"/>
    <d v="2023-04-22T00:00:00"/>
    <s v="CUST755"/>
    <x v="1"/>
    <x v="2"/>
    <n v="58"/>
    <x v="2"/>
    <n v="3"/>
    <n v="25"/>
    <n v="75"/>
    <n v="1.125"/>
    <n v="1.5"/>
  </r>
  <r>
    <n v="756"/>
    <n v="27"/>
    <n v="8"/>
    <n v="2023"/>
    <s v="Sunday"/>
    <s v="August"/>
    <s v="2023"/>
    <d v="2023-08-27T00:00:00"/>
    <s v="CUST756"/>
    <x v="1"/>
    <x v="2"/>
    <n v="62"/>
    <x v="1"/>
    <n v="4"/>
    <n v="300"/>
    <n v="1200"/>
    <n v="18"/>
    <n v="24"/>
  </r>
  <r>
    <n v="757"/>
    <n v="25"/>
    <n v="12"/>
    <n v="2023"/>
    <s v="Monday"/>
    <s v="December"/>
    <s v="2023"/>
    <d v="2023-12-25T00:00:00"/>
    <s v="CUST757"/>
    <x v="1"/>
    <x v="0"/>
    <n v="43"/>
    <x v="1"/>
    <n v="4"/>
    <n v="300"/>
    <n v="1200"/>
    <n v="18"/>
    <n v="24"/>
  </r>
  <r>
    <n v="758"/>
    <n v="12"/>
    <n v="5"/>
    <n v="2023"/>
    <s v="Friday"/>
    <s v="May"/>
    <s v="2023"/>
    <d v="2023-05-12T00:00:00"/>
    <s v="CUST758"/>
    <x v="0"/>
    <x v="2"/>
    <n v="64"/>
    <x v="2"/>
    <n v="4"/>
    <n v="25"/>
    <n v="100"/>
    <n v="1.5"/>
    <n v="2"/>
  </r>
  <r>
    <n v="759"/>
    <n v="8"/>
    <n v="7"/>
    <n v="2023"/>
    <s v="Saturday"/>
    <s v="July"/>
    <s v="2023"/>
    <d v="2023-07-08T00:00:00"/>
    <s v="CUST759"/>
    <x v="0"/>
    <x v="0"/>
    <n v="49"/>
    <x v="1"/>
    <n v="2"/>
    <n v="50"/>
    <n v="100"/>
    <n v="1.5"/>
    <n v="2"/>
  </r>
  <r>
    <n v="760"/>
    <n v="27"/>
    <n v="3"/>
    <n v="2023"/>
    <s v="Monday"/>
    <s v="March"/>
    <s v="2023"/>
    <d v="2023-03-27T00:00:00"/>
    <s v="CUST760"/>
    <x v="0"/>
    <x v="1"/>
    <n v="27"/>
    <x v="0"/>
    <n v="1"/>
    <n v="500"/>
    <n v="500"/>
    <n v="7.5"/>
    <n v="10"/>
  </r>
  <r>
    <n v="761"/>
    <n v="7"/>
    <n v="11"/>
    <n v="2023"/>
    <s v="Tuesday"/>
    <s v="November"/>
    <s v="2023"/>
    <d v="2023-11-07T00:00:00"/>
    <s v="CUST761"/>
    <x v="1"/>
    <x v="0"/>
    <n v="33"/>
    <x v="2"/>
    <n v="1"/>
    <n v="500"/>
    <n v="500"/>
    <n v="7.5"/>
    <n v="10"/>
  </r>
  <r>
    <n v="762"/>
    <n v="7"/>
    <n v="11"/>
    <n v="2023"/>
    <s v="Tuesday"/>
    <s v="November"/>
    <s v="2023"/>
    <d v="2023-11-07T00:00:00"/>
    <s v="CUST762"/>
    <x v="1"/>
    <x v="1"/>
    <n v="24"/>
    <x v="1"/>
    <n v="2"/>
    <n v="25"/>
    <n v="50"/>
    <n v="0.75"/>
    <n v="1"/>
  </r>
  <r>
    <n v="763"/>
    <n v="28"/>
    <n v="2"/>
    <n v="2023"/>
    <s v="Tuesday"/>
    <s v="February"/>
    <s v="2023"/>
    <d v="2023-02-28T00:00:00"/>
    <s v="CUST763"/>
    <x v="0"/>
    <x v="0"/>
    <n v="34"/>
    <x v="2"/>
    <n v="2"/>
    <n v="25"/>
    <n v="50"/>
    <n v="0.75"/>
    <n v="1"/>
  </r>
  <r>
    <n v="764"/>
    <n v="25"/>
    <n v="3"/>
    <n v="2023"/>
    <s v="Saturday"/>
    <s v="March"/>
    <s v="2023"/>
    <d v="2023-03-25T00:00:00"/>
    <s v="CUST764"/>
    <x v="1"/>
    <x v="0"/>
    <n v="40"/>
    <x v="2"/>
    <n v="1"/>
    <n v="25"/>
    <n v="25"/>
    <n v="0.375"/>
    <n v="0.5"/>
  </r>
  <r>
    <n v="765"/>
    <n v="9"/>
    <n v="6"/>
    <n v="2023"/>
    <s v="Friday"/>
    <s v="June"/>
    <s v="2023"/>
    <d v="2023-06-09T00:00:00"/>
    <s v="CUST765"/>
    <x v="0"/>
    <x v="0"/>
    <n v="43"/>
    <x v="2"/>
    <n v="4"/>
    <n v="50"/>
    <n v="200"/>
    <n v="3"/>
    <n v="4"/>
  </r>
  <r>
    <n v="766"/>
    <n v="25"/>
    <n v="2"/>
    <n v="2023"/>
    <s v="Saturday"/>
    <s v="February"/>
    <s v="2023"/>
    <d v="2023-02-25T00:00:00"/>
    <s v="CUST766"/>
    <x v="0"/>
    <x v="0"/>
    <n v="38"/>
    <x v="1"/>
    <n v="3"/>
    <n v="300"/>
    <n v="900"/>
    <n v="13.5"/>
    <n v="18"/>
  </r>
  <r>
    <n v="767"/>
    <n v="24"/>
    <n v="10"/>
    <n v="2023"/>
    <s v="Tuesday"/>
    <s v="October"/>
    <s v="2023"/>
    <d v="2023-10-24T00:00:00"/>
    <s v="CUST767"/>
    <x v="0"/>
    <x v="0"/>
    <n v="39"/>
    <x v="0"/>
    <n v="3"/>
    <n v="25"/>
    <n v="75"/>
    <n v="1.125"/>
    <n v="1.5"/>
  </r>
  <r>
    <n v="768"/>
    <n v="14"/>
    <n v="1"/>
    <n v="2023"/>
    <s v="Saturday"/>
    <s v="January"/>
    <s v="2023"/>
    <d v="2023-01-14T00:00:00"/>
    <s v="CUST768"/>
    <x v="1"/>
    <x v="1"/>
    <n v="24"/>
    <x v="0"/>
    <n v="3"/>
    <n v="25"/>
    <n v="75"/>
    <n v="1.125"/>
    <n v="1.5"/>
  </r>
  <r>
    <n v="769"/>
    <n v="9"/>
    <n v="6"/>
    <n v="2023"/>
    <s v="Friday"/>
    <s v="June"/>
    <s v="2023"/>
    <d v="2023-06-09T00:00:00"/>
    <s v="CUST769"/>
    <x v="1"/>
    <x v="0"/>
    <n v="31"/>
    <x v="1"/>
    <n v="4"/>
    <n v="30"/>
    <n v="120"/>
    <n v="1.7999999999999998"/>
    <n v="2.4"/>
  </r>
  <r>
    <n v="770"/>
    <n v="22"/>
    <n v="10"/>
    <n v="2023"/>
    <s v="Sunday"/>
    <s v="October"/>
    <s v="2023"/>
    <d v="2023-10-22T00:00:00"/>
    <s v="CUST770"/>
    <x v="0"/>
    <x v="0"/>
    <n v="32"/>
    <x v="2"/>
    <n v="1"/>
    <n v="50"/>
    <n v="50"/>
    <n v="0.75"/>
    <n v="1"/>
  </r>
  <r>
    <n v="771"/>
    <n v="13"/>
    <n v="12"/>
    <n v="2023"/>
    <s v="Wednesday"/>
    <s v="December"/>
    <s v="2023"/>
    <d v="2023-12-13T00:00:00"/>
    <s v="CUST771"/>
    <x v="0"/>
    <x v="1"/>
    <n v="24"/>
    <x v="1"/>
    <n v="2"/>
    <n v="25"/>
    <n v="50"/>
    <n v="0.75"/>
    <n v="1"/>
  </r>
  <r>
    <n v="772"/>
    <n v="12"/>
    <n v="7"/>
    <n v="2023"/>
    <s v="Wednesday"/>
    <s v="July"/>
    <s v="2023"/>
    <d v="2023-07-12T00:00:00"/>
    <s v="CUST772"/>
    <x v="0"/>
    <x v="1"/>
    <n v="26"/>
    <x v="1"/>
    <n v="1"/>
    <n v="30"/>
    <n v="30"/>
    <n v="0.44999999999999996"/>
    <n v="0.6"/>
  </r>
  <r>
    <n v="773"/>
    <n v="23"/>
    <n v="7"/>
    <n v="2023"/>
    <s v="Sunday"/>
    <s v="July"/>
    <s v="2023"/>
    <d v="2023-07-23T00:00:00"/>
    <s v="CUST773"/>
    <x v="0"/>
    <x v="1"/>
    <n v="25"/>
    <x v="1"/>
    <n v="4"/>
    <n v="500"/>
    <n v="2000"/>
    <n v="30"/>
    <n v="40"/>
  </r>
  <r>
    <n v="774"/>
    <n v="12"/>
    <n v="4"/>
    <n v="2023"/>
    <s v="Wednesday"/>
    <s v="April"/>
    <s v="2023"/>
    <d v="2023-04-12T00:00:00"/>
    <s v="CUST774"/>
    <x v="1"/>
    <x v="0"/>
    <n v="40"/>
    <x v="2"/>
    <n v="2"/>
    <n v="25"/>
    <n v="50"/>
    <n v="0.75"/>
    <n v="1"/>
  </r>
  <r>
    <n v="775"/>
    <n v="8"/>
    <n v="2"/>
    <n v="2023"/>
    <s v="Wednesday"/>
    <s v="February"/>
    <s v="2023"/>
    <d v="2023-02-08T00:00:00"/>
    <s v="CUST775"/>
    <x v="1"/>
    <x v="0"/>
    <n v="46"/>
    <x v="1"/>
    <n v="4"/>
    <n v="25"/>
    <n v="100"/>
    <n v="1.5"/>
    <n v="2"/>
  </r>
  <r>
    <n v="776"/>
    <n v="31"/>
    <n v="10"/>
    <n v="2023"/>
    <s v="Tuesday"/>
    <s v="October"/>
    <s v="2023"/>
    <d v="2023-10-31T00:00:00"/>
    <s v="CUST776"/>
    <x v="0"/>
    <x v="0"/>
    <n v="35"/>
    <x v="2"/>
    <n v="3"/>
    <n v="30"/>
    <n v="90"/>
    <n v="1.3499999999999999"/>
    <n v="1.8"/>
  </r>
  <r>
    <n v="777"/>
    <n v="20"/>
    <n v="12"/>
    <n v="2023"/>
    <s v="Wednesday"/>
    <s v="December"/>
    <s v="2023"/>
    <d v="2023-12-20T00:00:00"/>
    <s v="CUST777"/>
    <x v="0"/>
    <x v="0"/>
    <n v="48"/>
    <x v="1"/>
    <n v="3"/>
    <n v="50"/>
    <n v="150"/>
    <n v="2.25"/>
    <n v="3"/>
  </r>
  <r>
    <n v="778"/>
    <n v="18"/>
    <n v="11"/>
    <n v="2023"/>
    <s v="Saturday"/>
    <s v="November"/>
    <s v="2023"/>
    <d v="2023-11-18T00:00:00"/>
    <s v="CUST778"/>
    <x v="1"/>
    <x v="0"/>
    <n v="47"/>
    <x v="0"/>
    <n v="4"/>
    <n v="25"/>
    <n v="100"/>
    <n v="1.5"/>
    <n v="2"/>
  </r>
  <r>
    <n v="779"/>
    <n v="5"/>
    <n v="5"/>
    <n v="2023"/>
    <s v="Friday"/>
    <s v="May"/>
    <s v="2023"/>
    <d v="2023-05-05T00:00:00"/>
    <s v="CUST779"/>
    <x v="1"/>
    <x v="2"/>
    <n v="56"/>
    <x v="1"/>
    <n v="2"/>
    <n v="500"/>
    <n v="1000"/>
    <n v="15"/>
    <n v="20"/>
  </r>
  <r>
    <n v="780"/>
    <n v="22"/>
    <n v="2"/>
    <n v="2023"/>
    <s v="Wednesday"/>
    <s v="February"/>
    <s v="2023"/>
    <d v="2023-02-22T00:00:00"/>
    <s v="CUST780"/>
    <x v="0"/>
    <x v="2"/>
    <n v="52"/>
    <x v="1"/>
    <n v="2"/>
    <n v="25"/>
    <n v="50"/>
    <n v="0.75"/>
    <n v="1"/>
  </r>
  <r>
    <n v="781"/>
    <n v="23"/>
    <n v="12"/>
    <n v="2023"/>
    <s v="Saturday"/>
    <s v="December"/>
    <s v="2023"/>
    <d v="2023-12-23T00:00:00"/>
    <s v="CUST781"/>
    <x v="0"/>
    <x v="0"/>
    <n v="35"/>
    <x v="0"/>
    <n v="1"/>
    <n v="500"/>
    <n v="500"/>
    <n v="7.5"/>
    <n v="10"/>
  </r>
  <r>
    <n v="782"/>
    <n v="4"/>
    <n v="6"/>
    <n v="2023"/>
    <s v="Sunday"/>
    <s v="June"/>
    <s v="2023"/>
    <d v="2023-06-04T00:00:00"/>
    <s v="CUST782"/>
    <x v="0"/>
    <x v="2"/>
    <n v="59"/>
    <x v="2"/>
    <n v="3"/>
    <n v="300"/>
    <n v="900"/>
    <n v="13.5"/>
    <n v="18"/>
  </r>
  <r>
    <n v="783"/>
    <n v="17"/>
    <n v="12"/>
    <n v="2023"/>
    <s v="Sunday"/>
    <s v="December"/>
    <s v="2023"/>
    <d v="2023-12-17T00:00:00"/>
    <s v="CUST783"/>
    <x v="1"/>
    <x v="2"/>
    <n v="56"/>
    <x v="2"/>
    <n v="1"/>
    <n v="300"/>
    <n v="300"/>
    <n v="4.5"/>
    <n v="6"/>
  </r>
  <r>
    <n v="784"/>
    <n v="4"/>
    <n v="11"/>
    <n v="2023"/>
    <s v="Saturday"/>
    <s v="November"/>
    <s v="2023"/>
    <d v="2023-11-04T00:00:00"/>
    <s v="CUST784"/>
    <x v="1"/>
    <x v="0"/>
    <n v="34"/>
    <x v="1"/>
    <n v="1"/>
    <n v="500"/>
    <n v="500"/>
    <n v="7.5"/>
    <n v="10"/>
  </r>
  <r>
    <n v="785"/>
    <n v="3"/>
    <n v="3"/>
    <n v="2023"/>
    <s v="Friday"/>
    <s v="March"/>
    <s v="2023"/>
    <d v="2023-03-03T00:00:00"/>
    <s v="CUST785"/>
    <x v="1"/>
    <x v="0"/>
    <n v="31"/>
    <x v="0"/>
    <n v="4"/>
    <n v="50"/>
    <n v="200"/>
    <n v="3"/>
    <n v="4"/>
  </r>
  <r>
    <n v="786"/>
    <n v="17"/>
    <n v="10"/>
    <n v="2023"/>
    <s v="Tuesday"/>
    <s v="October"/>
    <s v="2023"/>
    <d v="2023-10-17T00:00:00"/>
    <s v="CUST786"/>
    <x v="0"/>
    <x v="0"/>
    <n v="48"/>
    <x v="2"/>
    <n v="4"/>
    <n v="25"/>
    <n v="100"/>
    <n v="1.5"/>
    <n v="2"/>
  </r>
  <r>
    <n v="787"/>
    <n v="22"/>
    <n v="1"/>
    <n v="2023"/>
    <s v="Sunday"/>
    <s v="January"/>
    <s v="2023"/>
    <d v="2023-01-22T00:00:00"/>
    <s v="CUST787"/>
    <x v="0"/>
    <x v="0"/>
    <n v="41"/>
    <x v="1"/>
    <n v="1"/>
    <n v="25"/>
    <n v="25"/>
    <n v="0.375"/>
    <n v="0.5"/>
  </r>
  <r>
    <n v="788"/>
    <n v="27"/>
    <n v="6"/>
    <n v="2023"/>
    <s v="Tuesday"/>
    <s v="June"/>
    <s v="2023"/>
    <d v="2023-06-27T00:00:00"/>
    <s v="CUST788"/>
    <x v="1"/>
    <x v="2"/>
    <n v="52"/>
    <x v="0"/>
    <n v="3"/>
    <n v="300"/>
    <n v="900"/>
    <n v="13.5"/>
    <n v="18"/>
  </r>
  <r>
    <n v="789"/>
    <n v="30"/>
    <n v="9"/>
    <n v="2023"/>
    <s v="Saturday"/>
    <s v="September"/>
    <s v="2023"/>
    <d v="2023-09-30T00:00:00"/>
    <s v="CUST789"/>
    <x v="1"/>
    <x v="2"/>
    <n v="61"/>
    <x v="2"/>
    <n v="4"/>
    <n v="500"/>
    <n v="2000"/>
    <n v="30"/>
    <n v="40"/>
  </r>
  <r>
    <n v="790"/>
    <n v="8"/>
    <n v="8"/>
    <n v="2023"/>
    <s v="Tuesday"/>
    <s v="August"/>
    <s v="2023"/>
    <d v="2023-08-08T00:00:00"/>
    <s v="CUST790"/>
    <x v="0"/>
    <x v="2"/>
    <n v="62"/>
    <x v="2"/>
    <n v="1"/>
    <n v="25"/>
    <n v="25"/>
    <n v="0.375"/>
    <n v="0.5"/>
  </r>
  <r>
    <n v="791"/>
    <n v="5"/>
    <n v="12"/>
    <n v="2023"/>
    <s v="Tuesday"/>
    <s v="December"/>
    <s v="2023"/>
    <d v="2023-12-05T00:00:00"/>
    <s v="CUST791"/>
    <x v="1"/>
    <x v="2"/>
    <n v="51"/>
    <x v="0"/>
    <n v="1"/>
    <n v="25"/>
    <n v="25"/>
    <n v="0.375"/>
    <n v="0.5"/>
  </r>
  <r>
    <n v="792"/>
    <n v="9"/>
    <n v="7"/>
    <n v="2023"/>
    <s v="Sunday"/>
    <s v="July"/>
    <s v="2023"/>
    <d v="2023-07-09T00:00:00"/>
    <s v="CUST792"/>
    <x v="1"/>
    <x v="1"/>
    <n v="20"/>
    <x v="0"/>
    <n v="1"/>
    <n v="50"/>
    <n v="50"/>
    <n v="0.75"/>
    <n v="1"/>
  </r>
  <r>
    <n v="793"/>
    <n v="5"/>
    <n v="2"/>
    <n v="2023"/>
    <s v="Sunday"/>
    <s v="February"/>
    <s v="2023"/>
    <d v="2023-02-05T00:00:00"/>
    <s v="CUST793"/>
    <x v="0"/>
    <x v="2"/>
    <n v="54"/>
    <x v="0"/>
    <n v="1"/>
    <n v="30"/>
    <n v="30"/>
    <n v="0.44999999999999996"/>
    <n v="0.6"/>
  </r>
  <r>
    <n v="794"/>
    <n v="17"/>
    <n v="9"/>
    <n v="2023"/>
    <s v="Sunday"/>
    <s v="September"/>
    <s v="2023"/>
    <d v="2023-09-17T00:00:00"/>
    <s v="CUST794"/>
    <x v="1"/>
    <x v="2"/>
    <n v="60"/>
    <x v="0"/>
    <n v="1"/>
    <n v="300"/>
    <n v="300"/>
    <n v="4.5"/>
    <n v="6"/>
  </r>
  <r>
    <n v="795"/>
    <n v="28"/>
    <n v="11"/>
    <n v="2023"/>
    <s v="Tuesday"/>
    <s v="November"/>
    <s v="2023"/>
    <d v="2023-11-28T00:00:00"/>
    <s v="CUST795"/>
    <x v="0"/>
    <x v="2"/>
    <n v="57"/>
    <x v="1"/>
    <n v="1"/>
    <n v="300"/>
    <n v="300"/>
    <n v="4.5"/>
    <n v="6"/>
  </r>
  <r>
    <n v="796"/>
    <n v="24"/>
    <n v="6"/>
    <n v="2023"/>
    <s v="Saturday"/>
    <s v="June"/>
    <s v="2023"/>
    <d v="2023-06-24T00:00:00"/>
    <s v="CUST796"/>
    <x v="0"/>
    <x v="0"/>
    <n v="43"/>
    <x v="0"/>
    <n v="4"/>
    <n v="30"/>
    <n v="120"/>
    <n v="1.7999999999999998"/>
    <n v="2.4"/>
  </r>
  <r>
    <n v="797"/>
    <n v="7"/>
    <n v="1"/>
    <n v="2023"/>
    <s v="Saturday"/>
    <s v="January"/>
    <s v="2023"/>
    <d v="2023-01-07T00:00:00"/>
    <s v="CUST797"/>
    <x v="0"/>
    <x v="0"/>
    <n v="40"/>
    <x v="2"/>
    <n v="3"/>
    <n v="25"/>
    <n v="75"/>
    <n v="1.125"/>
    <n v="1.5"/>
  </r>
  <r>
    <n v="798"/>
    <n v="4"/>
    <n v="8"/>
    <n v="2023"/>
    <s v="Friday"/>
    <s v="August"/>
    <s v="2023"/>
    <d v="2023-08-04T00:00:00"/>
    <s v="CUST798"/>
    <x v="0"/>
    <x v="2"/>
    <n v="61"/>
    <x v="2"/>
    <n v="1"/>
    <n v="50"/>
    <n v="50"/>
    <n v="0.75"/>
    <n v="1"/>
  </r>
  <r>
    <n v="799"/>
    <n v="8"/>
    <n v="9"/>
    <n v="2023"/>
    <s v="Friday"/>
    <s v="September"/>
    <s v="2023"/>
    <d v="2023-09-08T00:00:00"/>
    <s v="CUST799"/>
    <x v="0"/>
    <x v="2"/>
    <n v="56"/>
    <x v="1"/>
    <n v="2"/>
    <n v="50"/>
    <n v="100"/>
    <n v="1.5"/>
    <n v="2"/>
  </r>
  <r>
    <n v="800"/>
    <n v="24"/>
    <n v="2"/>
    <n v="2023"/>
    <s v="Friday"/>
    <s v="February"/>
    <s v="2023"/>
    <d v="2023-02-24T00:00:00"/>
    <s v="CUST800"/>
    <x v="0"/>
    <x v="0"/>
    <n v="32"/>
    <x v="2"/>
    <n v="4"/>
    <n v="300"/>
    <n v="1200"/>
    <n v="18"/>
    <n v="24"/>
  </r>
  <r>
    <n v="801"/>
    <n v="10"/>
    <n v="8"/>
    <n v="2023"/>
    <s v="Thursday"/>
    <s v="August"/>
    <s v="2023"/>
    <d v="2023-08-10T00:00:00"/>
    <s v="CUST801"/>
    <x v="0"/>
    <x v="1"/>
    <n v="21"/>
    <x v="2"/>
    <n v="4"/>
    <n v="50"/>
    <n v="200"/>
    <n v="3"/>
    <n v="4"/>
  </r>
  <r>
    <n v="802"/>
    <n v="5"/>
    <n v="7"/>
    <n v="2023"/>
    <s v="Wednesday"/>
    <s v="July"/>
    <s v="2023"/>
    <d v="2023-07-05T00:00:00"/>
    <s v="CUST802"/>
    <x v="1"/>
    <x v="0"/>
    <n v="46"/>
    <x v="0"/>
    <n v="1"/>
    <n v="30"/>
    <n v="30"/>
    <n v="0.44999999999999996"/>
    <n v="0.6"/>
  </r>
  <r>
    <n v="803"/>
    <n v="22"/>
    <n v="11"/>
    <n v="2023"/>
    <s v="Wednesday"/>
    <s v="November"/>
    <s v="2023"/>
    <d v="2023-11-22T00:00:00"/>
    <s v="CUST803"/>
    <x v="0"/>
    <x v="0"/>
    <n v="39"/>
    <x v="2"/>
    <n v="4"/>
    <n v="25"/>
    <n v="100"/>
    <n v="1.5"/>
    <n v="2"/>
  </r>
  <r>
    <n v="804"/>
    <n v="24"/>
    <n v="8"/>
    <n v="2023"/>
    <s v="Thursday"/>
    <s v="August"/>
    <s v="2023"/>
    <d v="2023-08-24T00:00:00"/>
    <s v="CUST804"/>
    <x v="0"/>
    <x v="0"/>
    <n v="42"/>
    <x v="1"/>
    <n v="1"/>
    <n v="30"/>
    <n v="30"/>
    <n v="0.44999999999999996"/>
    <n v="0.6"/>
  </r>
  <r>
    <n v="805"/>
    <n v="29"/>
    <n v="12"/>
    <n v="2023"/>
    <s v="Friday"/>
    <s v="December"/>
    <s v="2023"/>
    <d v="2023-12-29T00:00:00"/>
    <s v="CUST805"/>
    <x v="1"/>
    <x v="0"/>
    <n v="30"/>
    <x v="0"/>
    <n v="3"/>
    <n v="500"/>
    <n v="1500"/>
    <n v="22.5"/>
    <n v="30"/>
  </r>
  <r>
    <n v="806"/>
    <n v="20"/>
    <n v="3"/>
    <n v="2023"/>
    <s v="Monday"/>
    <s v="March"/>
    <s v="2023"/>
    <d v="2023-03-20T00:00:00"/>
    <s v="CUST806"/>
    <x v="1"/>
    <x v="0"/>
    <n v="35"/>
    <x v="0"/>
    <n v="3"/>
    <n v="300"/>
    <n v="900"/>
    <n v="13.5"/>
    <n v="18"/>
  </r>
  <r>
    <n v="807"/>
    <n v="11"/>
    <n v="8"/>
    <n v="2023"/>
    <s v="Friday"/>
    <s v="August"/>
    <s v="2023"/>
    <d v="2023-08-11T00:00:00"/>
    <s v="CUST807"/>
    <x v="1"/>
    <x v="0"/>
    <n v="50"/>
    <x v="1"/>
    <n v="4"/>
    <n v="50"/>
    <n v="200"/>
    <n v="3"/>
    <n v="4"/>
  </r>
  <r>
    <n v="808"/>
    <n v="1"/>
    <n v="4"/>
    <n v="2023"/>
    <s v="Saturday"/>
    <s v="April"/>
    <s v="2023"/>
    <d v="2023-04-01T00:00:00"/>
    <s v="CUST808"/>
    <x v="0"/>
    <x v="0"/>
    <n v="33"/>
    <x v="0"/>
    <n v="4"/>
    <n v="500"/>
    <n v="2000"/>
    <n v="30"/>
    <n v="40"/>
  </r>
  <r>
    <n v="809"/>
    <n v="25"/>
    <n v="9"/>
    <n v="2023"/>
    <s v="Monday"/>
    <s v="September"/>
    <s v="2023"/>
    <d v="2023-09-25T00:00:00"/>
    <s v="CUST809"/>
    <x v="1"/>
    <x v="2"/>
    <n v="62"/>
    <x v="0"/>
    <n v="2"/>
    <n v="50"/>
    <n v="100"/>
    <n v="1.5"/>
    <n v="2"/>
  </r>
  <r>
    <n v="810"/>
    <n v="30"/>
    <n v="11"/>
    <n v="2023"/>
    <s v="Thursday"/>
    <s v="November"/>
    <s v="2023"/>
    <d v="2023-11-30T00:00:00"/>
    <s v="CUST810"/>
    <x v="0"/>
    <x v="2"/>
    <n v="59"/>
    <x v="1"/>
    <n v="4"/>
    <n v="25"/>
    <n v="100"/>
    <n v="1.5"/>
    <n v="2"/>
  </r>
  <r>
    <n v="811"/>
    <n v="19"/>
    <n v="5"/>
    <n v="2023"/>
    <s v="Friday"/>
    <s v="May"/>
    <s v="2023"/>
    <d v="2023-05-19T00:00:00"/>
    <s v="CUST811"/>
    <x v="0"/>
    <x v="2"/>
    <n v="61"/>
    <x v="0"/>
    <n v="2"/>
    <n v="25"/>
    <n v="50"/>
    <n v="0.75"/>
    <n v="1"/>
  </r>
  <r>
    <n v="812"/>
    <n v="12"/>
    <n v="11"/>
    <n v="2023"/>
    <s v="Sunday"/>
    <s v="November"/>
    <s v="2023"/>
    <d v="2023-11-12T00:00:00"/>
    <s v="CUST812"/>
    <x v="0"/>
    <x v="1"/>
    <n v="19"/>
    <x v="1"/>
    <n v="3"/>
    <n v="25"/>
    <n v="75"/>
    <n v="1.125"/>
    <n v="1.5"/>
  </r>
  <r>
    <n v="813"/>
    <n v="3"/>
    <n v="10"/>
    <n v="2023"/>
    <s v="Tuesday"/>
    <s v="October"/>
    <s v="2023"/>
    <d v="2023-10-03T00:00:00"/>
    <s v="CUST813"/>
    <x v="0"/>
    <x v="2"/>
    <n v="52"/>
    <x v="1"/>
    <n v="3"/>
    <n v="50"/>
    <n v="150"/>
    <n v="2.25"/>
    <n v="3"/>
  </r>
  <r>
    <n v="814"/>
    <n v="5"/>
    <n v="9"/>
    <n v="2023"/>
    <s v="Tuesday"/>
    <s v="September"/>
    <s v="2023"/>
    <d v="2023-09-05T00:00:00"/>
    <s v="CUST814"/>
    <x v="1"/>
    <x v="2"/>
    <n v="59"/>
    <x v="2"/>
    <n v="1"/>
    <n v="500"/>
    <n v="500"/>
    <n v="7.5"/>
    <n v="10"/>
  </r>
  <r>
    <n v="815"/>
    <n v="27"/>
    <n v="8"/>
    <n v="2023"/>
    <s v="Sunday"/>
    <s v="August"/>
    <s v="2023"/>
    <d v="2023-08-27T00:00:00"/>
    <s v="CUST815"/>
    <x v="1"/>
    <x v="2"/>
    <n v="51"/>
    <x v="2"/>
    <n v="3"/>
    <n v="25"/>
    <n v="75"/>
    <n v="1.125"/>
    <n v="1.5"/>
  </r>
  <r>
    <n v="816"/>
    <n v="12"/>
    <n v="8"/>
    <n v="2023"/>
    <s v="Saturday"/>
    <s v="August"/>
    <s v="2023"/>
    <d v="2023-08-12T00:00:00"/>
    <s v="CUST816"/>
    <x v="0"/>
    <x v="0"/>
    <n v="47"/>
    <x v="0"/>
    <n v="2"/>
    <n v="500"/>
    <n v="1000"/>
    <n v="15"/>
    <n v="20"/>
  </r>
  <r>
    <n v="817"/>
    <n v="31"/>
    <n v="10"/>
    <n v="2023"/>
    <s v="Tuesday"/>
    <s v="October"/>
    <s v="2023"/>
    <d v="2023-10-31T00:00:00"/>
    <s v="CUST817"/>
    <x v="0"/>
    <x v="0"/>
    <n v="30"/>
    <x v="0"/>
    <n v="4"/>
    <n v="50"/>
    <n v="200"/>
    <n v="3"/>
    <n v="4"/>
  </r>
  <r>
    <n v="818"/>
    <n v="18"/>
    <n v="5"/>
    <n v="2023"/>
    <s v="Thursday"/>
    <s v="May"/>
    <s v="2023"/>
    <d v="2023-05-18T00:00:00"/>
    <s v="CUST818"/>
    <x v="0"/>
    <x v="0"/>
    <n v="30"/>
    <x v="1"/>
    <n v="1"/>
    <n v="500"/>
    <n v="500"/>
    <n v="7.5"/>
    <n v="10"/>
  </r>
  <r>
    <n v="819"/>
    <n v="15"/>
    <n v="6"/>
    <n v="2023"/>
    <s v="Thursday"/>
    <s v="June"/>
    <s v="2023"/>
    <d v="2023-06-15T00:00:00"/>
    <s v="CUST819"/>
    <x v="1"/>
    <x v="0"/>
    <n v="35"/>
    <x v="0"/>
    <n v="2"/>
    <n v="50"/>
    <n v="100"/>
    <n v="1.5"/>
    <n v="2"/>
  </r>
  <r>
    <n v="820"/>
    <n v="6"/>
    <n v="5"/>
    <n v="2023"/>
    <s v="Saturday"/>
    <s v="May"/>
    <s v="2023"/>
    <d v="2023-05-06T00:00:00"/>
    <s v="CUST820"/>
    <x v="0"/>
    <x v="0"/>
    <n v="49"/>
    <x v="1"/>
    <n v="4"/>
    <n v="50"/>
    <n v="200"/>
    <n v="3"/>
    <n v="4"/>
  </r>
  <r>
    <n v="821"/>
    <n v="14"/>
    <n v="2"/>
    <n v="2023"/>
    <s v="Tuesday"/>
    <s v="February"/>
    <s v="2023"/>
    <d v="2023-02-14T00:00:00"/>
    <s v="CUST821"/>
    <x v="0"/>
    <x v="0"/>
    <n v="49"/>
    <x v="1"/>
    <n v="1"/>
    <n v="300"/>
    <n v="300"/>
    <n v="4.5"/>
    <n v="6"/>
  </r>
  <r>
    <n v="822"/>
    <n v="23"/>
    <n v="5"/>
    <n v="2023"/>
    <s v="Tuesday"/>
    <s v="May"/>
    <s v="2023"/>
    <d v="2023-05-23T00:00:00"/>
    <s v="CUST822"/>
    <x v="1"/>
    <x v="2"/>
    <n v="52"/>
    <x v="0"/>
    <n v="3"/>
    <n v="50"/>
    <n v="150"/>
    <n v="2.25"/>
    <n v="3"/>
  </r>
  <r>
    <n v="823"/>
    <n v="19"/>
    <n v="8"/>
    <n v="2023"/>
    <s v="Saturday"/>
    <s v="August"/>
    <s v="2023"/>
    <d v="2023-08-19T00:00:00"/>
    <s v="CUST823"/>
    <x v="1"/>
    <x v="2"/>
    <n v="56"/>
    <x v="1"/>
    <n v="2"/>
    <n v="50"/>
    <n v="100"/>
    <n v="1.5"/>
    <n v="2"/>
  </r>
  <r>
    <n v="824"/>
    <n v="5"/>
    <n v="5"/>
    <n v="2023"/>
    <s v="Friday"/>
    <s v="May"/>
    <s v="2023"/>
    <d v="2023-05-05T00:00:00"/>
    <s v="CUST824"/>
    <x v="0"/>
    <x v="2"/>
    <n v="63"/>
    <x v="2"/>
    <n v="4"/>
    <n v="30"/>
    <n v="120"/>
    <n v="1.7999999999999998"/>
    <n v="2.4"/>
  </r>
  <r>
    <n v="825"/>
    <n v="26"/>
    <n v="8"/>
    <n v="2023"/>
    <s v="Saturday"/>
    <s v="August"/>
    <s v="2023"/>
    <d v="2023-08-26T00:00:00"/>
    <s v="CUST825"/>
    <x v="1"/>
    <x v="0"/>
    <n v="46"/>
    <x v="0"/>
    <n v="1"/>
    <n v="25"/>
    <n v="25"/>
    <n v="0.375"/>
    <n v="0.5"/>
  </r>
  <r>
    <n v="826"/>
    <n v="19"/>
    <n v="10"/>
    <n v="2023"/>
    <s v="Thursday"/>
    <s v="October"/>
    <s v="2023"/>
    <d v="2023-10-19T00:00:00"/>
    <s v="CUST826"/>
    <x v="1"/>
    <x v="0"/>
    <n v="46"/>
    <x v="2"/>
    <n v="1"/>
    <n v="300"/>
    <n v="300"/>
    <n v="4.5"/>
    <n v="6"/>
  </r>
  <r>
    <n v="827"/>
    <n v="9"/>
    <n v="11"/>
    <n v="2023"/>
    <s v="Thursday"/>
    <s v="November"/>
    <s v="2023"/>
    <d v="2023-11-09T00:00:00"/>
    <s v="CUST827"/>
    <x v="0"/>
    <x v="2"/>
    <n v="61"/>
    <x v="0"/>
    <n v="3"/>
    <n v="300"/>
    <n v="900"/>
    <n v="13.5"/>
    <n v="18"/>
  </r>
  <r>
    <n v="828"/>
    <n v="9"/>
    <n v="12"/>
    <n v="2023"/>
    <s v="Saturday"/>
    <s v="December"/>
    <s v="2023"/>
    <d v="2023-12-09T00:00:00"/>
    <s v="CUST828"/>
    <x v="1"/>
    <x v="0"/>
    <n v="33"/>
    <x v="1"/>
    <n v="4"/>
    <n v="300"/>
    <n v="1200"/>
    <n v="18"/>
    <n v="24"/>
  </r>
  <r>
    <n v="829"/>
    <n v="14"/>
    <n v="7"/>
    <n v="2023"/>
    <s v="Friday"/>
    <s v="July"/>
    <s v="2023"/>
    <d v="2023-07-14T00:00:00"/>
    <s v="CUST829"/>
    <x v="0"/>
    <x v="2"/>
    <n v="61"/>
    <x v="0"/>
    <n v="3"/>
    <n v="30"/>
    <n v="90"/>
    <n v="1.3499999999999999"/>
    <n v="1.8"/>
  </r>
  <r>
    <n v="830"/>
    <n v="22"/>
    <n v="6"/>
    <n v="2023"/>
    <s v="Thursday"/>
    <s v="June"/>
    <s v="2023"/>
    <d v="2023-06-22T00:00:00"/>
    <s v="CUST830"/>
    <x v="1"/>
    <x v="2"/>
    <n v="64"/>
    <x v="2"/>
    <n v="3"/>
    <n v="50"/>
    <n v="150"/>
    <n v="2.25"/>
    <n v="3"/>
  </r>
  <r>
    <n v="831"/>
    <n v="15"/>
    <n v="1"/>
    <n v="2023"/>
    <s v="Sunday"/>
    <s v="January"/>
    <s v="2023"/>
    <d v="2023-01-15T00:00:00"/>
    <s v="CUST831"/>
    <x v="0"/>
    <x v="1"/>
    <n v="27"/>
    <x v="1"/>
    <n v="4"/>
    <n v="25"/>
    <n v="100"/>
    <n v="1.5"/>
    <n v="2"/>
  </r>
  <r>
    <n v="832"/>
    <n v="11"/>
    <n v="9"/>
    <n v="2023"/>
    <s v="Monday"/>
    <s v="September"/>
    <s v="2023"/>
    <d v="2023-09-11T00:00:00"/>
    <s v="CUST832"/>
    <x v="0"/>
    <x v="0"/>
    <n v="47"/>
    <x v="0"/>
    <n v="4"/>
    <n v="500"/>
    <n v="2000"/>
    <n v="30"/>
    <n v="40"/>
  </r>
  <r>
    <n v="833"/>
    <n v="16"/>
    <n v="6"/>
    <n v="2023"/>
    <s v="Friday"/>
    <s v="June"/>
    <s v="2023"/>
    <d v="2023-06-16T00:00:00"/>
    <s v="CUST833"/>
    <x v="0"/>
    <x v="0"/>
    <n v="42"/>
    <x v="0"/>
    <n v="4"/>
    <n v="50"/>
    <n v="200"/>
    <n v="3"/>
    <n v="4"/>
  </r>
  <r>
    <n v="834"/>
    <n v="4"/>
    <n v="4"/>
    <n v="2023"/>
    <s v="Tuesday"/>
    <s v="April"/>
    <s v="2023"/>
    <d v="2023-04-04T00:00:00"/>
    <s v="CUST834"/>
    <x v="1"/>
    <x v="2"/>
    <n v="56"/>
    <x v="0"/>
    <n v="2"/>
    <n v="30"/>
    <n v="60"/>
    <n v="0.89999999999999991"/>
    <n v="1.2"/>
  </r>
  <r>
    <n v="835"/>
    <n v="7"/>
    <n v="9"/>
    <n v="2023"/>
    <s v="Thursday"/>
    <s v="September"/>
    <s v="2023"/>
    <d v="2023-09-07T00:00:00"/>
    <s v="CUST835"/>
    <x v="0"/>
    <x v="0"/>
    <n v="37"/>
    <x v="2"/>
    <n v="4"/>
    <n v="50"/>
    <n v="200"/>
    <n v="3"/>
    <n v="4"/>
  </r>
  <r>
    <n v="836"/>
    <n v="19"/>
    <n v="4"/>
    <n v="2023"/>
    <s v="Wednesday"/>
    <s v="April"/>
    <s v="2023"/>
    <d v="2023-04-19T00:00:00"/>
    <s v="CUST836"/>
    <x v="1"/>
    <x v="1"/>
    <n v="22"/>
    <x v="2"/>
    <n v="1"/>
    <n v="50"/>
    <n v="50"/>
    <n v="0.75"/>
    <n v="1"/>
  </r>
  <r>
    <n v="837"/>
    <n v="1"/>
    <n v="7"/>
    <n v="2023"/>
    <s v="Saturday"/>
    <s v="July"/>
    <s v="2023"/>
    <d v="2023-07-01T00:00:00"/>
    <s v="CUST837"/>
    <x v="0"/>
    <x v="1"/>
    <n v="18"/>
    <x v="0"/>
    <n v="3"/>
    <n v="30"/>
    <n v="90"/>
    <n v="1.3499999999999999"/>
    <n v="1.8"/>
  </r>
  <r>
    <n v="838"/>
    <n v="13"/>
    <n v="5"/>
    <n v="2023"/>
    <s v="Saturday"/>
    <s v="May"/>
    <s v="2023"/>
    <d v="2023-05-13T00:00:00"/>
    <s v="CUST838"/>
    <x v="0"/>
    <x v="0"/>
    <n v="47"/>
    <x v="1"/>
    <n v="2"/>
    <n v="300"/>
    <n v="600"/>
    <n v="9"/>
    <n v="12"/>
  </r>
  <r>
    <n v="839"/>
    <n v="24"/>
    <n v="6"/>
    <n v="2023"/>
    <s v="Saturday"/>
    <s v="June"/>
    <s v="2023"/>
    <d v="2023-06-24T00:00:00"/>
    <s v="CUST839"/>
    <x v="1"/>
    <x v="1"/>
    <n v="20"/>
    <x v="1"/>
    <n v="4"/>
    <n v="300"/>
    <n v="1200"/>
    <n v="18"/>
    <n v="24"/>
  </r>
  <r>
    <n v="840"/>
    <n v="24"/>
    <n v="5"/>
    <n v="2023"/>
    <s v="Wednesday"/>
    <s v="May"/>
    <s v="2023"/>
    <d v="2023-05-24T00:00:00"/>
    <s v="CUST840"/>
    <x v="0"/>
    <x v="2"/>
    <n v="62"/>
    <x v="2"/>
    <n v="2"/>
    <n v="25"/>
    <n v="50"/>
    <n v="0.75"/>
    <n v="1"/>
  </r>
  <r>
    <n v="841"/>
    <n v="2"/>
    <n v="11"/>
    <n v="2023"/>
    <s v="Thursday"/>
    <s v="November"/>
    <s v="2023"/>
    <d v="2023-11-02T00:00:00"/>
    <s v="CUST841"/>
    <x v="0"/>
    <x v="0"/>
    <n v="31"/>
    <x v="1"/>
    <n v="4"/>
    <n v="25"/>
    <n v="100"/>
    <n v="1.5"/>
    <n v="2"/>
  </r>
  <r>
    <n v="842"/>
    <n v="26"/>
    <n v="12"/>
    <n v="2023"/>
    <s v="Tuesday"/>
    <s v="December"/>
    <s v="2023"/>
    <d v="2023-12-26T00:00:00"/>
    <s v="CUST842"/>
    <x v="1"/>
    <x v="0"/>
    <n v="47"/>
    <x v="2"/>
    <n v="2"/>
    <n v="300"/>
    <n v="600"/>
    <n v="9"/>
    <n v="12"/>
  </r>
  <r>
    <n v="843"/>
    <n v="22"/>
    <n v="5"/>
    <n v="2023"/>
    <s v="Monday"/>
    <s v="May"/>
    <s v="2023"/>
    <d v="2023-05-22T00:00:00"/>
    <s v="CUST843"/>
    <x v="0"/>
    <x v="1"/>
    <n v="21"/>
    <x v="0"/>
    <n v="3"/>
    <n v="500"/>
    <n v="1500"/>
    <n v="22.5"/>
    <n v="30"/>
  </r>
  <r>
    <n v="844"/>
    <n v="12"/>
    <n v="10"/>
    <n v="2023"/>
    <s v="Thursday"/>
    <s v="October"/>
    <s v="2023"/>
    <d v="2023-10-12T00:00:00"/>
    <s v="CUST844"/>
    <x v="0"/>
    <x v="0"/>
    <n v="35"/>
    <x v="2"/>
    <n v="3"/>
    <n v="50"/>
    <n v="150"/>
    <n v="2.25"/>
    <n v="3"/>
  </r>
  <r>
    <n v="845"/>
    <n v="6"/>
    <n v="1"/>
    <n v="2023"/>
    <s v="Friday"/>
    <s v="January"/>
    <s v="2023"/>
    <d v="2023-01-06T00:00:00"/>
    <s v="CUST845"/>
    <x v="0"/>
    <x v="2"/>
    <n v="54"/>
    <x v="2"/>
    <n v="1"/>
    <n v="500"/>
    <n v="500"/>
    <n v="7.5"/>
    <n v="10"/>
  </r>
  <r>
    <n v="846"/>
    <n v="22"/>
    <n v="9"/>
    <n v="2023"/>
    <s v="Friday"/>
    <s v="September"/>
    <s v="2023"/>
    <d v="2023-09-22T00:00:00"/>
    <s v="CUST846"/>
    <x v="0"/>
    <x v="0"/>
    <n v="42"/>
    <x v="0"/>
    <n v="1"/>
    <n v="50"/>
    <n v="50"/>
    <n v="0.75"/>
    <n v="1"/>
  </r>
  <r>
    <n v="847"/>
    <n v="8"/>
    <n v="4"/>
    <n v="2023"/>
    <s v="Saturday"/>
    <s v="April"/>
    <s v="2023"/>
    <d v="2023-04-08T00:00:00"/>
    <s v="CUST847"/>
    <x v="1"/>
    <x v="1"/>
    <n v="18"/>
    <x v="1"/>
    <n v="4"/>
    <n v="300"/>
    <n v="1200"/>
    <n v="18"/>
    <n v="24"/>
  </r>
  <r>
    <n v="848"/>
    <n v="13"/>
    <n v="2"/>
    <n v="2023"/>
    <s v="Monday"/>
    <s v="February"/>
    <s v="2023"/>
    <d v="2023-02-13T00:00:00"/>
    <s v="CUST848"/>
    <x v="1"/>
    <x v="2"/>
    <n v="63"/>
    <x v="2"/>
    <n v="3"/>
    <n v="25"/>
    <n v="75"/>
    <n v="1.125"/>
    <n v="1.5"/>
  </r>
  <r>
    <n v="849"/>
    <n v="4"/>
    <n v="5"/>
    <n v="2023"/>
    <s v="Thursday"/>
    <s v="May"/>
    <s v="2023"/>
    <d v="2023-05-04T00:00:00"/>
    <s v="CUST849"/>
    <x v="0"/>
    <x v="0"/>
    <n v="32"/>
    <x v="2"/>
    <n v="2"/>
    <n v="25"/>
    <n v="50"/>
    <n v="0.75"/>
    <n v="1"/>
  </r>
  <r>
    <n v="850"/>
    <n v="28"/>
    <n v="7"/>
    <n v="2023"/>
    <s v="Friday"/>
    <s v="July"/>
    <s v="2023"/>
    <d v="2023-07-28T00:00:00"/>
    <s v="CUST850"/>
    <x v="1"/>
    <x v="1"/>
    <n v="26"/>
    <x v="0"/>
    <n v="2"/>
    <n v="500"/>
    <n v="1000"/>
    <n v="15"/>
    <n v="20"/>
  </r>
  <r>
    <n v="851"/>
    <n v="8"/>
    <n v="9"/>
    <n v="2023"/>
    <s v="Friday"/>
    <s v="September"/>
    <s v="2023"/>
    <d v="2023-09-08T00:00:00"/>
    <s v="CUST851"/>
    <x v="0"/>
    <x v="0"/>
    <n v="32"/>
    <x v="1"/>
    <n v="2"/>
    <n v="25"/>
    <n v="50"/>
    <n v="0.75"/>
    <n v="1"/>
  </r>
  <r>
    <n v="852"/>
    <n v="12"/>
    <n v="10"/>
    <n v="2023"/>
    <s v="Thursday"/>
    <s v="October"/>
    <s v="2023"/>
    <d v="2023-10-12T00:00:00"/>
    <s v="CUST852"/>
    <x v="1"/>
    <x v="0"/>
    <n v="41"/>
    <x v="2"/>
    <n v="1"/>
    <n v="300"/>
    <n v="300"/>
    <n v="4.5"/>
    <n v="6"/>
  </r>
  <r>
    <n v="853"/>
    <n v="4"/>
    <n v="5"/>
    <n v="2023"/>
    <s v="Thursday"/>
    <s v="May"/>
    <s v="2023"/>
    <d v="2023-05-04T00:00:00"/>
    <s v="CUST853"/>
    <x v="0"/>
    <x v="1"/>
    <n v="21"/>
    <x v="0"/>
    <n v="2"/>
    <n v="500"/>
    <n v="1000"/>
    <n v="15"/>
    <n v="20"/>
  </r>
  <r>
    <n v="854"/>
    <n v="20"/>
    <n v="12"/>
    <n v="2023"/>
    <s v="Wednesday"/>
    <s v="December"/>
    <s v="2023"/>
    <d v="2023-12-20T00:00:00"/>
    <s v="CUST854"/>
    <x v="0"/>
    <x v="1"/>
    <n v="29"/>
    <x v="2"/>
    <n v="1"/>
    <n v="50"/>
    <n v="50"/>
    <n v="0.75"/>
    <n v="1"/>
  </r>
  <r>
    <n v="855"/>
    <n v="1"/>
    <n v="9"/>
    <n v="2023"/>
    <s v="Friday"/>
    <s v="September"/>
    <s v="2023"/>
    <d v="2023-09-01T00:00:00"/>
    <s v="CUST855"/>
    <x v="0"/>
    <x v="2"/>
    <n v="54"/>
    <x v="0"/>
    <n v="1"/>
    <n v="25"/>
    <n v="25"/>
    <n v="0.375"/>
    <n v="0.5"/>
  </r>
  <r>
    <n v="856"/>
    <n v="27"/>
    <n v="11"/>
    <n v="2023"/>
    <s v="Monday"/>
    <s v="November"/>
    <s v="2023"/>
    <d v="2023-11-27T00:00:00"/>
    <s v="CUST856"/>
    <x v="0"/>
    <x v="2"/>
    <n v="54"/>
    <x v="1"/>
    <n v="4"/>
    <n v="30"/>
    <n v="120"/>
    <n v="1.7999999999999998"/>
    <n v="2.4"/>
  </r>
  <r>
    <n v="857"/>
    <n v="31"/>
    <n v="12"/>
    <n v="2023"/>
    <s v="Sunday"/>
    <s v="December"/>
    <s v="2023"/>
    <d v="2023-12-31T00:00:00"/>
    <s v="CUST857"/>
    <x v="0"/>
    <x v="2"/>
    <n v="60"/>
    <x v="1"/>
    <n v="2"/>
    <n v="25"/>
    <n v="50"/>
    <n v="0.75"/>
    <n v="1"/>
  </r>
  <r>
    <n v="858"/>
    <n v="9"/>
    <n v="9"/>
    <n v="2023"/>
    <s v="Saturday"/>
    <s v="September"/>
    <s v="2023"/>
    <d v="2023-09-09T00:00:00"/>
    <s v="CUST858"/>
    <x v="0"/>
    <x v="1"/>
    <n v="23"/>
    <x v="1"/>
    <n v="2"/>
    <n v="50"/>
    <n v="100"/>
    <n v="1.5"/>
    <n v="2"/>
  </r>
  <r>
    <n v="859"/>
    <n v="18"/>
    <n v="8"/>
    <n v="2023"/>
    <s v="Friday"/>
    <s v="August"/>
    <s v="2023"/>
    <d v="2023-08-18T00:00:00"/>
    <s v="CUST859"/>
    <x v="1"/>
    <x v="2"/>
    <n v="56"/>
    <x v="1"/>
    <n v="3"/>
    <n v="500"/>
    <n v="1500"/>
    <n v="22.5"/>
    <n v="30"/>
  </r>
  <r>
    <n v="860"/>
    <n v="9"/>
    <n v="1"/>
    <n v="2023"/>
    <s v="Monday"/>
    <s v="January"/>
    <s v="2023"/>
    <d v="2023-01-09T00:00:00"/>
    <s v="CUST860"/>
    <x v="0"/>
    <x v="2"/>
    <n v="63"/>
    <x v="2"/>
    <n v="4"/>
    <n v="50"/>
    <n v="200"/>
    <n v="3"/>
    <n v="4"/>
  </r>
  <r>
    <n v="861"/>
    <n v="17"/>
    <n v="2"/>
    <n v="2023"/>
    <s v="Friday"/>
    <s v="February"/>
    <s v="2023"/>
    <d v="2023-02-17T00:00:00"/>
    <s v="CUST861"/>
    <x v="1"/>
    <x v="0"/>
    <n v="41"/>
    <x v="2"/>
    <n v="3"/>
    <n v="30"/>
    <n v="90"/>
    <n v="1.3499999999999999"/>
    <n v="1.8"/>
  </r>
  <r>
    <n v="862"/>
    <n v="31"/>
    <n v="5"/>
    <n v="2023"/>
    <s v="Wednesday"/>
    <s v="May"/>
    <s v="2023"/>
    <d v="2023-05-31T00:00:00"/>
    <s v="CUST862"/>
    <x v="0"/>
    <x v="1"/>
    <n v="28"/>
    <x v="1"/>
    <n v="4"/>
    <n v="300"/>
    <n v="1200"/>
    <n v="18"/>
    <n v="24"/>
  </r>
  <r>
    <n v="863"/>
    <n v="24"/>
    <n v="4"/>
    <n v="2023"/>
    <s v="Monday"/>
    <s v="April"/>
    <s v="2023"/>
    <d v="2023-04-24T00:00:00"/>
    <s v="CUST863"/>
    <x v="1"/>
    <x v="0"/>
    <n v="30"/>
    <x v="1"/>
    <n v="2"/>
    <n v="25"/>
    <n v="50"/>
    <n v="0.75"/>
    <n v="1"/>
  </r>
  <r>
    <n v="864"/>
    <n v="27"/>
    <n v="7"/>
    <n v="2023"/>
    <s v="Thursday"/>
    <s v="July"/>
    <s v="2023"/>
    <d v="2023-07-27T00:00:00"/>
    <s v="CUST864"/>
    <x v="1"/>
    <x v="2"/>
    <n v="51"/>
    <x v="1"/>
    <n v="1"/>
    <n v="500"/>
    <n v="500"/>
    <n v="7.5"/>
    <n v="10"/>
  </r>
  <r>
    <n v="865"/>
    <n v="21"/>
    <n v="12"/>
    <n v="2023"/>
    <s v="Thursday"/>
    <s v="December"/>
    <s v="2023"/>
    <d v="2023-12-21T00:00:00"/>
    <s v="CUST865"/>
    <x v="1"/>
    <x v="0"/>
    <n v="42"/>
    <x v="2"/>
    <n v="1"/>
    <n v="300"/>
    <n v="300"/>
    <n v="4.5"/>
    <n v="6"/>
  </r>
  <r>
    <n v="866"/>
    <n v="5"/>
    <n v="5"/>
    <n v="2023"/>
    <s v="Friday"/>
    <s v="May"/>
    <s v="2023"/>
    <d v="2023-05-05T00:00:00"/>
    <s v="CUST866"/>
    <x v="0"/>
    <x v="1"/>
    <n v="24"/>
    <x v="1"/>
    <n v="1"/>
    <n v="50"/>
    <n v="50"/>
    <n v="0.75"/>
    <n v="1"/>
  </r>
  <r>
    <n v="867"/>
    <n v="6"/>
    <n v="6"/>
    <n v="2023"/>
    <s v="Tuesday"/>
    <s v="June"/>
    <s v="2023"/>
    <d v="2023-06-06T00:00:00"/>
    <s v="CUST867"/>
    <x v="0"/>
    <x v="1"/>
    <n v="21"/>
    <x v="1"/>
    <n v="1"/>
    <n v="500"/>
    <n v="500"/>
    <n v="7.5"/>
    <n v="10"/>
  </r>
  <r>
    <n v="868"/>
    <n v="6"/>
    <n v="12"/>
    <n v="2023"/>
    <s v="Wednesday"/>
    <s v="December"/>
    <s v="2023"/>
    <d v="2023-12-06T00:00:00"/>
    <s v="CUST868"/>
    <x v="1"/>
    <x v="1"/>
    <n v="25"/>
    <x v="1"/>
    <n v="1"/>
    <n v="300"/>
    <n v="300"/>
    <n v="4.5"/>
    <n v="6"/>
  </r>
  <r>
    <n v="869"/>
    <n v="25"/>
    <n v="10"/>
    <n v="2023"/>
    <s v="Wednesday"/>
    <s v="October"/>
    <s v="2023"/>
    <d v="2023-10-25T00:00:00"/>
    <s v="CUST869"/>
    <x v="0"/>
    <x v="0"/>
    <n v="37"/>
    <x v="0"/>
    <n v="3"/>
    <n v="500"/>
    <n v="1500"/>
    <n v="22.5"/>
    <n v="30"/>
  </r>
  <r>
    <n v="870"/>
    <n v="8"/>
    <n v="7"/>
    <n v="2023"/>
    <s v="Saturday"/>
    <s v="July"/>
    <s v="2023"/>
    <d v="2023-07-08T00:00:00"/>
    <s v="CUST870"/>
    <x v="1"/>
    <x v="0"/>
    <n v="46"/>
    <x v="1"/>
    <n v="4"/>
    <n v="30"/>
    <n v="120"/>
    <n v="1.7999999999999998"/>
    <n v="2.4"/>
  </r>
  <r>
    <n v="871"/>
    <n v="31"/>
    <n v="8"/>
    <n v="2023"/>
    <s v="Thursday"/>
    <s v="August"/>
    <s v="2023"/>
    <d v="2023-08-31T00:00:00"/>
    <s v="CUST871"/>
    <x v="0"/>
    <x v="2"/>
    <n v="62"/>
    <x v="0"/>
    <n v="2"/>
    <n v="30"/>
    <n v="60"/>
    <n v="0.89999999999999991"/>
    <n v="1.2"/>
  </r>
  <r>
    <n v="872"/>
    <n v="11"/>
    <n v="10"/>
    <n v="2023"/>
    <s v="Wednesday"/>
    <s v="October"/>
    <s v="2023"/>
    <d v="2023-10-11T00:00:00"/>
    <s v="CUST872"/>
    <x v="1"/>
    <x v="2"/>
    <n v="63"/>
    <x v="0"/>
    <n v="3"/>
    <n v="25"/>
    <n v="75"/>
    <n v="1.125"/>
    <n v="1.5"/>
  </r>
  <r>
    <n v="873"/>
    <n v="29"/>
    <n v="9"/>
    <n v="2023"/>
    <s v="Friday"/>
    <s v="September"/>
    <s v="2023"/>
    <d v="2023-09-29T00:00:00"/>
    <s v="CUST873"/>
    <x v="1"/>
    <x v="1"/>
    <n v="27"/>
    <x v="1"/>
    <n v="4"/>
    <n v="25"/>
    <n v="100"/>
    <n v="1.5"/>
    <n v="2"/>
  </r>
  <r>
    <n v="874"/>
    <n v="26"/>
    <n v="6"/>
    <n v="2023"/>
    <s v="Monday"/>
    <s v="June"/>
    <s v="2023"/>
    <d v="2023-06-26T00:00:00"/>
    <s v="CUST874"/>
    <x v="0"/>
    <x v="2"/>
    <n v="60"/>
    <x v="0"/>
    <n v="1"/>
    <n v="30"/>
    <n v="30"/>
    <n v="0.44999999999999996"/>
    <n v="0.6"/>
  </r>
  <r>
    <n v="875"/>
    <n v="6"/>
    <n v="8"/>
    <n v="2023"/>
    <s v="Sunday"/>
    <s v="August"/>
    <s v="2023"/>
    <d v="2023-08-06T00:00:00"/>
    <s v="CUST875"/>
    <x v="1"/>
    <x v="2"/>
    <n v="51"/>
    <x v="1"/>
    <n v="4"/>
    <n v="500"/>
    <n v="2000"/>
    <n v="30"/>
    <n v="40"/>
  </r>
  <r>
    <n v="876"/>
    <n v="9"/>
    <n v="10"/>
    <n v="2023"/>
    <s v="Monday"/>
    <s v="October"/>
    <s v="2023"/>
    <d v="2023-10-09T00:00:00"/>
    <s v="CUST876"/>
    <x v="0"/>
    <x v="0"/>
    <n v="43"/>
    <x v="2"/>
    <n v="4"/>
    <n v="30"/>
    <n v="120"/>
    <n v="1.7999999999999998"/>
    <n v="2.4"/>
  </r>
  <r>
    <n v="877"/>
    <n v="19"/>
    <n v="6"/>
    <n v="2023"/>
    <s v="Monday"/>
    <s v="June"/>
    <s v="2023"/>
    <d v="2023-06-19T00:00:00"/>
    <s v="CUST877"/>
    <x v="1"/>
    <x v="2"/>
    <n v="58"/>
    <x v="2"/>
    <n v="1"/>
    <n v="25"/>
    <n v="25"/>
    <n v="0.375"/>
    <n v="0.5"/>
  </r>
  <r>
    <n v="878"/>
    <n v="30"/>
    <n v="6"/>
    <n v="2023"/>
    <s v="Friday"/>
    <s v="June"/>
    <s v="2023"/>
    <d v="2023-06-30T00:00:00"/>
    <s v="CUST878"/>
    <x v="1"/>
    <x v="1"/>
    <n v="20"/>
    <x v="2"/>
    <n v="1"/>
    <n v="30"/>
    <n v="30"/>
    <n v="0.44999999999999996"/>
    <n v="0.6"/>
  </r>
  <r>
    <n v="879"/>
    <n v="26"/>
    <n v="12"/>
    <n v="2023"/>
    <s v="Tuesday"/>
    <s v="December"/>
    <s v="2023"/>
    <d v="2023-12-26T00:00:00"/>
    <s v="CUST879"/>
    <x v="0"/>
    <x v="1"/>
    <n v="23"/>
    <x v="2"/>
    <n v="1"/>
    <n v="30"/>
    <n v="30"/>
    <n v="0.44999999999999996"/>
    <n v="0.6"/>
  </r>
  <r>
    <n v="880"/>
    <n v="21"/>
    <n v="8"/>
    <n v="2023"/>
    <s v="Monday"/>
    <s v="August"/>
    <s v="2023"/>
    <d v="2023-08-21T00:00:00"/>
    <s v="CUST880"/>
    <x v="0"/>
    <x v="1"/>
    <n v="22"/>
    <x v="0"/>
    <n v="2"/>
    <n v="500"/>
    <n v="1000"/>
    <n v="15"/>
    <n v="20"/>
  </r>
  <r>
    <n v="881"/>
    <n v="19"/>
    <n v="5"/>
    <n v="2023"/>
    <s v="Friday"/>
    <s v="May"/>
    <s v="2023"/>
    <d v="2023-05-19T00:00:00"/>
    <s v="CUST881"/>
    <x v="0"/>
    <x v="1"/>
    <n v="22"/>
    <x v="1"/>
    <n v="1"/>
    <n v="300"/>
    <n v="300"/>
    <n v="4.5"/>
    <n v="6"/>
  </r>
  <r>
    <n v="882"/>
    <n v="6"/>
    <n v="6"/>
    <n v="2023"/>
    <s v="Tuesday"/>
    <s v="June"/>
    <s v="2023"/>
    <d v="2023-06-06T00:00:00"/>
    <s v="CUST882"/>
    <x v="1"/>
    <x v="2"/>
    <n v="64"/>
    <x v="1"/>
    <n v="2"/>
    <n v="25"/>
    <n v="50"/>
    <n v="0.75"/>
    <n v="1"/>
  </r>
  <r>
    <n v="883"/>
    <n v="9"/>
    <n v="5"/>
    <n v="2023"/>
    <s v="Tuesday"/>
    <s v="May"/>
    <s v="2023"/>
    <d v="2023-05-09T00:00:00"/>
    <s v="CUST883"/>
    <x v="0"/>
    <x v="0"/>
    <n v="40"/>
    <x v="1"/>
    <n v="1"/>
    <n v="500"/>
    <n v="500"/>
    <n v="7.5"/>
    <n v="10"/>
  </r>
  <r>
    <n v="884"/>
    <n v="29"/>
    <n v="4"/>
    <n v="2023"/>
    <s v="Saturday"/>
    <s v="April"/>
    <s v="2023"/>
    <d v="2023-04-29T00:00:00"/>
    <s v="CUST884"/>
    <x v="1"/>
    <x v="1"/>
    <n v="26"/>
    <x v="2"/>
    <n v="2"/>
    <n v="30"/>
    <n v="60"/>
    <n v="0.89999999999999991"/>
    <n v="1.2"/>
  </r>
  <r>
    <n v="885"/>
    <n v="3"/>
    <n v="3"/>
    <n v="2023"/>
    <s v="Friday"/>
    <s v="March"/>
    <s v="2023"/>
    <d v="2023-03-03T00:00:00"/>
    <s v="CUST885"/>
    <x v="1"/>
    <x v="2"/>
    <n v="52"/>
    <x v="2"/>
    <n v="4"/>
    <n v="30"/>
    <n v="120"/>
    <n v="1.7999999999999998"/>
    <n v="2.4"/>
  </r>
  <r>
    <n v="886"/>
    <n v="9"/>
    <n v="4"/>
    <n v="2023"/>
    <s v="Sunday"/>
    <s v="April"/>
    <s v="2023"/>
    <d v="2023-04-09T00:00:00"/>
    <s v="CUST886"/>
    <x v="0"/>
    <x v="0"/>
    <n v="37"/>
    <x v="1"/>
    <n v="3"/>
    <n v="300"/>
    <n v="900"/>
    <n v="13.5"/>
    <n v="18"/>
  </r>
  <r>
    <n v="887"/>
    <n v="11"/>
    <n v="6"/>
    <n v="2023"/>
    <s v="Sunday"/>
    <s v="June"/>
    <s v="2023"/>
    <d v="2023-06-11T00:00:00"/>
    <s v="CUST887"/>
    <x v="0"/>
    <x v="2"/>
    <n v="59"/>
    <x v="2"/>
    <n v="4"/>
    <n v="25"/>
    <n v="100"/>
    <n v="1.5"/>
    <n v="2"/>
  </r>
  <r>
    <n v="888"/>
    <n v="3"/>
    <n v="3"/>
    <n v="2023"/>
    <s v="Friday"/>
    <s v="March"/>
    <s v="2023"/>
    <d v="2023-03-03T00:00:00"/>
    <s v="CUST888"/>
    <x v="1"/>
    <x v="2"/>
    <n v="52"/>
    <x v="1"/>
    <n v="4"/>
    <n v="25"/>
    <n v="100"/>
    <n v="1.5"/>
    <n v="2"/>
  </r>
  <r>
    <n v="889"/>
    <n v="2"/>
    <n v="10"/>
    <n v="2023"/>
    <s v="Monday"/>
    <s v="October"/>
    <s v="2023"/>
    <d v="2023-10-02T00:00:00"/>
    <s v="CUST889"/>
    <x v="1"/>
    <x v="0"/>
    <n v="35"/>
    <x v="1"/>
    <n v="1"/>
    <n v="50"/>
    <n v="50"/>
    <n v="0.75"/>
    <n v="1"/>
  </r>
  <r>
    <n v="890"/>
    <n v="20"/>
    <n v="12"/>
    <n v="2023"/>
    <s v="Wednesday"/>
    <s v="December"/>
    <s v="2023"/>
    <d v="2023-12-20T00:00:00"/>
    <s v="CUST890"/>
    <x v="0"/>
    <x v="0"/>
    <n v="34"/>
    <x v="1"/>
    <n v="2"/>
    <n v="25"/>
    <n v="50"/>
    <n v="0.75"/>
    <n v="1"/>
  </r>
  <r>
    <n v="891"/>
    <n v="5"/>
    <n v="4"/>
    <n v="2023"/>
    <s v="Wednesday"/>
    <s v="April"/>
    <s v="2023"/>
    <d v="2023-04-05T00:00:00"/>
    <s v="CUST891"/>
    <x v="0"/>
    <x v="0"/>
    <n v="41"/>
    <x v="1"/>
    <n v="3"/>
    <n v="300"/>
    <n v="900"/>
    <n v="13.5"/>
    <n v="18"/>
  </r>
  <r>
    <n v="892"/>
    <n v="9"/>
    <n v="4"/>
    <n v="2023"/>
    <s v="Sunday"/>
    <s v="April"/>
    <s v="2023"/>
    <d v="2023-04-09T00:00:00"/>
    <s v="CUST892"/>
    <x v="0"/>
    <x v="1"/>
    <n v="20"/>
    <x v="1"/>
    <n v="1"/>
    <n v="50"/>
    <n v="50"/>
    <n v="0.75"/>
    <n v="1"/>
  </r>
  <r>
    <n v="893"/>
    <n v="21"/>
    <n v="4"/>
    <n v="2023"/>
    <s v="Friday"/>
    <s v="April"/>
    <s v="2023"/>
    <d v="2023-04-21T00:00:00"/>
    <s v="CUST893"/>
    <x v="0"/>
    <x v="0"/>
    <n v="49"/>
    <x v="1"/>
    <n v="1"/>
    <n v="50"/>
    <n v="50"/>
    <n v="0.75"/>
    <n v="1"/>
  </r>
  <r>
    <n v="894"/>
    <n v="5"/>
    <n v="9"/>
    <n v="2023"/>
    <s v="Tuesday"/>
    <s v="September"/>
    <s v="2023"/>
    <d v="2023-09-05T00:00:00"/>
    <s v="CUST894"/>
    <x v="0"/>
    <x v="2"/>
    <n v="52"/>
    <x v="1"/>
    <n v="1"/>
    <n v="30"/>
    <n v="30"/>
    <n v="0.44999999999999996"/>
    <n v="0.6"/>
  </r>
  <r>
    <n v="895"/>
    <n v="22"/>
    <n v="5"/>
    <n v="2023"/>
    <s v="Monday"/>
    <s v="May"/>
    <s v="2023"/>
    <d v="2023-05-22T00:00:00"/>
    <s v="CUST895"/>
    <x v="1"/>
    <x v="2"/>
    <n v="55"/>
    <x v="2"/>
    <n v="4"/>
    <n v="30"/>
    <n v="120"/>
    <n v="1.7999999999999998"/>
    <n v="2.4"/>
  </r>
  <r>
    <n v="896"/>
    <n v="29"/>
    <n v="10"/>
    <n v="2023"/>
    <s v="Sunday"/>
    <s v="October"/>
    <s v="2023"/>
    <d v="2023-10-29T00:00:00"/>
    <s v="CUST896"/>
    <x v="1"/>
    <x v="0"/>
    <n v="30"/>
    <x v="1"/>
    <n v="2"/>
    <n v="25"/>
    <n v="50"/>
    <n v="0.75"/>
    <n v="1"/>
  </r>
  <r>
    <n v="897"/>
    <n v="26"/>
    <n v="9"/>
    <n v="2023"/>
    <s v="Tuesday"/>
    <s v="September"/>
    <s v="2023"/>
    <d v="2023-09-26T00:00:00"/>
    <s v="CUST897"/>
    <x v="1"/>
    <x v="2"/>
    <n v="64"/>
    <x v="1"/>
    <n v="2"/>
    <n v="50"/>
    <n v="100"/>
    <n v="1.5"/>
    <n v="2"/>
  </r>
  <r>
    <n v="898"/>
    <n v="2"/>
    <n v="11"/>
    <n v="2023"/>
    <s v="Thursday"/>
    <s v="November"/>
    <s v="2023"/>
    <d v="2023-11-02T00:00:00"/>
    <s v="CUST898"/>
    <x v="1"/>
    <x v="0"/>
    <n v="42"/>
    <x v="2"/>
    <n v="3"/>
    <n v="30"/>
    <n v="90"/>
    <n v="1.3499999999999999"/>
    <n v="1.8"/>
  </r>
  <r>
    <n v="899"/>
    <n v="25"/>
    <n v="5"/>
    <n v="2023"/>
    <s v="Thursday"/>
    <s v="May"/>
    <s v="2023"/>
    <d v="2023-05-25T00:00:00"/>
    <s v="CUST899"/>
    <x v="0"/>
    <x v="1"/>
    <n v="26"/>
    <x v="2"/>
    <n v="2"/>
    <n v="300"/>
    <n v="600"/>
    <n v="9"/>
    <n v="12"/>
  </r>
  <r>
    <n v="900"/>
    <n v="21"/>
    <n v="2"/>
    <n v="2023"/>
    <s v="Tuesday"/>
    <s v="February"/>
    <s v="2023"/>
    <d v="2023-02-21T00:00:00"/>
    <s v="CUST900"/>
    <x v="0"/>
    <x v="1"/>
    <n v="21"/>
    <x v="2"/>
    <n v="2"/>
    <n v="30"/>
    <n v="60"/>
    <n v="0.89999999999999991"/>
    <n v="1.2"/>
  </r>
  <r>
    <n v="901"/>
    <n v="10"/>
    <n v="4"/>
    <n v="2023"/>
    <s v="Monday"/>
    <s v="April"/>
    <s v="2023"/>
    <d v="2023-04-10T00:00:00"/>
    <s v="CUST901"/>
    <x v="0"/>
    <x v="0"/>
    <n v="31"/>
    <x v="1"/>
    <n v="1"/>
    <n v="30"/>
    <n v="30"/>
    <n v="0.44999999999999996"/>
    <n v="0.6"/>
  </r>
  <r>
    <n v="902"/>
    <n v="1"/>
    <n v="6"/>
    <n v="2023"/>
    <s v="Thursday"/>
    <s v="June"/>
    <s v="2023"/>
    <d v="2023-06-01T00:00:00"/>
    <s v="CUST902"/>
    <x v="1"/>
    <x v="2"/>
    <n v="54"/>
    <x v="0"/>
    <n v="1"/>
    <n v="50"/>
    <n v="50"/>
    <n v="0.75"/>
    <n v="1"/>
  </r>
  <r>
    <n v="903"/>
    <n v="27"/>
    <n v="4"/>
    <n v="2023"/>
    <s v="Thursday"/>
    <s v="April"/>
    <s v="2023"/>
    <d v="2023-04-27T00:00:00"/>
    <s v="CUST903"/>
    <x v="1"/>
    <x v="2"/>
    <n v="51"/>
    <x v="0"/>
    <n v="4"/>
    <n v="50"/>
    <n v="200"/>
    <n v="3"/>
    <n v="4"/>
  </r>
  <r>
    <n v="904"/>
    <n v="4"/>
    <n v="7"/>
    <n v="2023"/>
    <s v="Tuesday"/>
    <s v="July"/>
    <s v="2023"/>
    <d v="2023-07-04T00:00:00"/>
    <s v="CUST904"/>
    <x v="0"/>
    <x v="1"/>
    <n v="28"/>
    <x v="2"/>
    <n v="1"/>
    <n v="500"/>
    <n v="500"/>
    <n v="7.5"/>
    <n v="10"/>
  </r>
  <r>
    <n v="905"/>
    <n v="2"/>
    <n v="4"/>
    <n v="2023"/>
    <s v="Sunday"/>
    <s v="April"/>
    <s v="2023"/>
    <d v="2023-04-02T00:00:00"/>
    <s v="CUST905"/>
    <x v="0"/>
    <x v="2"/>
    <n v="58"/>
    <x v="0"/>
    <n v="1"/>
    <n v="300"/>
    <n v="300"/>
    <n v="4.5"/>
    <n v="6"/>
  </r>
  <r>
    <n v="906"/>
    <n v="4"/>
    <n v="6"/>
    <n v="2023"/>
    <s v="Sunday"/>
    <s v="June"/>
    <s v="2023"/>
    <d v="2023-06-04T00:00:00"/>
    <s v="CUST906"/>
    <x v="1"/>
    <x v="1"/>
    <n v="20"/>
    <x v="2"/>
    <n v="1"/>
    <n v="50"/>
    <n v="50"/>
    <n v="0.75"/>
    <n v="1"/>
  </r>
  <r>
    <n v="907"/>
    <n v="8"/>
    <n v="1"/>
    <n v="2023"/>
    <s v="Sunday"/>
    <s v="January"/>
    <s v="2023"/>
    <d v="2023-01-08T00:00:00"/>
    <s v="CUST907"/>
    <x v="1"/>
    <x v="0"/>
    <n v="45"/>
    <x v="1"/>
    <n v="1"/>
    <n v="25"/>
    <n v="25"/>
    <n v="0.375"/>
    <n v="0.5"/>
  </r>
  <r>
    <n v="908"/>
    <n v="29"/>
    <n v="12"/>
    <n v="2023"/>
    <s v="Friday"/>
    <s v="December"/>
    <s v="2023"/>
    <d v="2023-12-29T00:00:00"/>
    <s v="CUST908"/>
    <x v="0"/>
    <x v="0"/>
    <n v="46"/>
    <x v="0"/>
    <n v="4"/>
    <n v="300"/>
    <n v="1200"/>
    <n v="18"/>
    <n v="24"/>
  </r>
  <r>
    <n v="909"/>
    <n v="1"/>
    <n v="10"/>
    <n v="2023"/>
    <s v="Sunday"/>
    <s v="October"/>
    <s v="2023"/>
    <d v="2023-10-01T00:00:00"/>
    <s v="CUST909"/>
    <x v="0"/>
    <x v="1"/>
    <n v="26"/>
    <x v="1"/>
    <n v="1"/>
    <n v="300"/>
    <n v="300"/>
    <n v="4.5"/>
    <n v="6"/>
  </r>
  <r>
    <n v="910"/>
    <n v="6"/>
    <n v="3"/>
    <n v="2023"/>
    <s v="Monday"/>
    <s v="March"/>
    <s v="2023"/>
    <d v="2023-03-06T00:00:00"/>
    <s v="CUST910"/>
    <x v="1"/>
    <x v="1"/>
    <n v="20"/>
    <x v="0"/>
    <n v="3"/>
    <n v="50"/>
    <n v="150"/>
    <n v="2.25"/>
    <n v="3"/>
  </r>
  <r>
    <n v="911"/>
    <n v="21"/>
    <n v="5"/>
    <n v="2023"/>
    <s v="Sunday"/>
    <s v="May"/>
    <s v="2023"/>
    <d v="2023-05-21T00:00:00"/>
    <s v="CUST911"/>
    <x v="0"/>
    <x v="0"/>
    <n v="42"/>
    <x v="1"/>
    <n v="3"/>
    <n v="300"/>
    <n v="900"/>
    <n v="13.5"/>
    <n v="18"/>
  </r>
  <r>
    <n v="912"/>
    <n v="24"/>
    <n v="1"/>
    <n v="2023"/>
    <s v="Tuesday"/>
    <s v="January"/>
    <s v="2023"/>
    <d v="2023-01-24T00:00:00"/>
    <s v="CUST912"/>
    <x v="0"/>
    <x v="2"/>
    <n v="51"/>
    <x v="0"/>
    <n v="3"/>
    <n v="50"/>
    <n v="150"/>
    <n v="2.25"/>
    <n v="3"/>
  </r>
  <r>
    <n v="913"/>
    <n v="28"/>
    <n v="1"/>
    <n v="2023"/>
    <s v="Saturday"/>
    <s v="January"/>
    <s v="2023"/>
    <d v="2023-01-28T00:00:00"/>
    <s v="CUST913"/>
    <x v="0"/>
    <x v="1"/>
    <n v="29"/>
    <x v="1"/>
    <n v="3"/>
    <n v="30"/>
    <n v="90"/>
    <n v="1.3499999999999999"/>
    <n v="1.8"/>
  </r>
  <r>
    <n v="914"/>
    <n v="11"/>
    <n v="10"/>
    <n v="2023"/>
    <s v="Wednesday"/>
    <s v="October"/>
    <s v="2023"/>
    <d v="2023-10-11T00:00:00"/>
    <s v="CUST914"/>
    <x v="1"/>
    <x v="2"/>
    <n v="59"/>
    <x v="1"/>
    <n v="1"/>
    <n v="500"/>
    <n v="500"/>
    <n v="7.5"/>
    <n v="10"/>
  </r>
  <r>
    <n v="915"/>
    <n v="30"/>
    <n v="5"/>
    <n v="2023"/>
    <s v="Tuesday"/>
    <s v="May"/>
    <s v="2023"/>
    <d v="2023-05-30T00:00:00"/>
    <s v="CUST915"/>
    <x v="1"/>
    <x v="1"/>
    <n v="26"/>
    <x v="0"/>
    <n v="3"/>
    <n v="30"/>
    <n v="90"/>
    <n v="1.3499999999999999"/>
    <n v="1.8"/>
  </r>
  <r>
    <n v="916"/>
    <n v="24"/>
    <n v="12"/>
    <n v="2023"/>
    <s v="Sunday"/>
    <s v="December"/>
    <s v="2023"/>
    <d v="2023-12-24T00:00:00"/>
    <s v="CUST916"/>
    <x v="1"/>
    <x v="0"/>
    <n v="32"/>
    <x v="1"/>
    <n v="1"/>
    <n v="50"/>
    <n v="50"/>
    <n v="0.75"/>
    <n v="1"/>
  </r>
  <r>
    <n v="917"/>
    <n v="6"/>
    <n v="3"/>
    <n v="2023"/>
    <s v="Monday"/>
    <s v="March"/>
    <s v="2023"/>
    <d v="2023-03-06T00:00:00"/>
    <s v="CUST917"/>
    <x v="1"/>
    <x v="2"/>
    <n v="57"/>
    <x v="1"/>
    <n v="4"/>
    <n v="50"/>
    <n v="200"/>
    <n v="3"/>
    <n v="4"/>
  </r>
  <r>
    <n v="918"/>
    <n v="23"/>
    <n v="11"/>
    <n v="2023"/>
    <s v="Thursday"/>
    <s v="November"/>
    <s v="2023"/>
    <d v="2023-11-23T00:00:00"/>
    <s v="CUST918"/>
    <x v="1"/>
    <x v="0"/>
    <n v="42"/>
    <x v="1"/>
    <n v="3"/>
    <n v="30"/>
    <n v="90"/>
    <n v="1.3499999999999999"/>
    <n v="1.8"/>
  </r>
  <r>
    <n v="919"/>
    <n v="9"/>
    <n v="9"/>
    <n v="2023"/>
    <s v="Saturday"/>
    <s v="September"/>
    <s v="2023"/>
    <d v="2023-09-09T00:00:00"/>
    <s v="CUST919"/>
    <x v="1"/>
    <x v="1"/>
    <n v="22"/>
    <x v="0"/>
    <n v="2"/>
    <n v="25"/>
    <n v="50"/>
    <n v="0.75"/>
    <n v="1"/>
  </r>
  <r>
    <n v="920"/>
    <n v="22"/>
    <n v="2"/>
    <n v="2023"/>
    <s v="Wednesday"/>
    <s v="February"/>
    <s v="2023"/>
    <d v="2023-02-22T00:00:00"/>
    <s v="CUST920"/>
    <x v="1"/>
    <x v="1"/>
    <n v="28"/>
    <x v="0"/>
    <n v="3"/>
    <n v="25"/>
    <n v="75"/>
    <n v="1.125"/>
    <n v="1.5"/>
  </r>
  <r>
    <n v="921"/>
    <n v="7"/>
    <n v="1"/>
    <n v="2023"/>
    <s v="Saturday"/>
    <s v="January"/>
    <s v="2023"/>
    <d v="2023-01-07T00:00:00"/>
    <s v="CUST921"/>
    <x v="0"/>
    <x v="2"/>
    <n v="51"/>
    <x v="1"/>
    <n v="3"/>
    <n v="25"/>
    <n v="75"/>
    <n v="1.125"/>
    <n v="1.5"/>
  </r>
  <r>
    <n v="922"/>
    <n v="21"/>
    <n v="10"/>
    <n v="2023"/>
    <s v="Saturday"/>
    <s v="October"/>
    <s v="2023"/>
    <d v="2023-10-21T00:00:00"/>
    <s v="CUST922"/>
    <x v="0"/>
    <x v="0"/>
    <n v="41"/>
    <x v="1"/>
    <n v="1"/>
    <n v="50"/>
    <n v="50"/>
    <n v="0.75"/>
    <n v="1"/>
  </r>
  <r>
    <n v="923"/>
    <n v="26"/>
    <n v="5"/>
    <n v="2023"/>
    <s v="Friday"/>
    <s v="May"/>
    <s v="2023"/>
    <d v="2023-05-26T00:00:00"/>
    <s v="CUST923"/>
    <x v="0"/>
    <x v="0"/>
    <n v="32"/>
    <x v="0"/>
    <n v="3"/>
    <n v="300"/>
    <n v="900"/>
    <n v="13.5"/>
    <n v="18"/>
  </r>
  <r>
    <n v="924"/>
    <n v="29"/>
    <n v="8"/>
    <n v="2023"/>
    <s v="Tuesday"/>
    <s v="August"/>
    <s v="2023"/>
    <d v="2023-08-29T00:00:00"/>
    <s v="CUST924"/>
    <x v="0"/>
    <x v="2"/>
    <n v="55"/>
    <x v="0"/>
    <n v="2"/>
    <n v="50"/>
    <n v="100"/>
    <n v="1.5"/>
    <n v="2"/>
  </r>
  <r>
    <n v="925"/>
    <n v="3"/>
    <n v="9"/>
    <n v="2023"/>
    <s v="Sunday"/>
    <s v="September"/>
    <s v="2023"/>
    <d v="2023-09-03T00:00:00"/>
    <s v="CUST925"/>
    <x v="0"/>
    <x v="1"/>
    <n v="25"/>
    <x v="1"/>
    <n v="1"/>
    <n v="300"/>
    <n v="300"/>
    <n v="4.5"/>
    <n v="6"/>
  </r>
  <r>
    <n v="926"/>
    <n v="14"/>
    <n v="8"/>
    <n v="2023"/>
    <s v="Monday"/>
    <s v="August"/>
    <s v="2023"/>
    <d v="2023-08-14T00:00:00"/>
    <s v="CUST926"/>
    <x v="0"/>
    <x v="1"/>
    <n v="22"/>
    <x v="1"/>
    <n v="1"/>
    <n v="30"/>
    <n v="30"/>
    <n v="0.44999999999999996"/>
    <n v="0.6"/>
  </r>
  <r>
    <n v="927"/>
    <n v="24"/>
    <n v="6"/>
    <n v="2023"/>
    <s v="Saturday"/>
    <s v="June"/>
    <s v="2023"/>
    <d v="2023-06-24T00:00:00"/>
    <s v="CUST927"/>
    <x v="0"/>
    <x v="0"/>
    <n v="43"/>
    <x v="1"/>
    <n v="4"/>
    <n v="500"/>
    <n v="2000"/>
    <n v="30"/>
    <n v="40"/>
  </r>
  <r>
    <n v="928"/>
    <n v="5"/>
    <n v="4"/>
    <n v="2023"/>
    <s v="Wednesday"/>
    <s v="April"/>
    <s v="2023"/>
    <d v="2023-04-05T00:00:00"/>
    <s v="CUST928"/>
    <x v="1"/>
    <x v="0"/>
    <n v="35"/>
    <x v="2"/>
    <n v="4"/>
    <n v="300"/>
    <n v="1200"/>
    <n v="18"/>
    <n v="24"/>
  </r>
  <r>
    <n v="929"/>
    <n v="27"/>
    <n v="1"/>
    <n v="2023"/>
    <s v="Friday"/>
    <s v="January"/>
    <s v="2023"/>
    <d v="2023-01-27T00:00:00"/>
    <s v="CUST929"/>
    <x v="1"/>
    <x v="1"/>
    <n v="23"/>
    <x v="0"/>
    <n v="3"/>
    <n v="25"/>
    <n v="75"/>
    <n v="1.125"/>
    <n v="1.5"/>
  </r>
  <r>
    <n v="930"/>
    <n v="10"/>
    <n v="5"/>
    <n v="2023"/>
    <s v="Wednesday"/>
    <s v="May"/>
    <s v="2023"/>
    <d v="2023-05-10T00:00:00"/>
    <s v="CUST930"/>
    <x v="0"/>
    <x v="2"/>
    <n v="54"/>
    <x v="2"/>
    <n v="4"/>
    <n v="50"/>
    <n v="200"/>
    <n v="3"/>
    <n v="4"/>
  </r>
  <r>
    <n v="931"/>
    <n v="2"/>
    <n v="9"/>
    <n v="2023"/>
    <s v="Saturday"/>
    <s v="September"/>
    <s v="2023"/>
    <d v="2023-09-02T00:00:00"/>
    <s v="CUST931"/>
    <x v="0"/>
    <x v="0"/>
    <n v="30"/>
    <x v="0"/>
    <n v="4"/>
    <n v="30"/>
    <n v="120"/>
    <n v="1.7999999999999998"/>
    <n v="2.4"/>
  </r>
  <r>
    <n v="932"/>
    <n v="28"/>
    <n v="2"/>
    <n v="2023"/>
    <s v="Tuesday"/>
    <s v="February"/>
    <s v="2023"/>
    <d v="2023-02-28T00:00:00"/>
    <s v="CUST932"/>
    <x v="1"/>
    <x v="0"/>
    <n v="45"/>
    <x v="0"/>
    <n v="4"/>
    <n v="25"/>
    <n v="100"/>
    <n v="1.5"/>
    <n v="2"/>
  </r>
  <r>
    <n v="933"/>
    <n v="3"/>
    <n v="2"/>
    <n v="2023"/>
    <s v="Friday"/>
    <s v="February"/>
    <s v="2023"/>
    <d v="2023-02-03T00:00:00"/>
    <s v="CUST933"/>
    <x v="0"/>
    <x v="1"/>
    <n v="22"/>
    <x v="0"/>
    <n v="1"/>
    <n v="30"/>
    <n v="30"/>
    <n v="0.44999999999999996"/>
    <n v="0.6"/>
  </r>
  <r>
    <n v="934"/>
    <n v="25"/>
    <n v="7"/>
    <n v="2023"/>
    <s v="Tuesday"/>
    <s v="July"/>
    <s v="2023"/>
    <d v="2023-07-25T00:00:00"/>
    <s v="CUST934"/>
    <x v="0"/>
    <x v="0"/>
    <n v="30"/>
    <x v="0"/>
    <n v="1"/>
    <n v="500"/>
    <n v="500"/>
    <n v="7.5"/>
    <n v="10"/>
  </r>
  <r>
    <n v="935"/>
    <n v="9"/>
    <n v="9"/>
    <n v="2023"/>
    <s v="Saturday"/>
    <s v="September"/>
    <s v="2023"/>
    <d v="2023-09-09T00:00:00"/>
    <s v="CUST935"/>
    <x v="1"/>
    <x v="0"/>
    <n v="34"/>
    <x v="0"/>
    <n v="1"/>
    <n v="50"/>
    <n v="50"/>
    <n v="0.75"/>
    <n v="1"/>
  </r>
  <r>
    <n v="936"/>
    <n v="7"/>
    <n v="2"/>
    <n v="2023"/>
    <s v="Tuesday"/>
    <s v="February"/>
    <s v="2023"/>
    <d v="2023-02-07T00:00:00"/>
    <s v="CUST936"/>
    <x v="0"/>
    <x v="2"/>
    <n v="57"/>
    <x v="0"/>
    <n v="4"/>
    <n v="50"/>
    <n v="200"/>
    <n v="3"/>
    <n v="4"/>
  </r>
  <r>
    <n v="937"/>
    <n v="23"/>
    <n v="10"/>
    <n v="2023"/>
    <s v="Monday"/>
    <s v="October"/>
    <s v="2023"/>
    <d v="2023-10-23T00:00:00"/>
    <s v="CUST937"/>
    <x v="1"/>
    <x v="2"/>
    <n v="62"/>
    <x v="0"/>
    <n v="1"/>
    <n v="500"/>
    <n v="500"/>
    <n v="7.5"/>
    <n v="10"/>
  </r>
  <r>
    <n v="938"/>
    <n v="19"/>
    <n v="11"/>
    <n v="2023"/>
    <s v="Sunday"/>
    <s v="November"/>
    <s v="2023"/>
    <d v="2023-11-19T00:00:00"/>
    <s v="CUST938"/>
    <x v="0"/>
    <x v="0"/>
    <n v="49"/>
    <x v="2"/>
    <n v="4"/>
    <n v="50"/>
    <n v="200"/>
    <n v="3"/>
    <n v="4"/>
  </r>
  <r>
    <n v="939"/>
    <n v="18"/>
    <n v="12"/>
    <n v="2023"/>
    <s v="Monday"/>
    <s v="December"/>
    <s v="2023"/>
    <d v="2023-12-18T00:00:00"/>
    <s v="CUST939"/>
    <x v="1"/>
    <x v="0"/>
    <n v="46"/>
    <x v="1"/>
    <n v="1"/>
    <n v="300"/>
    <n v="300"/>
    <n v="4.5"/>
    <n v="6"/>
  </r>
  <r>
    <n v="940"/>
    <n v="28"/>
    <n v="1"/>
    <n v="2023"/>
    <s v="Saturday"/>
    <s v="January"/>
    <s v="2023"/>
    <d v="2023-01-28T00:00:00"/>
    <s v="CUST940"/>
    <x v="1"/>
    <x v="1"/>
    <n v="20"/>
    <x v="1"/>
    <n v="1"/>
    <n v="30"/>
    <n v="30"/>
    <n v="0.44999999999999996"/>
    <n v="0.6"/>
  </r>
  <r>
    <n v="941"/>
    <n v="19"/>
    <n v="3"/>
    <n v="2023"/>
    <s v="Sunday"/>
    <s v="March"/>
    <s v="2023"/>
    <d v="2023-03-19T00:00:00"/>
    <s v="CUST941"/>
    <x v="1"/>
    <x v="2"/>
    <n v="57"/>
    <x v="2"/>
    <n v="2"/>
    <n v="25"/>
    <n v="50"/>
    <n v="0.75"/>
    <n v="1"/>
  </r>
  <r>
    <n v="942"/>
    <n v="18"/>
    <n v="3"/>
    <n v="2023"/>
    <s v="Saturday"/>
    <s v="March"/>
    <s v="2023"/>
    <d v="2023-03-18T00:00:00"/>
    <s v="CUST942"/>
    <x v="0"/>
    <x v="2"/>
    <n v="51"/>
    <x v="2"/>
    <n v="3"/>
    <n v="500"/>
    <n v="1500"/>
    <n v="22.5"/>
    <n v="30"/>
  </r>
  <r>
    <n v="943"/>
    <n v="16"/>
    <n v="10"/>
    <n v="2023"/>
    <s v="Monday"/>
    <s v="October"/>
    <s v="2023"/>
    <d v="2023-10-16T00:00:00"/>
    <s v="CUST943"/>
    <x v="1"/>
    <x v="2"/>
    <n v="57"/>
    <x v="2"/>
    <n v="4"/>
    <n v="300"/>
    <n v="1200"/>
    <n v="18"/>
    <n v="24"/>
  </r>
  <r>
    <n v="944"/>
    <n v="5"/>
    <n v="6"/>
    <n v="2023"/>
    <s v="Monday"/>
    <s v="June"/>
    <s v="2023"/>
    <d v="2023-06-05T00:00:00"/>
    <s v="CUST944"/>
    <x v="0"/>
    <x v="0"/>
    <n v="44"/>
    <x v="2"/>
    <n v="2"/>
    <n v="25"/>
    <n v="50"/>
    <n v="0.75"/>
    <n v="1"/>
  </r>
  <r>
    <n v="945"/>
    <n v="13"/>
    <n v="2"/>
    <n v="2023"/>
    <s v="Monday"/>
    <s v="February"/>
    <s v="2023"/>
    <d v="2023-02-13T00:00:00"/>
    <s v="CUST945"/>
    <x v="0"/>
    <x v="0"/>
    <n v="30"/>
    <x v="0"/>
    <n v="1"/>
    <n v="25"/>
    <n v="25"/>
    <n v="0.375"/>
    <n v="0.5"/>
  </r>
  <r>
    <n v="946"/>
    <n v="8"/>
    <n v="5"/>
    <n v="2023"/>
    <s v="Monday"/>
    <s v="May"/>
    <s v="2023"/>
    <d v="2023-05-08T00:00:00"/>
    <s v="CUST946"/>
    <x v="0"/>
    <x v="2"/>
    <n v="62"/>
    <x v="1"/>
    <n v="4"/>
    <n v="500"/>
    <n v="2000"/>
    <n v="30"/>
    <n v="40"/>
  </r>
  <r>
    <n v="947"/>
    <n v="2"/>
    <n v="3"/>
    <n v="2023"/>
    <s v="Thursday"/>
    <s v="March"/>
    <s v="2023"/>
    <d v="2023-03-02T00:00:00"/>
    <s v="CUST947"/>
    <x v="0"/>
    <x v="0"/>
    <n v="50"/>
    <x v="0"/>
    <n v="1"/>
    <n v="300"/>
    <n v="300"/>
    <n v="4.5"/>
    <n v="6"/>
  </r>
  <r>
    <n v="948"/>
    <n v="13"/>
    <n v="10"/>
    <n v="2023"/>
    <s v="Friday"/>
    <s v="October"/>
    <s v="2023"/>
    <d v="2023-10-13T00:00:00"/>
    <s v="CUST948"/>
    <x v="1"/>
    <x v="1"/>
    <n v="23"/>
    <x v="1"/>
    <n v="3"/>
    <n v="25"/>
    <n v="75"/>
    <n v="1.125"/>
    <n v="1.5"/>
  </r>
  <r>
    <n v="949"/>
    <n v="2"/>
    <n v="8"/>
    <n v="2023"/>
    <s v="Wednesday"/>
    <s v="August"/>
    <s v="2023"/>
    <d v="2023-08-02T00:00:00"/>
    <s v="CUST949"/>
    <x v="1"/>
    <x v="0"/>
    <n v="41"/>
    <x v="1"/>
    <n v="2"/>
    <n v="25"/>
    <n v="50"/>
    <n v="0.75"/>
    <n v="1"/>
  </r>
  <r>
    <n v="950"/>
    <n v="7"/>
    <n v="11"/>
    <n v="2023"/>
    <s v="Tuesday"/>
    <s v="November"/>
    <s v="2023"/>
    <d v="2023-11-07T00:00:00"/>
    <s v="CUST950"/>
    <x v="0"/>
    <x v="0"/>
    <n v="36"/>
    <x v="2"/>
    <n v="3"/>
    <n v="300"/>
    <n v="900"/>
    <n v="13.5"/>
    <n v="18"/>
  </r>
  <r>
    <n v="951"/>
    <n v="2"/>
    <n v="11"/>
    <n v="2023"/>
    <s v="Thursday"/>
    <s v="November"/>
    <s v="2023"/>
    <d v="2023-11-02T00:00:00"/>
    <s v="CUST951"/>
    <x v="0"/>
    <x v="0"/>
    <n v="33"/>
    <x v="0"/>
    <n v="2"/>
    <n v="50"/>
    <n v="100"/>
    <n v="1.5"/>
    <n v="2"/>
  </r>
  <r>
    <n v="952"/>
    <n v="13"/>
    <n v="11"/>
    <n v="2023"/>
    <s v="Monday"/>
    <s v="November"/>
    <s v="2023"/>
    <d v="2023-11-13T00:00:00"/>
    <s v="CUST952"/>
    <x v="1"/>
    <x v="2"/>
    <n v="57"/>
    <x v="2"/>
    <n v="1"/>
    <n v="25"/>
    <n v="25"/>
    <n v="0.375"/>
    <n v="0.5"/>
  </r>
  <r>
    <n v="953"/>
    <n v="26"/>
    <n v="4"/>
    <n v="2023"/>
    <s v="Wednesday"/>
    <s v="April"/>
    <s v="2023"/>
    <d v="2023-04-26T00:00:00"/>
    <s v="CUST953"/>
    <x v="0"/>
    <x v="0"/>
    <n v="45"/>
    <x v="0"/>
    <n v="3"/>
    <n v="30"/>
    <n v="90"/>
    <n v="1.3499999999999999"/>
    <n v="1.8"/>
  </r>
  <r>
    <n v="954"/>
    <n v="25"/>
    <n v="9"/>
    <n v="2023"/>
    <s v="Monday"/>
    <s v="September"/>
    <s v="2023"/>
    <d v="2023-09-25T00:00:00"/>
    <s v="CUST954"/>
    <x v="1"/>
    <x v="0"/>
    <n v="50"/>
    <x v="1"/>
    <n v="3"/>
    <n v="300"/>
    <n v="900"/>
    <n v="13.5"/>
    <n v="18"/>
  </r>
  <r>
    <n v="955"/>
    <n v="14"/>
    <n v="7"/>
    <n v="2023"/>
    <s v="Friday"/>
    <s v="July"/>
    <s v="2023"/>
    <d v="2023-07-14T00:00:00"/>
    <s v="CUST955"/>
    <x v="0"/>
    <x v="2"/>
    <n v="58"/>
    <x v="2"/>
    <n v="1"/>
    <n v="25"/>
    <n v="25"/>
    <n v="0.375"/>
    <n v="0.5"/>
  </r>
  <r>
    <n v="956"/>
    <n v="19"/>
    <n v="8"/>
    <n v="2023"/>
    <s v="Saturday"/>
    <s v="August"/>
    <s v="2023"/>
    <d v="2023-08-19T00:00:00"/>
    <s v="CUST956"/>
    <x v="0"/>
    <x v="0"/>
    <n v="30"/>
    <x v="2"/>
    <n v="3"/>
    <n v="500"/>
    <n v="1500"/>
    <n v="22.5"/>
    <n v="30"/>
  </r>
  <r>
    <n v="957"/>
    <n v="15"/>
    <n v="8"/>
    <n v="2023"/>
    <s v="Tuesday"/>
    <s v="August"/>
    <s v="2023"/>
    <d v="2023-08-15T00:00:00"/>
    <s v="CUST957"/>
    <x v="1"/>
    <x v="2"/>
    <n v="60"/>
    <x v="1"/>
    <n v="4"/>
    <n v="30"/>
    <n v="120"/>
    <n v="1.7999999999999998"/>
    <n v="2.4"/>
  </r>
  <r>
    <n v="958"/>
    <n v="2"/>
    <n v="6"/>
    <n v="2023"/>
    <s v="Friday"/>
    <s v="June"/>
    <s v="2023"/>
    <d v="2023-06-02T00:00:00"/>
    <s v="CUST958"/>
    <x v="0"/>
    <x v="2"/>
    <n v="62"/>
    <x v="1"/>
    <n v="2"/>
    <n v="25"/>
    <n v="50"/>
    <n v="0.75"/>
    <n v="1"/>
  </r>
  <r>
    <n v="959"/>
    <n v="29"/>
    <n v="10"/>
    <n v="2023"/>
    <s v="Sunday"/>
    <s v="October"/>
    <s v="2023"/>
    <d v="2023-10-29T00:00:00"/>
    <s v="CUST959"/>
    <x v="1"/>
    <x v="0"/>
    <n v="42"/>
    <x v="1"/>
    <n v="2"/>
    <n v="30"/>
    <n v="60"/>
    <n v="0.89999999999999991"/>
    <n v="1.2"/>
  </r>
  <r>
    <n v="960"/>
    <n v="8"/>
    <n v="8"/>
    <n v="2023"/>
    <s v="Tuesday"/>
    <s v="August"/>
    <s v="2023"/>
    <d v="2023-08-08T00:00:00"/>
    <s v="CUST960"/>
    <x v="0"/>
    <x v="2"/>
    <n v="59"/>
    <x v="2"/>
    <n v="2"/>
    <n v="30"/>
    <n v="60"/>
    <n v="0.89999999999999991"/>
    <n v="1.2"/>
  </r>
  <r>
    <n v="961"/>
    <n v="6"/>
    <n v="6"/>
    <n v="2023"/>
    <s v="Tuesday"/>
    <s v="June"/>
    <s v="2023"/>
    <d v="2023-06-06T00:00:00"/>
    <s v="CUST961"/>
    <x v="0"/>
    <x v="2"/>
    <n v="53"/>
    <x v="0"/>
    <n v="4"/>
    <n v="50"/>
    <n v="200"/>
    <n v="3"/>
    <n v="4"/>
  </r>
  <r>
    <n v="962"/>
    <n v="19"/>
    <n v="10"/>
    <n v="2023"/>
    <s v="Thursday"/>
    <s v="October"/>
    <s v="2023"/>
    <d v="2023-10-19T00:00:00"/>
    <s v="CUST962"/>
    <x v="0"/>
    <x v="0"/>
    <n v="44"/>
    <x v="2"/>
    <n v="2"/>
    <n v="30"/>
    <n v="60"/>
    <n v="0.89999999999999991"/>
    <n v="1.2"/>
  </r>
  <r>
    <n v="963"/>
    <n v="14"/>
    <n v="11"/>
    <n v="2023"/>
    <s v="Tuesday"/>
    <s v="November"/>
    <s v="2023"/>
    <d v="2023-11-14T00:00:00"/>
    <s v="CUST963"/>
    <x v="1"/>
    <x v="2"/>
    <n v="55"/>
    <x v="0"/>
    <n v="1"/>
    <n v="50"/>
    <n v="50"/>
    <n v="0.75"/>
    <n v="1"/>
  </r>
  <r>
    <n v="964"/>
    <n v="31"/>
    <n v="1"/>
    <n v="2023"/>
    <s v="Tuesday"/>
    <s v="January"/>
    <s v="2023"/>
    <d v="2023-01-31T00:00:00"/>
    <s v="CUST964"/>
    <x v="0"/>
    <x v="1"/>
    <n v="24"/>
    <x v="2"/>
    <n v="3"/>
    <n v="300"/>
    <n v="900"/>
    <n v="13.5"/>
    <n v="18"/>
  </r>
  <r>
    <n v="965"/>
    <n v="9"/>
    <n v="11"/>
    <n v="2023"/>
    <s v="Thursday"/>
    <s v="November"/>
    <s v="2023"/>
    <d v="2023-11-09T00:00:00"/>
    <s v="CUST965"/>
    <x v="0"/>
    <x v="1"/>
    <n v="22"/>
    <x v="2"/>
    <n v="4"/>
    <n v="50"/>
    <n v="200"/>
    <n v="3"/>
    <n v="4"/>
  </r>
  <r>
    <n v="966"/>
    <n v="20"/>
    <n v="2"/>
    <n v="2023"/>
    <s v="Monday"/>
    <s v="February"/>
    <s v="2023"/>
    <d v="2023-02-20T00:00:00"/>
    <s v="CUST966"/>
    <x v="0"/>
    <x v="2"/>
    <n v="60"/>
    <x v="1"/>
    <n v="2"/>
    <n v="500"/>
    <n v="1000"/>
    <n v="15"/>
    <n v="20"/>
  </r>
  <r>
    <n v="967"/>
    <n v="17"/>
    <n v="4"/>
    <n v="2023"/>
    <s v="Monday"/>
    <s v="April"/>
    <s v="2023"/>
    <d v="2023-04-17T00:00:00"/>
    <s v="CUST967"/>
    <x v="0"/>
    <x v="2"/>
    <n v="62"/>
    <x v="0"/>
    <n v="1"/>
    <n v="25"/>
    <n v="25"/>
    <n v="0.375"/>
    <n v="0.5"/>
  </r>
  <r>
    <n v="968"/>
    <n v="17"/>
    <n v="11"/>
    <n v="2023"/>
    <s v="Friday"/>
    <s v="November"/>
    <s v="2023"/>
    <d v="2023-11-17T00:00:00"/>
    <s v="CUST968"/>
    <x v="1"/>
    <x v="0"/>
    <n v="48"/>
    <x v="2"/>
    <n v="3"/>
    <n v="300"/>
    <n v="900"/>
    <n v="13.5"/>
    <n v="18"/>
  </r>
  <r>
    <n v="969"/>
    <n v="19"/>
    <n v="4"/>
    <n v="2023"/>
    <s v="Wednesday"/>
    <s v="April"/>
    <s v="2023"/>
    <d v="2023-04-19T00:00:00"/>
    <s v="CUST969"/>
    <x v="1"/>
    <x v="0"/>
    <n v="40"/>
    <x v="2"/>
    <n v="3"/>
    <n v="300"/>
    <n v="900"/>
    <n v="13.5"/>
    <n v="18"/>
  </r>
  <r>
    <n v="970"/>
    <n v="16"/>
    <n v="5"/>
    <n v="2023"/>
    <s v="Tuesday"/>
    <s v="May"/>
    <s v="2023"/>
    <d v="2023-05-16T00:00:00"/>
    <s v="CUST970"/>
    <x v="0"/>
    <x v="2"/>
    <n v="59"/>
    <x v="1"/>
    <n v="4"/>
    <n v="500"/>
    <n v="2000"/>
    <n v="30"/>
    <n v="40"/>
  </r>
  <r>
    <n v="971"/>
    <n v="5"/>
    <n v="12"/>
    <n v="2023"/>
    <s v="Tuesday"/>
    <s v="December"/>
    <s v="2023"/>
    <d v="2023-12-05T00:00:00"/>
    <s v="CUST971"/>
    <x v="1"/>
    <x v="1"/>
    <n v="27"/>
    <x v="1"/>
    <n v="4"/>
    <n v="50"/>
    <n v="200"/>
    <n v="3"/>
    <n v="4"/>
  </r>
  <r>
    <n v="972"/>
    <n v="11"/>
    <n v="2"/>
    <n v="2023"/>
    <s v="Saturday"/>
    <s v="February"/>
    <s v="2023"/>
    <d v="2023-02-11T00:00:00"/>
    <s v="CUST972"/>
    <x v="0"/>
    <x v="0"/>
    <n v="49"/>
    <x v="0"/>
    <n v="4"/>
    <n v="25"/>
    <n v="100"/>
    <n v="1.5"/>
    <n v="2"/>
  </r>
  <r>
    <n v="973"/>
    <n v="22"/>
    <n v="3"/>
    <n v="2023"/>
    <s v="Wednesday"/>
    <s v="March"/>
    <s v="2023"/>
    <d v="2023-03-22T00:00:00"/>
    <s v="CUST973"/>
    <x v="0"/>
    <x v="2"/>
    <n v="60"/>
    <x v="2"/>
    <n v="1"/>
    <n v="50"/>
    <n v="50"/>
    <n v="0.75"/>
    <n v="1"/>
  </r>
  <r>
    <n v="974"/>
    <n v="3"/>
    <n v="5"/>
    <n v="2023"/>
    <s v="Wednesday"/>
    <s v="May"/>
    <s v="2023"/>
    <d v="2023-05-03T00:00:00"/>
    <s v="CUST974"/>
    <x v="0"/>
    <x v="0"/>
    <n v="47"/>
    <x v="0"/>
    <n v="1"/>
    <n v="30"/>
    <n v="30"/>
    <n v="0.44999999999999996"/>
    <n v="0.6"/>
  </r>
  <r>
    <n v="975"/>
    <n v="30"/>
    <n v="3"/>
    <n v="2023"/>
    <s v="Thursday"/>
    <s v="March"/>
    <s v="2023"/>
    <d v="2023-03-30T00:00:00"/>
    <s v="CUST975"/>
    <x v="1"/>
    <x v="2"/>
    <n v="56"/>
    <x v="2"/>
    <n v="4"/>
    <n v="50"/>
    <n v="200"/>
    <n v="3"/>
    <n v="4"/>
  </r>
  <r>
    <n v="976"/>
    <n v="10"/>
    <n v="10"/>
    <n v="2023"/>
    <s v="Tuesday"/>
    <s v="October"/>
    <s v="2023"/>
    <d v="2023-10-10T00:00:00"/>
    <s v="CUST976"/>
    <x v="1"/>
    <x v="0"/>
    <n v="48"/>
    <x v="0"/>
    <n v="2"/>
    <n v="300"/>
    <n v="600"/>
    <n v="9"/>
    <n v="12"/>
  </r>
  <r>
    <n v="977"/>
    <n v="8"/>
    <n v="2"/>
    <n v="2023"/>
    <s v="Wednesday"/>
    <s v="February"/>
    <s v="2023"/>
    <d v="2023-02-08T00:00:00"/>
    <s v="CUST977"/>
    <x v="1"/>
    <x v="0"/>
    <n v="35"/>
    <x v="1"/>
    <n v="3"/>
    <n v="25"/>
    <n v="75"/>
    <n v="1.125"/>
    <n v="1.5"/>
  </r>
  <r>
    <n v="978"/>
    <n v="22"/>
    <n v="3"/>
    <n v="2023"/>
    <s v="Wednesday"/>
    <s v="March"/>
    <s v="2023"/>
    <d v="2023-03-22T00:00:00"/>
    <s v="CUST978"/>
    <x v="1"/>
    <x v="2"/>
    <n v="53"/>
    <x v="2"/>
    <n v="3"/>
    <n v="50"/>
    <n v="150"/>
    <n v="2.25"/>
    <n v="3"/>
  </r>
  <r>
    <n v="979"/>
    <n v="2"/>
    <n v="1"/>
    <n v="2023"/>
    <s v="Monday"/>
    <s v="January"/>
    <s v="2023"/>
    <d v="2023-01-02T00:00:00"/>
    <s v="CUST979"/>
    <x v="1"/>
    <x v="1"/>
    <n v="19"/>
    <x v="0"/>
    <n v="1"/>
    <n v="25"/>
    <n v="25"/>
    <n v="0.375"/>
    <n v="0.5"/>
  </r>
  <r>
    <n v="980"/>
    <n v="29"/>
    <n v="7"/>
    <n v="2023"/>
    <s v="Saturday"/>
    <s v="July"/>
    <s v="2023"/>
    <d v="2023-07-29T00:00:00"/>
    <s v="CUST980"/>
    <x v="1"/>
    <x v="0"/>
    <n v="31"/>
    <x v="1"/>
    <n v="3"/>
    <n v="25"/>
    <n v="75"/>
    <n v="1.125"/>
    <n v="1.5"/>
  </r>
  <r>
    <n v="981"/>
    <n v="19"/>
    <n v="8"/>
    <n v="2023"/>
    <s v="Saturday"/>
    <s v="August"/>
    <s v="2023"/>
    <d v="2023-08-19T00:00:00"/>
    <s v="CUST981"/>
    <x v="1"/>
    <x v="0"/>
    <n v="30"/>
    <x v="1"/>
    <n v="2"/>
    <n v="30"/>
    <n v="60"/>
    <n v="0.89999999999999991"/>
    <n v="1.2"/>
  </r>
  <r>
    <n v="982"/>
    <n v="19"/>
    <n v="12"/>
    <n v="2023"/>
    <s v="Tuesday"/>
    <s v="December"/>
    <s v="2023"/>
    <d v="2023-12-19T00:00:00"/>
    <s v="CUST982"/>
    <x v="1"/>
    <x v="0"/>
    <n v="46"/>
    <x v="0"/>
    <n v="3"/>
    <n v="30"/>
    <n v="90"/>
    <n v="1.3499999999999999"/>
    <n v="1.8"/>
  </r>
  <r>
    <n v="983"/>
    <n v="1"/>
    <n v="11"/>
    <n v="2023"/>
    <s v="Wednesday"/>
    <s v="November"/>
    <s v="2023"/>
    <d v="2023-11-01T00:00:00"/>
    <s v="CUST983"/>
    <x v="1"/>
    <x v="1"/>
    <n v="29"/>
    <x v="2"/>
    <n v="1"/>
    <n v="300"/>
    <n v="300"/>
    <n v="4.5"/>
    <n v="6"/>
  </r>
  <r>
    <n v="984"/>
    <n v="29"/>
    <n v="8"/>
    <n v="2023"/>
    <s v="Tuesday"/>
    <s v="August"/>
    <s v="2023"/>
    <d v="2023-08-29T00:00:00"/>
    <s v="CUST984"/>
    <x v="0"/>
    <x v="2"/>
    <n v="56"/>
    <x v="2"/>
    <n v="1"/>
    <n v="500"/>
    <n v="500"/>
    <n v="7.5"/>
    <n v="10"/>
  </r>
  <r>
    <n v="985"/>
    <n v="30"/>
    <n v="5"/>
    <n v="2023"/>
    <s v="Tuesday"/>
    <s v="May"/>
    <s v="2023"/>
    <d v="2023-05-30T00:00:00"/>
    <s v="CUST985"/>
    <x v="1"/>
    <x v="1"/>
    <n v="19"/>
    <x v="1"/>
    <n v="2"/>
    <n v="25"/>
    <n v="50"/>
    <n v="0.75"/>
    <n v="1"/>
  </r>
  <r>
    <n v="986"/>
    <n v="17"/>
    <n v="1"/>
    <n v="2023"/>
    <s v="Tuesday"/>
    <s v="January"/>
    <s v="2023"/>
    <d v="2023-01-17T00:00:00"/>
    <s v="CUST986"/>
    <x v="1"/>
    <x v="0"/>
    <n v="49"/>
    <x v="2"/>
    <n v="2"/>
    <n v="500"/>
    <n v="1000"/>
    <n v="15"/>
    <n v="20"/>
  </r>
  <r>
    <n v="987"/>
    <n v="29"/>
    <n v="4"/>
    <n v="2023"/>
    <s v="Saturday"/>
    <s v="April"/>
    <s v="2023"/>
    <d v="2023-04-29T00:00:00"/>
    <s v="CUST987"/>
    <x v="1"/>
    <x v="0"/>
    <n v="30"/>
    <x v="2"/>
    <n v="3"/>
    <n v="300"/>
    <n v="900"/>
    <n v="13.5"/>
    <n v="18"/>
  </r>
  <r>
    <n v="988"/>
    <n v="28"/>
    <n v="5"/>
    <n v="2023"/>
    <s v="Sunday"/>
    <s v="May"/>
    <s v="2023"/>
    <d v="2023-05-28T00:00:00"/>
    <s v="CUST988"/>
    <x v="1"/>
    <x v="2"/>
    <n v="63"/>
    <x v="2"/>
    <n v="3"/>
    <n v="25"/>
    <n v="75"/>
    <n v="1.125"/>
    <n v="1.5"/>
  </r>
  <r>
    <n v="989"/>
    <n v="28"/>
    <n v="12"/>
    <n v="2023"/>
    <s v="Thursday"/>
    <s v="December"/>
    <s v="2023"/>
    <d v="2023-12-28T00:00:00"/>
    <s v="CUST989"/>
    <x v="1"/>
    <x v="0"/>
    <n v="44"/>
    <x v="1"/>
    <n v="1"/>
    <n v="25"/>
    <n v="25"/>
    <n v="0.375"/>
    <n v="0.5"/>
  </r>
  <r>
    <n v="990"/>
    <n v="25"/>
    <n v="5"/>
    <n v="2023"/>
    <s v="Thursday"/>
    <s v="May"/>
    <s v="2023"/>
    <d v="2023-05-25T00:00:00"/>
    <s v="CUST990"/>
    <x v="1"/>
    <x v="2"/>
    <n v="58"/>
    <x v="0"/>
    <n v="2"/>
    <n v="500"/>
    <n v="1000"/>
    <n v="15"/>
    <n v="20"/>
  </r>
  <r>
    <n v="991"/>
    <n v="26"/>
    <n v="12"/>
    <n v="2023"/>
    <s v="Tuesday"/>
    <s v="December"/>
    <s v="2023"/>
    <d v="2023-12-26T00:00:00"/>
    <s v="CUST991"/>
    <x v="1"/>
    <x v="0"/>
    <n v="34"/>
    <x v="2"/>
    <n v="2"/>
    <n v="50"/>
    <n v="100"/>
    <n v="1.5"/>
    <n v="2"/>
  </r>
  <r>
    <n v="992"/>
    <n v="21"/>
    <n v="8"/>
    <n v="2023"/>
    <s v="Monday"/>
    <s v="August"/>
    <s v="2023"/>
    <d v="2023-08-21T00:00:00"/>
    <s v="CUST992"/>
    <x v="1"/>
    <x v="2"/>
    <n v="57"/>
    <x v="1"/>
    <n v="2"/>
    <n v="30"/>
    <n v="60"/>
    <n v="0.89999999999999991"/>
    <n v="1.2"/>
  </r>
  <r>
    <n v="993"/>
    <n v="6"/>
    <n v="2"/>
    <n v="2023"/>
    <s v="Monday"/>
    <s v="February"/>
    <s v="2023"/>
    <d v="2023-02-06T00:00:00"/>
    <s v="CUST993"/>
    <x v="1"/>
    <x v="0"/>
    <n v="48"/>
    <x v="1"/>
    <n v="3"/>
    <n v="50"/>
    <n v="150"/>
    <n v="2.25"/>
    <n v="3"/>
  </r>
  <r>
    <n v="994"/>
    <n v="18"/>
    <n v="12"/>
    <n v="2023"/>
    <s v="Monday"/>
    <s v="December"/>
    <s v="2023"/>
    <d v="2023-12-18T00:00:00"/>
    <s v="CUST994"/>
    <x v="1"/>
    <x v="2"/>
    <n v="51"/>
    <x v="0"/>
    <n v="2"/>
    <n v="500"/>
    <n v="1000"/>
    <n v="15"/>
    <n v="20"/>
  </r>
  <r>
    <n v="995"/>
    <n v="30"/>
    <n v="4"/>
    <n v="2023"/>
    <s v="Sunday"/>
    <s v="April"/>
    <s v="2023"/>
    <d v="2023-04-30T00:00:00"/>
    <s v="CUST995"/>
    <x v="1"/>
    <x v="0"/>
    <n v="41"/>
    <x v="2"/>
    <n v="1"/>
    <n v="30"/>
    <n v="30"/>
    <n v="0.44999999999999996"/>
    <n v="0.6"/>
  </r>
  <r>
    <n v="996"/>
    <n v="16"/>
    <n v="5"/>
    <n v="2023"/>
    <s v="Tuesday"/>
    <s v="May"/>
    <s v="2023"/>
    <d v="2023-05-16T00:00:00"/>
    <s v="CUST996"/>
    <x v="0"/>
    <x v="2"/>
    <n v="62"/>
    <x v="2"/>
    <n v="1"/>
    <n v="50"/>
    <n v="50"/>
    <n v="0.75"/>
    <n v="1"/>
  </r>
  <r>
    <n v="997"/>
    <n v="17"/>
    <n v="11"/>
    <n v="2023"/>
    <s v="Friday"/>
    <s v="November"/>
    <s v="2023"/>
    <d v="2023-11-17T00:00:00"/>
    <s v="CUST997"/>
    <x v="0"/>
    <x v="2"/>
    <n v="52"/>
    <x v="0"/>
    <n v="3"/>
    <n v="30"/>
    <n v="90"/>
    <n v="1.3499999999999999"/>
    <n v="1.8"/>
  </r>
  <r>
    <n v="998"/>
    <n v="29"/>
    <n v="10"/>
    <n v="2023"/>
    <s v="Sunday"/>
    <s v="October"/>
    <s v="2023"/>
    <d v="2023-10-29T00:00:00"/>
    <s v="CUST998"/>
    <x v="1"/>
    <x v="1"/>
    <n v="23"/>
    <x v="0"/>
    <n v="4"/>
    <n v="25"/>
    <n v="100"/>
    <n v="1.5"/>
    <n v="2"/>
  </r>
  <r>
    <n v="999"/>
    <n v="5"/>
    <n v="12"/>
    <n v="2023"/>
    <s v="Tuesday"/>
    <s v="December"/>
    <s v="2023"/>
    <d v="2023-12-05T00:00:00"/>
    <s v="CUST999"/>
    <x v="1"/>
    <x v="0"/>
    <n v="36"/>
    <x v="1"/>
    <n v="3"/>
    <n v="50"/>
    <n v="150"/>
    <n v="2.25"/>
    <n v="3"/>
  </r>
  <r>
    <n v="1000"/>
    <n v="12"/>
    <n v="4"/>
    <n v="2023"/>
    <s v="Wednesday"/>
    <s v="April"/>
    <s v="2023"/>
    <d v="2023-04-12T00:00:00"/>
    <s v="CUST1000"/>
    <x v="0"/>
    <x v="0"/>
    <n v="47"/>
    <x v="1"/>
    <n v="4"/>
    <n v="30"/>
    <n v="120"/>
    <n v="1.7999999999999998"/>
    <n v="2.4"/>
  </r>
  <r>
    <m/>
    <m/>
    <m/>
    <m/>
    <m/>
    <m/>
    <m/>
    <m/>
    <m/>
    <x v="2"/>
    <x v="3"/>
    <m/>
    <x v="3"/>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24"/>
    <n v="11"/>
    <n v="2023"/>
    <s v="Friday"/>
    <s v="November"/>
    <s v="2023"/>
    <d v="2023-11-24T00:00:00"/>
    <s v="CUST001"/>
    <x v="0"/>
    <s v="Adult"/>
    <n v="34"/>
    <x v="0"/>
    <n v="3"/>
    <n v="50"/>
    <n v="150"/>
    <n v="2.25"/>
    <n v="3"/>
  </r>
  <r>
    <n v="2"/>
    <n v="27"/>
    <n v="2"/>
    <n v="2023"/>
    <s v="Monday"/>
    <s v="February"/>
    <s v="2023"/>
    <d v="2023-02-27T00:00:00"/>
    <s v="CUST002"/>
    <x v="1"/>
    <s v="Young Adult"/>
    <n v="26"/>
    <x v="1"/>
    <n v="2"/>
    <n v="500"/>
    <n v="1000"/>
    <n v="15"/>
    <n v="20"/>
  </r>
  <r>
    <n v="3"/>
    <n v="13"/>
    <n v="1"/>
    <n v="2023"/>
    <s v="Friday"/>
    <s v="January"/>
    <s v="2023"/>
    <d v="2023-01-13T00:00:00"/>
    <s v="CUST003"/>
    <x v="0"/>
    <s v="Adult"/>
    <n v="50"/>
    <x v="2"/>
    <n v="1"/>
    <n v="30"/>
    <n v="30"/>
    <n v="0.44999999999999996"/>
    <n v="0.6"/>
  </r>
  <r>
    <n v="4"/>
    <n v="21"/>
    <n v="5"/>
    <n v="2023"/>
    <s v="Sunday"/>
    <s v="May"/>
    <s v="2023"/>
    <d v="2023-05-21T00:00:00"/>
    <s v="CUST004"/>
    <x v="0"/>
    <s v="Adult"/>
    <n v="37"/>
    <x v="1"/>
    <n v="1"/>
    <n v="500"/>
    <n v="500"/>
    <n v="7.5"/>
    <n v="10"/>
  </r>
  <r>
    <n v="5"/>
    <n v="6"/>
    <n v="5"/>
    <n v="2023"/>
    <s v="Saturday"/>
    <s v="May"/>
    <s v="2023"/>
    <d v="2023-05-06T00:00:00"/>
    <s v="CUST005"/>
    <x v="0"/>
    <s v="Adult"/>
    <n v="30"/>
    <x v="0"/>
    <n v="2"/>
    <n v="50"/>
    <n v="100"/>
    <n v="1.5"/>
    <n v="2"/>
  </r>
  <r>
    <n v="6"/>
    <n v="25"/>
    <n v="4"/>
    <n v="2023"/>
    <s v="Tuesday"/>
    <s v="April"/>
    <s v="2023"/>
    <d v="2023-04-25T00:00:00"/>
    <s v="CUST006"/>
    <x v="1"/>
    <s v="Adult"/>
    <n v="45"/>
    <x v="0"/>
    <n v="1"/>
    <n v="30"/>
    <n v="30"/>
    <n v="0.44999999999999996"/>
    <n v="0.6"/>
  </r>
  <r>
    <n v="7"/>
    <n v="13"/>
    <n v="3"/>
    <n v="2023"/>
    <s v="Monday"/>
    <s v="March"/>
    <s v="2023"/>
    <d v="2023-03-13T00:00:00"/>
    <s v="CUST007"/>
    <x v="0"/>
    <s v="Adult"/>
    <n v="46"/>
    <x v="1"/>
    <n v="2"/>
    <n v="25"/>
    <n v="50"/>
    <n v="0.75"/>
    <n v="1"/>
  </r>
  <r>
    <n v="8"/>
    <n v="22"/>
    <n v="2"/>
    <n v="2023"/>
    <s v="Wednesday"/>
    <s v="February"/>
    <s v="2023"/>
    <d v="2023-02-22T00:00:00"/>
    <s v="CUST008"/>
    <x v="0"/>
    <s v="Adult"/>
    <n v="30"/>
    <x v="2"/>
    <n v="4"/>
    <n v="25"/>
    <n v="100"/>
    <n v="1.5"/>
    <n v="2"/>
  </r>
  <r>
    <n v="9"/>
    <n v="13"/>
    <n v="12"/>
    <n v="2023"/>
    <s v="Wednesday"/>
    <s v="December"/>
    <s v="2023"/>
    <d v="2023-12-13T00:00:00"/>
    <s v="CUST009"/>
    <x v="0"/>
    <s v="Senior"/>
    <n v="63"/>
    <x v="2"/>
    <n v="2"/>
    <n v="300"/>
    <n v="600"/>
    <n v="9"/>
    <n v="12"/>
  </r>
  <r>
    <n v="10"/>
    <n v="7"/>
    <n v="10"/>
    <n v="2023"/>
    <s v="Saturday"/>
    <s v="October"/>
    <s v="2023"/>
    <d v="2023-10-07T00:00:00"/>
    <s v="CUST010"/>
    <x v="1"/>
    <s v="Senior"/>
    <n v="52"/>
    <x v="1"/>
    <n v="4"/>
    <n v="50"/>
    <n v="200"/>
    <n v="3"/>
    <n v="4"/>
  </r>
  <r>
    <n v="11"/>
    <n v="14"/>
    <n v="2"/>
    <n v="2023"/>
    <s v="Tuesday"/>
    <s v="February"/>
    <s v="2023"/>
    <d v="2023-02-14T00:00:00"/>
    <s v="CUST011"/>
    <x v="0"/>
    <s v="Young Adult"/>
    <n v="23"/>
    <x v="1"/>
    <n v="2"/>
    <n v="50"/>
    <n v="100"/>
    <n v="1.5"/>
    <n v="2"/>
  </r>
  <r>
    <n v="12"/>
    <n v="30"/>
    <n v="10"/>
    <n v="2023"/>
    <s v="Monday"/>
    <s v="October"/>
    <s v="2023"/>
    <d v="2023-10-30T00:00:00"/>
    <s v="CUST012"/>
    <x v="0"/>
    <s v="Adult"/>
    <n v="35"/>
    <x v="0"/>
    <n v="3"/>
    <n v="25"/>
    <n v="75"/>
    <n v="1.125"/>
    <n v="1.5"/>
  </r>
  <r>
    <n v="13"/>
    <n v="5"/>
    <n v="8"/>
    <n v="2023"/>
    <s v="Saturday"/>
    <s v="August"/>
    <s v="2023"/>
    <d v="2023-08-05T00:00:00"/>
    <s v="CUST013"/>
    <x v="0"/>
    <s v="Young Adult"/>
    <n v="22"/>
    <x v="2"/>
    <n v="3"/>
    <n v="500"/>
    <n v="1500"/>
    <n v="22.5"/>
    <n v="30"/>
  </r>
  <r>
    <n v="14"/>
    <n v="17"/>
    <n v="1"/>
    <n v="2023"/>
    <s v="Tuesday"/>
    <s v="January"/>
    <s v="2023"/>
    <d v="2023-01-17T00:00:00"/>
    <s v="CUST014"/>
    <x v="0"/>
    <s v="Senior"/>
    <n v="64"/>
    <x v="1"/>
    <n v="4"/>
    <n v="30"/>
    <n v="120"/>
    <n v="1.7999999999999998"/>
    <n v="2.4"/>
  </r>
  <r>
    <n v="15"/>
    <n v="16"/>
    <n v="1"/>
    <n v="2023"/>
    <s v="Monday"/>
    <s v="January"/>
    <s v="2023"/>
    <d v="2023-01-16T00:00:00"/>
    <s v="CUST015"/>
    <x v="1"/>
    <s v="Adult"/>
    <n v="42"/>
    <x v="2"/>
    <n v="4"/>
    <n v="500"/>
    <n v="2000"/>
    <n v="30"/>
    <n v="40"/>
  </r>
  <r>
    <n v="16"/>
    <n v="17"/>
    <n v="2"/>
    <n v="2023"/>
    <s v="Friday"/>
    <s v="February"/>
    <s v="2023"/>
    <d v="2023-02-17T00:00:00"/>
    <s v="CUST016"/>
    <x v="0"/>
    <s v="Young Adult"/>
    <n v="19"/>
    <x v="1"/>
    <n v="3"/>
    <n v="500"/>
    <n v="1500"/>
    <n v="22.5"/>
    <n v="30"/>
  </r>
  <r>
    <n v="17"/>
    <n v="22"/>
    <n v="4"/>
    <n v="2023"/>
    <s v="Saturday"/>
    <s v="April"/>
    <s v="2023"/>
    <d v="2023-04-22T00:00:00"/>
    <s v="CUST017"/>
    <x v="1"/>
    <s v="Young Adult"/>
    <n v="27"/>
    <x v="1"/>
    <n v="4"/>
    <n v="25"/>
    <n v="100"/>
    <n v="1.5"/>
    <n v="2"/>
  </r>
  <r>
    <n v="18"/>
    <n v="30"/>
    <n v="4"/>
    <n v="2023"/>
    <s v="Sunday"/>
    <s v="April"/>
    <s v="2023"/>
    <d v="2023-04-30T00:00:00"/>
    <s v="CUST018"/>
    <x v="1"/>
    <s v="Adult"/>
    <n v="47"/>
    <x v="2"/>
    <n v="2"/>
    <n v="25"/>
    <n v="50"/>
    <n v="0.75"/>
    <n v="1"/>
  </r>
  <r>
    <n v="19"/>
    <n v="16"/>
    <n v="9"/>
    <n v="2023"/>
    <s v="Saturday"/>
    <s v="September"/>
    <s v="2023"/>
    <d v="2023-09-16T00:00:00"/>
    <s v="CUST019"/>
    <x v="1"/>
    <s v="Senior"/>
    <n v="62"/>
    <x v="1"/>
    <n v="2"/>
    <n v="25"/>
    <n v="50"/>
    <n v="0.75"/>
    <n v="1"/>
  </r>
  <r>
    <n v="20"/>
    <n v="5"/>
    <n v="11"/>
    <n v="2023"/>
    <s v="Sunday"/>
    <s v="November"/>
    <s v="2023"/>
    <d v="2023-11-05T00:00:00"/>
    <s v="CUST020"/>
    <x v="0"/>
    <s v="Young Adult"/>
    <n v="22"/>
    <x v="1"/>
    <n v="3"/>
    <n v="300"/>
    <n v="900"/>
    <n v="13.5"/>
    <n v="18"/>
  </r>
  <r>
    <n v="21"/>
    <n v="14"/>
    <n v="1"/>
    <n v="2023"/>
    <s v="Saturday"/>
    <s v="January"/>
    <s v="2023"/>
    <d v="2023-01-14T00:00:00"/>
    <s v="CUST021"/>
    <x v="1"/>
    <s v="Adult"/>
    <n v="50"/>
    <x v="0"/>
    <n v="1"/>
    <n v="500"/>
    <n v="500"/>
    <n v="7.5"/>
    <n v="10"/>
  </r>
  <r>
    <n v="22"/>
    <n v="15"/>
    <n v="10"/>
    <n v="2023"/>
    <s v="Sunday"/>
    <s v="October"/>
    <s v="2023"/>
    <d v="2023-10-15T00:00:00"/>
    <s v="CUST022"/>
    <x v="0"/>
    <s v="Young Adult"/>
    <n v="18"/>
    <x v="1"/>
    <n v="2"/>
    <n v="50"/>
    <n v="100"/>
    <n v="1.5"/>
    <n v="2"/>
  </r>
  <r>
    <n v="23"/>
    <n v="12"/>
    <n v="4"/>
    <n v="2023"/>
    <s v="Wednesday"/>
    <s v="April"/>
    <s v="2023"/>
    <d v="2023-04-12T00:00:00"/>
    <s v="CUST023"/>
    <x v="1"/>
    <s v="Adult"/>
    <n v="35"/>
    <x v="1"/>
    <n v="4"/>
    <n v="30"/>
    <n v="120"/>
    <n v="1.7999999999999998"/>
    <n v="2.4"/>
  </r>
  <r>
    <n v="24"/>
    <n v="29"/>
    <n v="11"/>
    <n v="2023"/>
    <s v="Wednesday"/>
    <s v="November"/>
    <s v="2023"/>
    <d v="2023-11-29T00:00:00"/>
    <s v="CUST024"/>
    <x v="1"/>
    <s v="Adult"/>
    <n v="49"/>
    <x v="1"/>
    <n v="1"/>
    <n v="300"/>
    <n v="300"/>
    <n v="4.5"/>
    <n v="6"/>
  </r>
  <r>
    <n v="25"/>
    <n v="26"/>
    <n v="12"/>
    <n v="2023"/>
    <s v="Tuesday"/>
    <s v="December"/>
    <s v="2023"/>
    <d v="2023-12-26T00:00:00"/>
    <s v="CUST025"/>
    <x v="1"/>
    <s v="Senior"/>
    <n v="64"/>
    <x v="0"/>
    <n v="1"/>
    <n v="50"/>
    <n v="50"/>
    <n v="0.75"/>
    <n v="1"/>
  </r>
  <r>
    <n v="26"/>
    <n v="7"/>
    <n v="10"/>
    <n v="2023"/>
    <s v="Saturday"/>
    <s v="October"/>
    <s v="2023"/>
    <d v="2023-10-07T00:00:00"/>
    <s v="CUST026"/>
    <x v="1"/>
    <s v="Young Adult"/>
    <n v="28"/>
    <x v="2"/>
    <n v="2"/>
    <n v="500"/>
    <n v="1000"/>
    <n v="15"/>
    <n v="20"/>
  </r>
  <r>
    <n v="27"/>
    <n v="3"/>
    <n v="8"/>
    <n v="2023"/>
    <s v="Thursday"/>
    <s v="August"/>
    <s v="2023"/>
    <d v="2023-08-03T00:00:00"/>
    <s v="CUST027"/>
    <x v="1"/>
    <s v="Adult"/>
    <n v="38"/>
    <x v="0"/>
    <n v="2"/>
    <n v="25"/>
    <n v="50"/>
    <n v="0.75"/>
    <n v="1"/>
  </r>
  <r>
    <n v="28"/>
    <n v="23"/>
    <n v="4"/>
    <n v="2023"/>
    <s v="Sunday"/>
    <s v="April"/>
    <s v="2023"/>
    <d v="2023-04-23T00:00:00"/>
    <s v="CUST028"/>
    <x v="1"/>
    <s v="Adult"/>
    <n v="43"/>
    <x v="0"/>
    <n v="1"/>
    <n v="500"/>
    <n v="500"/>
    <n v="7.5"/>
    <n v="10"/>
  </r>
  <r>
    <n v="29"/>
    <n v="18"/>
    <n v="8"/>
    <n v="2023"/>
    <s v="Friday"/>
    <s v="August"/>
    <s v="2023"/>
    <d v="2023-08-18T00:00:00"/>
    <s v="CUST029"/>
    <x v="1"/>
    <s v="Adult"/>
    <n v="42"/>
    <x v="2"/>
    <n v="1"/>
    <n v="30"/>
    <n v="30"/>
    <n v="0.44999999999999996"/>
    <n v="0.6"/>
  </r>
  <r>
    <n v="30"/>
    <n v="29"/>
    <n v="10"/>
    <n v="2023"/>
    <s v="Sunday"/>
    <s v="October"/>
    <s v="2023"/>
    <d v="2023-10-29T00:00:00"/>
    <s v="CUST030"/>
    <x v="1"/>
    <s v="Adult"/>
    <n v="39"/>
    <x v="0"/>
    <n v="3"/>
    <n v="300"/>
    <n v="900"/>
    <n v="13.5"/>
    <n v="18"/>
  </r>
  <r>
    <n v="31"/>
    <n v="23"/>
    <n v="5"/>
    <n v="2023"/>
    <s v="Tuesday"/>
    <s v="May"/>
    <s v="2023"/>
    <d v="2023-05-23T00:00:00"/>
    <s v="CUST031"/>
    <x v="0"/>
    <s v="Adult"/>
    <n v="44"/>
    <x v="2"/>
    <n v="4"/>
    <n v="300"/>
    <n v="1200"/>
    <n v="18"/>
    <n v="24"/>
  </r>
  <r>
    <n v="32"/>
    <n v="4"/>
    <n v="1"/>
    <n v="2023"/>
    <s v="Wednesday"/>
    <s v="January"/>
    <s v="2023"/>
    <d v="2023-01-04T00:00:00"/>
    <s v="CUST032"/>
    <x v="0"/>
    <s v="Adult"/>
    <n v="30"/>
    <x v="0"/>
    <n v="3"/>
    <n v="30"/>
    <n v="90"/>
    <n v="1.3499999999999999"/>
    <n v="1.8"/>
  </r>
  <r>
    <n v="33"/>
    <n v="23"/>
    <n v="3"/>
    <n v="2023"/>
    <s v="Thursday"/>
    <s v="March"/>
    <s v="2023"/>
    <d v="2023-03-23T00:00:00"/>
    <s v="CUST033"/>
    <x v="1"/>
    <s v="Adult"/>
    <n v="50"/>
    <x v="2"/>
    <n v="2"/>
    <n v="50"/>
    <n v="100"/>
    <n v="1.5"/>
    <n v="2"/>
  </r>
  <r>
    <n v="34"/>
    <n v="24"/>
    <n v="12"/>
    <n v="2023"/>
    <s v="Sunday"/>
    <s v="December"/>
    <s v="2023"/>
    <d v="2023-12-24T00:00:00"/>
    <s v="CUST034"/>
    <x v="1"/>
    <s v="Senior"/>
    <n v="51"/>
    <x v="1"/>
    <n v="3"/>
    <n v="50"/>
    <n v="150"/>
    <n v="2.25"/>
    <n v="3"/>
  </r>
  <r>
    <n v="35"/>
    <n v="5"/>
    <n v="8"/>
    <n v="2023"/>
    <s v="Saturday"/>
    <s v="August"/>
    <s v="2023"/>
    <d v="2023-08-05T00:00:00"/>
    <s v="CUST035"/>
    <x v="1"/>
    <s v="Senior"/>
    <n v="58"/>
    <x v="0"/>
    <n v="3"/>
    <n v="300"/>
    <n v="900"/>
    <n v="13.5"/>
    <n v="18"/>
  </r>
  <r>
    <n v="36"/>
    <n v="24"/>
    <n v="6"/>
    <n v="2023"/>
    <s v="Saturday"/>
    <s v="June"/>
    <s v="2023"/>
    <d v="2023-06-24T00:00:00"/>
    <s v="CUST036"/>
    <x v="0"/>
    <s v="Senior"/>
    <n v="52"/>
    <x v="0"/>
    <n v="3"/>
    <n v="300"/>
    <n v="900"/>
    <n v="13.5"/>
    <n v="18"/>
  </r>
  <r>
    <n v="37"/>
    <n v="23"/>
    <n v="5"/>
    <n v="2023"/>
    <s v="Tuesday"/>
    <s v="May"/>
    <s v="2023"/>
    <d v="2023-05-23T00:00:00"/>
    <s v="CUST037"/>
    <x v="1"/>
    <s v="Young Adult"/>
    <n v="18"/>
    <x v="0"/>
    <n v="3"/>
    <n v="25"/>
    <n v="75"/>
    <n v="1.125"/>
    <n v="1.5"/>
  </r>
  <r>
    <n v="38"/>
    <n v="21"/>
    <n v="3"/>
    <n v="2023"/>
    <s v="Tuesday"/>
    <s v="March"/>
    <s v="2023"/>
    <d v="2023-03-21T00:00:00"/>
    <s v="CUST038"/>
    <x v="0"/>
    <s v="Adult"/>
    <n v="38"/>
    <x v="0"/>
    <n v="4"/>
    <n v="50"/>
    <n v="200"/>
    <n v="3"/>
    <n v="4"/>
  </r>
  <r>
    <n v="39"/>
    <n v="21"/>
    <n v="4"/>
    <n v="2023"/>
    <s v="Friday"/>
    <s v="April"/>
    <s v="2023"/>
    <d v="2023-04-21T00:00:00"/>
    <s v="CUST039"/>
    <x v="0"/>
    <s v="Young Adult"/>
    <n v="23"/>
    <x v="1"/>
    <n v="4"/>
    <n v="30"/>
    <n v="120"/>
    <n v="1.7999999999999998"/>
    <n v="2.4"/>
  </r>
  <r>
    <n v="40"/>
    <n v="22"/>
    <n v="6"/>
    <n v="2023"/>
    <s v="Thursday"/>
    <s v="June"/>
    <s v="2023"/>
    <d v="2023-06-22T00:00:00"/>
    <s v="CUST040"/>
    <x v="0"/>
    <s v="Adult"/>
    <n v="45"/>
    <x v="0"/>
    <n v="1"/>
    <n v="50"/>
    <n v="50"/>
    <n v="0.75"/>
    <n v="1"/>
  </r>
  <r>
    <n v="41"/>
    <n v="22"/>
    <n v="2"/>
    <n v="2023"/>
    <s v="Wednesday"/>
    <s v="February"/>
    <s v="2023"/>
    <d v="2023-02-22T00:00:00"/>
    <s v="CUST041"/>
    <x v="0"/>
    <s v="Adult"/>
    <n v="34"/>
    <x v="1"/>
    <n v="2"/>
    <n v="25"/>
    <n v="50"/>
    <n v="0.75"/>
    <n v="1"/>
  </r>
  <r>
    <n v="42"/>
    <n v="17"/>
    <n v="2"/>
    <n v="2023"/>
    <s v="Friday"/>
    <s v="February"/>
    <s v="2023"/>
    <d v="2023-02-17T00:00:00"/>
    <s v="CUST042"/>
    <x v="0"/>
    <s v="Young Adult"/>
    <n v="22"/>
    <x v="1"/>
    <n v="3"/>
    <n v="300"/>
    <n v="900"/>
    <n v="13.5"/>
    <n v="18"/>
  </r>
  <r>
    <n v="43"/>
    <n v="14"/>
    <n v="7"/>
    <n v="2023"/>
    <s v="Friday"/>
    <s v="July"/>
    <s v="2023"/>
    <d v="2023-07-14T00:00:00"/>
    <s v="CUST043"/>
    <x v="1"/>
    <s v="Adult"/>
    <n v="48"/>
    <x v="1"/>
    <n v="1"/>
    <n v="300"/>
    <n v="300"/>
    <n v="4.5"/>
    <n v="6"/>
  </r>
  <r>
    <n v="44"/>
    <n v="19"/>
    <n v="2"/>
    <n v="2023"/>
    <s v="Sunday"/>
    <s v="February"/>
    <s v="2023"/>
    <d v="2023-02-19T00:00:00"/>
    <s v="CUST044"/>
    <x v="1"/>
    <s v="Young Adult"/>
    <n v="22"/>
    <x v="1"/>
    <n v="1"/>
    <n v="25"/>
    <n v="25"/>
    <n v="0.375"/>
    <n v="0.5"/>
  </r>
  <r>
    <n v="45"/>
    <n v="3"/>
    <n v="7"/>
    <n v="2023"/>
    <s v="Monday"/>
    <s v="July"/>
    <s v="2023"/>
    <d v="2023-07-03T00:00:00"/>
    <s v="CUST045"/>
    <x v="1"/>
    <s v="Senior"/>
    <n v="55"/>
    <x v="2"/>
    <n v="1"/>
    <n v="30"/>
    <n v="30"/>
    <n v="0.44999999999999996"/>
    <n v="0.6"/>
  </r>
  <r>
    <n v="46"/>
    <n v="26"/>
    <n v="6"/>
    <n v="2023"/>
    <s v="Monday"/>
    <s v="June"/>
    <s v="2023"/>
    <d v="2023-06-26T00:00:00"/>
    <s v="CUST046"/>
    <x v="1"/>
    <s v="Young Adult"/>
    <n v="20"/>
    <x v="2"/>
    <n v="4"/>
    <n v="300"/>
    <n v="1200"/>
    <n v="18"/>
    <n v="24"/>
  </r>
  <r>
    <n v="47"/>
    <n v="6"/>
    <n v="11"/>
    <n v="2023"/>
    <s v="Monday"/>
    <s v="November"/>
    <s v="2023"/>
    <d v="2023-11-06T00:00:00"/>
    <s v="CUST047"/>
    <x v="1"/>
    <s v="Adult"/>
    <n v="40"/>
    <x v="0"/>
    <n v="3"/>
    <n v="500"/>
    <n v="1500"/>
    <n v="22.5"/>
    <n v="30"/>
  </r>
  <r>
    <n v="48"/>
    <n v="16"/>
    <n v="5"/>
    <n v="2023"/>
    <s v="Tuesday"/>
    <s v="May"/>
    <s v="2023"/>
    <d v="2023-05-16T00:00:00"/>
    <s v="CUST048"/>
    <x v="0"/>
    <s v="Senior"/>
    <n v="54"/>
    <x v="2"/>
    <n v="3"/>
    <n v="300"/>
    <n v="900"/>
    <n v="13.5"/>
    <n v="18"/>
  </r>
  <r>
    <n v="49"/>
    <n v="23"/>
    <n v="1"/>
    <n v="2023"/>
    <s v="Monday"/>
    <s v="January"/>
    <s v="2023"/>
    <d v="2023-01-23T00:00:00"/>
    <s v="CUST049"/>
    <x v="1"/>
    <s v="Senior"/>
    <n v="54"/>
    <x v="2"/>
    <n v="2"/>
    <n v="500"/>
    <n v="1000"/>
    <n v="15"/>
    <n v="20"/>
  </r>
  <r>
    <n v="50"/>
    <n v="24"/>
    <n v="8"/>
    <n v="2023"/>
    <s v="Thursday"/>
    <s v="August"/>
    <s v="2023"/>
    <d v="2023-08-24T00:00:00"/>
    <s v="CUST050"/>
    <x v="1"/>
    <s v="Young Adult"/>
    <n v="27"/>
    <x v="0"/>
    <n v="3"/>
    <n v="25"/>
    <n v="75"/>
    <n v="1.125"/>
    <n v="1.5"/>
  </r>
  <r>
    <n v="51"/>
    <n v="2"/>
    <n v="10"/>
    <n v="2023"/>
    <s v="Monday"/>
    <s v="October"/>
    <s v="2023"/>
    <d v="2023-10-02T00:00:00"/>
    <s v="CUST051"/>
    <x v="0"/>
    <s v="Young Adult"/>
    <n v="27"/>
    <x v="0"/>
    <n v="3"/>
    <n v="25"/>
    <n v="75"/>
    <n v="1.125"/>
    <n v="1.5"/>
  </r>
  <r>
    <n v="52"/>
    <n v="5"/>
    <n v="3"/>
    <n v="2023"/>
    <s v="Sunday"/>
    <s v="March"/>
    <s v="2023"/>
    <d v="2023-03-05T00:00:00"/>
    <s v="CUST052"/>
    <x v="1"/>
    <s v="Adult"/>
    <n v="36"/>
    <x v="0"/>
    <n v="1"/>
    <n v="300"/>
    <n v="300"/>
    <n v="4.5"/>
    <n v="6"/>
  </r>
  <r>
    <n v="53"/>
    <n v="13"/>
    <n v="7"/>
    <n v="2023"/>
    <s v="Thursday"/>
    <s v="July"/>
    <s v="2023"/>
    <d v="2023-07-13T00:00:00"/>
    <s v="CUST053"/>
    <x v="0"/>
    <s v="Adult"/>
    <n v="34"/>
    <x v="2"/>
    <n v="2"/>
    <n v="50"/>
    <n v="100"/>
    <n v="1.5"/>
    <n v="2"/>
  </r>
  <r>
    <n v="54"/>
    <n v="10"/>
    <n v="2"/>
    <n v="2023"/>
    <s v="Friday"/>
    <s v="February"/>
    <s v="2023"/>
    <d v="2023-02-10T00:00:00"/>
    <s v="CUST054"/>
    <x v="1"/>
    <s v="Adult"/>
    <n v="38"/>
    <x v="2"/>
    <n v="3"/>
    <n v="500"/>
    <n v="1500"/>
    <n v="22.5"/>
    <n v="30"/>
  </r>
  <r>
    <n v="55"/>
    <n v="10"/>
    <n v="10"/>
    <n v="2023"/>
    <s v="Tuesday"/>
    <s v="October"/>
    <s v="2023"/>
    <d v="2023-10-10T00:00:00"/>
    <s v="CUST055"/>
    <x v="0"/>
    <s v="Adult"/>
    <n v="31"/>
    <x v="0"/>
    <n v="4"/>
    <n v="30"/>
    <n v="120"/>
    <n v="1.7999999999999998"/>
    <n v="2.4"/>
  </r>
  <r>
    <n v="56"/>
    <n v="31"/>
    <n v="5"/>
    <n v="2023"/>
    <s v="Wednesday"/>
    <s v="May"/>
    <s v="2023"/>
    <d v="2023-05-31T00:00:00"/>
    <s v="CUST056"/>
    <x v="1"/>
    <s v="Young Adult"/>
    <n v="26"/>
    <x v="1"/>
    <n v="3"/>
    <n v="300"/>
    <n v="900"/>
    <n v="13.5"/>
    <n v="18"/>
  </r>
  <r>
    <n v="57"/>
    <n v="18"/>
    <n v="11"/>
    <n v="2023"/>
    <s v="Saturday"/>
    <s v="November"/>
    <s v="2023"/>
    <d v="2023-11-18T00:00:00"/>
    <s v="CUST057"/>
    <x v="1"/>
    <s v="Senior"/>
    <n v="63"/>
    <x v="0"/>
    <n v="1"/>
    <n v="30"/>
    <n v="30"/>
    <n v="0.44999999999999996"/>
    <n v="0.6"/>
  </r>
  <r>
    <n v="58"/>
    <n v="13"/>
    <n v="11"/>
    <n v="2023"/>
    <s v="Monday"/>
    <s v="November"/>
    <s v="2023"/>
    <d v="2023-11-13T00:00:00"/>
    <s v="CUST058"/>
    <x v="0"/>
    <s v="Young Adult"/>
    <n v="18"/>
    <x v="1"/>
    <n v="4"/>
    <n v="300"/>
    <n v="1200"/>
    <n v="18"/>
    <n v="24"/>
  </r>
  <r>
    <n v="59"/>
    <n v="5"/>
    <n v="7"/>
    <n v="2023"/>
    <s v="Wednesday"/>
    <s v="July"/>
    <s v="2023"/>
    <d v="2023-07-05T00:00:00"/>
    <s v="CUST059"/>
    <x v="0"/>
    <s v="Senior"/>
    <n v="62"/>
    <x v="1"/>
    <n v="1"/>
    <n v="50"/>
    <n v="50"/>
    <n v="0.75"/>
    <n v="1"/>
  </r>
  <r>
    <n v="60"/>
    <n v="23"/>
    <n v="10"/>
    <n v="2023"/>
    <s v="Monday"/>
    <s v="October"/>
    <s v="2023"/>
    <d v="2023-10-23T00:00:00"/>
    <s v="CUST060"/>
    <x v="0"/>
    <s v="Adult"/>
    <n v="30"/>
    <x v="0"/>
    <n v="3"/>
    <n v="50"/>
    <n v="150"/>
    <n v="2.25"/>
    <n v="3"/>
  </r>
  <r>
    <n v="61"/>
    <n v="9"/>
    <n v="4"/>
    <n v="2023"/>
    <s v="Sunday"/>
    <s v="April"/>
    <s v="2023"/>
    <d v="2023-04-09T00:00:00"/>
    <s v="CUST061"/>
    <x v="0"/>
    <s v="Young Adult"/>
    <n v="21"/>
    <x v="0"/>
    <n v="4"/>
    <n v="50"/>
    <n v="200"/>
    <n v="3"/>
    <n v="4"/>
  </r>
  <r>
    <n v="62"/>
    <n v="27"/>
    <n v="12"/>
    <n v="2023"/>
    <s v="Wednesday"/>
    <s v="December"/>
    <s v="2023"/>
    <d v="2023-12-27T00:00:00"/>
    <s v="CUST062"/>
    <x v="0"/>
    <s v="Young Adult"/>
    <n v="18"/>
    <x v="0"/>
    <n v="2"/>
    <n v="50"/>
    <n v="100"/>
    <n v="1.5"/>
    <n v="2"/>
  </r>
  <r>
    <n v="63"/>
    <n v="5"/>
    <n v="2"/>
    <n v="2023"/>
    <s v="Sunday"/>
    <s v="February"/>
    <s v="2023"/>
    <d v="2023-02-05T00:00:00"/>
    <s v="CUST063"/>
    <x v="0"/>
    <s v="Senior"/>
    <n v="57"/>
    <x v="2"/>
    <n v="2"/>
    <n v="25"/>
    <n v="50"/>
    <n v="0.75"/>
    <n v="1"/>
  </r>
  <r>
    <n v="64"/>
    <n v="24"/>
    <n v="1"/>
    <n v="2023"/>
    <s v="Tuesday"/>
    <s v="January"/>
    <s v="2023"/>
    <d v="2023-01-24T00:00:00"/>
    <s v="CUST064"/>
    <x v="0"/>
    <s v="Adult"/>
    <n v="49"/>
    <x v="1"/>
    <n v="4"/>
    <n v="25"/>
    <n v="100"/>
    <n v="1.5"/>
    <n v="2"/>
  </r>
  <r>
    <n v="65"/>
    <n v="5"/>
    <n v="12"/>
    <n v="2023"/>
    <s v="Tuesday"/>
    <s v="December"/>
    <s v="2023"/>
    <d v="2023-12-05T00:00:00"/>
    <s v="CUST065"/>
    <x v="0"/>
    <s v="Senior"/>
    <n v="51"/>
    <x v="2"/>
    <n v="4"/>
    <n v="500"/>
    <n v="2000"/>
    <n v="30"/>
    <n v="40"/>
  </r>
  <r>
    <n v="66"/>
    <n v="27"/>
    <n v="4"/>
    <n v="2023"/>
    <s v="Thursday"/>
    <s v="April"/>
    <s v="2023"/>
    <d v="2023-04-27T00:00:00"/>
    <s v="CUST066"/>
    <x v="1"/>
    <s v="Adult"/>
    <n v="45"/>
    <x v="2"/>
    <n v="1"/>
    <n v="30"/>
    <n v="30"/>
    <n v="0.44999999999999996"/>
    <n v="0.6"/>
  </r>
  <r>
    <n v="67"/>
    <n v="29"/>
    <n v="5"/>
    <n v="2023"/>
    <s v="Monday"/>
    <s v="May"/>
    <s v="2023"/>
    <d v="2023-05-29T00:00:00"/>
    <s v="CUST067"/>
    <x v="1"/>
    <s v="Adult"/>
    <n v="48"/>
    <x v="0"/>
    <n v="4"/>
    <n v="300"/>
    <n v="1200"/>
    <n v="18"/>
    <n v="24"/>
  </r>
  <r>
    <n v="68"/>
    <n v="10"/>
    <n v="2"/>
    <n v="2023"/>
    <s v="Friday"/>
    <s v="February"/>
    <s v="2023"/>
    <d v="2023-02-10T00:00:00"/>
    <s v="CUST068"/>
    <x v="0"/>
    <s v="Young Adult"/>
    <n v="25"/>
    <x v="2"/>
    <n v="1"/>
    <n v="300"/>
    <n v="300"/>
    <n v="4.5"/>
    <n v="6"/>
  </r>
  <r>
    <n v="69"/>
    <n v="30"/>
    <n v="4"/>
    <n v="2023"/>
    <s v="Sunday"/>
    <s v="April"/>
    <s v="2023"/>
    <d v="2023-04-30T00:00:00"/>
    <s v="CUST069"/>
    <x v="1"/>
    <s v="Senior"/>
    <n v="56"/>
    <x v="0"/>
    <n v="3"/>
    <n v="25"/>
    <n v="75"/>
    <n v="1.125"/>
    <n v="1.5"/>
  </r>
  <r>
    <n v="70"/>
    <n v="21"/>
    <n v="2"/>
    <n v="2023"/>
    <s v="Tuesday"/>
    <s v="February"/>
    <s v="2023"/>
    <d v="2023-02-21T00:00:00"/>
    <s v="CUST070"/>
    <x v="1"/>
    <s v="Adult"/>
    <n v="43"/>
    <x v="1"/>
    <n v="1"/>
    <n v="300"/>
    <n v="300"/>
    <n v="4.5"/>
    <n v="6"/>
  </r>
  <r>
    <n v="71"/>
    <n v="14"/>
    <n v="7"/>
    <n v="2023"/>
    <s v="Friday"/>
    <s v="July"/>
    <s v="2023"/>
    <d v="2023-07-14T00:00:00"/>
    <s v="CUST071"/>
    <x v="1"/>
    <s v="Senior"/>
    <n v="51"/>
    <x v="0"/>
    <n v="4"/>
    <n v="25"/>
    <n v="100"/>
    <n v="1.5"/>
    <n v="2"/>
  </r>
  <r>
    <n v="72"/>
    <n v="23"/>
    <n v="5"/>
    <n v="2023"/>
    <s v="Tuesday"/>
    <s v="May"/>
    <s v="2023"/>
    <d v="2023-05-23T00:00:00"/>
    <s v="CUST072"/>
    <x v="1"/>
    <s v="Young Adult"/>
    <n v="20"/>
    <x v="2"/>
    <n v="4"/>
    <n v="500"/>
    <n v="2000"/>
    <n v="30"/>
    <n v="40"/>
  </r>
  <r>
    <n v="73"/>
    <n v="21"/>
    <n v="8"/>
    <n v="2023"/>
    <s v="Monday"/>
    <s v="August"/>
    <s v="2023"/>
    <d v="2023-08-21T00:00:00"/>
    <s v="CUST073"/>
    <x v="0"/>
    <s v="Young Adult"/>
    <n v="29"/>
    <x v="2"/>
    <n v="3"/>
    <n v="30"/>
    <n v="90"/>
    <n v="1.3499999999999999"/>
    <n v="1.8"/>
  </r>
  <r>
    <n v="74"/>
    <n v="22"/>
    <n v="11"/>
    <n v="2023"/>
    <s v="Wednesday"/>
    <s v="November"/>
    <s v="2023"/>
    <d v="2023-11-22T00:00:00"/>
    <s v="CUST074"/>
    <x v="1"/>
    <s v="Young Adult"/>
    <n v="18"/>
    <x v="0"/>
    <n v="4"/>
    <n v="500"/>
    <n v="2000"/>
    <n v="30"/>
    <n v="40"/>
  </r>
  <r>
    <n v="75"/>
    <n v="6"/>
    <n v="7"/>
    <n v="2023"/>
    <s v="Thursday"/>
    <s v="July"/>
    <s v="2023"/>
    <d v="2023-07-06T00:00:00"/>
    <s v="CUST075"/>
    <x v="0"/>
    <s v="Senior"/>
    <n v="61"/>
    <x v="0"/>
    <n v="4"/>
    <n v="50"/>
    <n v="200"/>
    <n v="3"/>
    <n v="4"/>
  </r>
  <r>
    <n v="76"/>
    <n v="25"/>
    <n v="3"/>
    <n v="2023"/>
    <s v="Saturday"/>
    <s v="March"/>
    <s v="2023"/>
    <d v="2023-03-25T00:00:00"/>
    <s v="CUST076"/>
    <x v="1"/>
    <s v="Young Adult"/>
    <n v="22"/>
    <x v="2"/>
    <n v="2"/>
    <n v="50"/>
    <n v="100"/>
    <n v="1.5"/>
    <n v="2"/>
  </r>
  <r>
    <n v="77"/>
    <n v="9"/>
    <n v="7"/>
    <n v="2023"/>
    <s v="Sunday"/>
    <s v="July"/>
    <s v="2023"/>
    <d v="2023-07-09T00:00:00"/>
    <s v="CUST077"/>
    <x v="1"/>
    <s v="Adult"/>
    <n v="47"/>
    <x v="1"/>
    <n v="2"/>
    <n v="50"/>
    <n v="100"/>
    <n v="1.5"/>
    <n v="2"/>
  </r>
  <r>
    <n v="78"/>
    <n v="1"/>
    <n v="7"/>
    <n v="2023"/>
    <s v="Saturday"/>
    <s v="July"/>
    <s v="2023"/>
    <d v="2023-07-01T00:00:00"/>
    <s v="CUST078"/>
    <x v="1"/>
    <s v="Adult"/>
    <n v="47"/>
    <x v="1"/>
    <n v="3"/>
    <n v="500"/>
    <n v="1500"/>
    <n v="22.5"/>
    <n v="30"/>
  </r>
  <r>
    <n v="79"/>
    <n v="18"/>
    <n v="4"/>
    <n v="2023"/>
    <s v="Tuesday"/>
    <s v="April"/>
    <s v="2023"/>
    <d v="2023-04-18T00:00:00"/>
    <s v="CUST079"/>
    <x v="0"/>
    <s v="Adult"/>
    <n v="34"/>
    <x v="0"/>
    <n v="1"/>
    <n v="300"/>
    <n v="300"/>
    <n v="4.5"/>
    <n v="6"/>
  </r>
  <r>
    <n v="80"/>
    <n v="10"/>
    <n v="12"/>
    <n v="2023"/>
    <s v="Sunday"/>
    <s v="December"/>
    <s v="2023"/>
    <d v="2023-12-10T00:00:00"/>
    <s v="CUST080"/>
    <x v="1"/>
    <s v="Senior"/>
    <n v="64"/>
    <x v="1"/>
    <n v="2"/>
    <n v="30"/>
    <n v="60"/>
    <n v="0.89999999999999991"/>
    <n v="1.2"/>
  </r>
  <r>
    <n v="81"/>
    <n v="17"/>
    <n v="5"/>
    <n v="2023"/>
    <s v="Wednesday"/>
    <s v="May"/>
    <s v="2023"/>
    <d v="2023-05-17T00:00:00"/>
    <s v="CUST081"/>
    <x v="0"/>
    <s v="Adult"/>
    <n v="40"/>
    <x v="2"/>
    <n v="1"/>
    <n v="50"/>
    <n v="50"/>
    <n v="0.75"/>
    <n v="1"/>
  </r>
  <r>
    <n v="82"/>
    <n v="26"/>
    <n v="12"/>
    <n v="2023"/>
    <s v="Tuesday"/>
    <s v="December"/>
    <s v="2023"/>
    <d v="2023-12-26T00:00:00"/>
    <s v="CUST082"/>
    <x v="1"/>
    <s v="Adult"/>
    <n v="32"/>
    <x v="0"/>
    <n v="4"/>
    <n v="50"/>
    <n v="200"/>
    <n v="3"/>
    <n v="4"/>
  </r>
  <r>
    <n v="83"/>
    <n v="16"/>
    <n v="12"/>
    <n v="2023"/>
    <s v="Saturday"/>
    <s v="December"/>
    <s v="2023"/>
    <d v="2023-12-16T00:00:00"/>
    <s v="CUST083"/>
    <x v="0"/>
    <s v="Senior"/>
    <n v="54"/>
    <x v="2"/>
    <n v="2"/>
    <n v="50"/>
    <n v="100"/>
    <n v="1.5"/>
    <n v="2"/>
  </r>
  <r>
    <n v="84"/>
    <n v="28"/>
    <n v="11"/>
    <n v="2023"/>
    <s v="Tuesday"/>
    <s v="November"/>
    <s v="2023"/>
    <d v="2023-11-28T00:00:00"/>
    <s v="CUST084"/>
    <x v="1"/>
    <s v="Adult"/>
    <n v="38"/>
    <x v="2"/>
    <n v="3"/>
    <n v="30"/>
    <n v="90"/>
    <n v="1.3499999999999999"/>
    <n v="1.8"/>
  </r>
  <r>
    <n v="85"/>
    <n v="6"/>
    <n v="2"/>
    <n v="2023"/>
    <s v="Monday"/>
    <s v="February"/>
    <s v="2023"/>
    <d v="2023-02-06T00:00:00"/>
    <s v="CUST085"/>
    <x v="0"/>
    <s v="Adult"/>
    <n v="31"/>
    <x v="1"/>
    <n v="3"/>
    <n v="50"/>
    <n v="150"/>
    <n v="2.25"/>
    <n v="3"/>
  </r>
  <r>
    <n v="86"/>
    <n v="8"/>
    <n v="11"/>
    <n v="2023"/>
    <s v="Wednesday"/>
    <s v="November"/>
    <s v="2023"/>
    <d v="2023-11-08T00:00:00"/>
    <s v="CUST086"/>
    <x v="0"/>
    <s v="Young Adult"/>
    <n v="19"/>
    <x v="0"/>
    <n v="3"/>
    <n v="30"/>
    <n v="90"/>
    <n v="1.3499999999999999"/>
    <n v="1.8"/>
  </r>
  <r>
    <n v="87"/>
    <n v="22"/>
    <n v="11"/>
    <n v="2023"/>
    <s v="Wednesday"/>
    <s v="November"/>
    <s v="2023"/>
    <d v="2023-11-22T00:00:00"/>
    <s v="CUST087"/>
    <x v="1"/>
    <s v="Young Adult"/>
    <n v="28"/>
    <x v="0"/>
    <n v="2"/>
    <n v="50"/>
    <n v="100"/>
    <n v="1.5"/>
    <n v="2"/>
  </r>
  <r>
    <n v="88"/>
    <n v="29"/>
    <n v="3"/>
    <n v="2023"/>
    <s v="Wednesday"/>
    <s v="March"/>
    <s v="2023"/>
    <d v="2023-03-29T00:00:00"/>
    <s v="CUST088"/>
    <x v="0"/>
    <s v="Senior"/>
    <n v="56"/>
    <x v="1"/>
    <n v="1"/>
    <n v="500"/>
    <n v="500"/>
    <n v="7.5"/>
    <n v="10"/>
  </r>
  <r>
    <n v="89"/>
    <n v="1"/>
    <n v="10"/>
    <n v="2023"/>
    <s v="Sunday"/>
    <s v="October"/>
    <s v="2023"/>
    <d v="2023-10-01T00:00:00"/>
    <s v="CUST089"/>
    <x v="1"/>
    <s v="Senior"/>
    <n v="55"/>
    <x v="2"/>
    <n v="4"/>
    <n v="500"/>
    <n v="2000"/>
    <n v="30"/>
    <n v="40"/>
  </r>
  <r>
    <n v="90"/>
    <n v="6"/>
    <n v="5"/>
    <n v="2023"/>
    <s v="Saturday"/>
    <s v="May"/>
    <s v="2023"/>
    <d v="2023-05-06T00:00:00"/>
    <s v="CUST090"/>
    <x v="1"/>
    <s v="Senior"/>
    <n v="51"/>
    <x v="2"/>
    <n v="1"/>
    <n v="30"/>
    <n v="30"/>
    <n v="0.44999999999999996"/>
    <n v="0.6"/>
  </r>
  <r>
    <n v="91"/>
    <n v="25"/>
    <n v="3"/>
    <n v="2023"/>
    <s v="Saturday"/>
    <s v="March"/>
    <s v="2023"/>
    <d v="2023-03-25T00:00:00"/>
    <s v="CUST091"/>
    <x v="1"/>
    <s v="Senior"/>
    <n v="55"/>
    <x v="2"/>
    <n v="1"/>
    <n v="500"/>
    <n v="500"/>
    <n v="7.5"/>
    <n v="10"/>
  </r>
  <r>
    <n v="92"/>
    <n v="25"/>
    <n v="8"/>
    <n v="2023"/>
    <s v="Friday"/>
    <s v="August"/>
    <s v="2023"/>
    <d v="2023-08-25T00:00:00"/>
    <s v="CUST092"/>
    <x v="1"/>
    <s v="Senior"/>
    <n v="51"/>
    <x v="2"/>
    <n v="4"/>
    <n v="30"/>
    <n v="120"/>
    <n v="1.7999999999999998"/>
    <n v="2.4"/>
  </r>
  <r>
    <n v="93"/>
    <n v="14"/>
    <n v="7"/>
    <n v="2023"/>
    <s v="Friday"/>
    <s v="July"/>
    <s v="2023"/>
    <d v="2023-07-14T00:00:00"/>
    <s v="CUST093"/>
    <x v="1"/>
    <s v="Adult"/>
    <n v="35"/>
    <x v="0"/>
    <n v="4"/>
    <n v="500"/>
    <n v="2000"/>
    <n v="30"/>
    <n v="40"/>
  </r>
  <r>
    <n v="94"/>
    <n v="19"/>
    <n v="5"/>
    <n v="2023"/>
    <s v="Friday"/>
    <s v="May"/>
    <s v="2023"/>
    <d v="2023-05-19T00:00:00"/>
    <s v="CUST094"/>
    <x v="1"/>
    <s v="Adult"/>
    <n v="47"/>
    <x v="0"/>
    <n v="2"/>
    <n v="500"/>
    <n v="1000"/>
    <n v="15"/>
    <n v="20"/>
  </r>
  <r>
    <n v="95"/>
    <n v="24"/>
    <n v="11"/>
    <n v="2023"/>
    <s v="Friday"/>
    <s v="November"/>
    <s v="2023"/>
    <d v="2023-11-24T00:00:00"/>
    <s v="CUST095"/>
    <x v="1"/>
    <s v="Adult"/>
    <n v="32"/>
    <x v="1"/>
    <n v="2"/>
    <n v="30"/>
    <n v="60"/>
    <n v="0.89999999999999991"/>
    <n v="1.2"/>
  </r>
  <r>
    <n v="96"/>
    <n v="19"/>
    <n v="12"/>
    <n v="2023"/>
    <s v="Tuesday"/>
    <s v="December"/>
    <s v="2023"/>
    <d v="2023-12-19T00:00:00"/>
    <s v="CUST096"/>
    <x v="1"/>
    <s v="Adult"/>
    <n v="44"/>
    <x v="1"/>
    <n v="2"/>
    <n v="300"/>
    <n v="600"/>
    <n v="9"/>
    <n v="12"/>
  </r>
  <r>
    <n v="97"/>
    <n v="13"/>
    <n v="10"/>
    <n v="2023"/>
    <s v="Friday"/>
    <s v="October"/>
    <s v="2023"/>
    <d v="2023-10-13T00:00:00"/>
    <s v="CUST097"/>
    <x v="1"/>
    <s v="Senior"/>
    <n v="51"/>
    <x v="0"/>
    <n v="2"/>
    <n v="500"/>
    <n v="1000"/>
    <n v="15"/>
    <n v="20"/>
  </r>
  <r>
    <n v="98"/>
    <n v="23"/>
    <n v="4"/>
    <n v="2023"/>
    <s v="Sunday"/>
    <s v="April"/>
    <s v="2023"/>
    <d v="2023-04-23T00:00:00"/>
    <s v="CUST098"/>
    <x v="1"/>
    <s v="Senior"/>
    <n v="55"/>
    <x v="0"/>
    <n v="2"/>
    <n v="50"/>
    <n v="100"/>
    <n v="1.5"/>
    <n v="2"/>
  </r>
  <r>
    <n v="99"/>
    <n v="17"/>
    <n v="12"/>
    <n v="2023"/>
    <s v="Sunday"/>
    <s v="December"/>
    <s v="2023"/>
    <d v="2023-12-17T00:00:00"/>
    <s v="CUST099"/>
    <x v="1"/>
    <s v="Adult"/>
    <n v="50"/>
    <x v="2"/>
    <n v="4"/>
    <n v="300"/>
    <n v="1200"/>
    <n v="18"/>
    <n v="24"/>
  </r>
  <r>
    <n v="100"/>
    <n v="16"/>
    <n v="6"/>
    <n v="2023"/>
    <s v="Friday"/>
    <s v="June"/>
    <s v="2023"/>
    <d v="2023-06-16T00:00:00"/>
    <s v="CUST100"/>
    <x v="0"/>
    <s v="Adult"/>
    <n v="41"/>
    <x v="2"/>
    <n v="1"/>
    <n v="30"/>
    <n v="30"/>
    <n v="0.44999999999999996"/>
    <n v="0.6"/>
  </r>
  <r>
    <n v="101"/>
    <n v="29"/>
    <n v="1"/>
    <n v="2023"/>
    <s v="Sunday"/>
    <s v="January"/>
    <s v="2023"/>
    <d v="2023-01-29T00:00:00"/>
    <s v="CUST101"/>
    <x v="0"/>
    <s v="Adult"/>
    <n v="32"/>
    <x v="1"/>
    <n v="2"/>
    <n v="300"/>
    <n v="600"/>
    <n v="9"/>
    <n v="12"/>
  </r>
  <r>
    <n v="102"/>
    <n v="28"/>
    <n v="4"/>
    <n v="2023"/>
    <s v="Friday"/>
    <s v="April"/>
    <s v="2023"/>
    <d v="2023-04-28T00:00:00"/>
    <s v="CUST102"/>
    <x v="1"/>
    <s v="Adult"/>
    <n v="47"/>
    <x v="0"/>
    <n v="2"/>
    <n v="25"/>
    <n v="50"/>
    <n v="0.75"/>
    <n v="1"/>
  </r>
  <r>
    <n v="103"/>
    <n v="17"/>
    <n v="1"/>
    <n v="2023"/>
    <s v="Tuesday"/>
    <s v="January"/>
    <s v="2023"/>
    <d v="2023-01-17T00:00:00"/>
    <s v="CUST103"/>
    <x v="1"/>
    <s v="Senior"/>
    <n v="59"/>
    <x v="1"/>
    <n v="1"/>
    <n v="25"/>
    <n v="25"/>
    <n v="0.375"/>
    <n v="0.5"/>
  </r>
  <r>
    <n v="104"/>
    <n v="11"/>
    <n v="6"/>
    <n v="2023"/>
    <s v="Sunday"/>
    <s v="June"/>
    <s v="2023"/>
    <d v="2023-06-11T00:00:00"/>
    <s v="CUST104"/>
    <x v="1"/>
    <s v="Adult"/>
    <n v="34"/>
    <x v="0"/>
    <n v="2"/>
    <n v="500"/>
    <n v="1000"/>
    <n v="15"/>
    <n v="20"/>
  </r>
  <r>
    <n v="105"/>
    <n v="25"/>
    <n v="7"/>
    <n v="2023"/>
    <s v="Tuesday"/>
    <s v="July"/>
    <s v="2023"/>
    <d v="2023-07-25T00:00:00"/>
    <s v="CUST105"/>
    <x v="1"/>
    <s v="Young Adult"/>
    <n v="22"/>
    <x v="2"/>
    <n v="1"/>
    <n v="500"/>
    <n v="500"/>
    <n v="7.5"/>
    <n v="10"/>
  </r>
  <r>
    <n v="106"/>
    <n v="18"/>
    <n v="5"/>
    <n v="2023"/>
    <s v="Thursday"/>
    <s v="May"/>
    <s v="2023"/>
    <d v="2023-05-18T00:00:00"/>
    <s v="CUST106"/>
    <x v="1"/>
    <s v="Adult"/>
    <n v="46"/>
    <x v="1"/>
    <n v="1"/>
    <n v="50"/>
    <n v="50"/>
    <n v="0.75"/>
    <n v="1"/>
  </r>
  <r>
    <n v="107"/>
    <n v="3"/>
    <n v="2"/>
    <n v="2023"/>
    <s v="Friday"/>
    <s v="February"/>
    <s v="2023"/>
    <d v="2023-02-03T00:00:00"/>
    <s v="CUST107"/>
    <x v="1"/>
    <s v="Young Adult"/>
    <n v="21"/>
    <x v="1"/>
    <n v="4"/>
    <n v="300"/>
    <n v="1200"/>
    <n v="18"/>
    <n v="24"/>
  </r>
  <r>
    <n v="108"/>
    <n v="19"/>
    <n v="4"/>
    <n v="2023"/>
    <s v="Wednesday"/>
    <s v="April"/>
    <s v="2023"/>
    <d v="2023-04-19T00:00:00"/>
    <s v="CUST108"/>
    <x v="1"/>
    <s v="Young Adult"/>
    <n v="27"/>
    <x v="0"/>
    <n v="3"/>
    <n v="25"/>
    <n v="75"/>
    <n v="1.125"/>
    <n v="1.5"/>
  </r>
  <r>
    <n v="109"/>
    <n v="18"/>
    <n v="10"/>
    <n v="2023"/>
    <s v="Wednesday"/>
    <s v="October"/>
    <s v="2023"/>
    <d v="2023-10-18T00:00:00"/>
    <s v="CUST109"/>
    <x v="1"/>
    <s v="Adult"/>
    <n v="34"/>
    <x v="2"/>
    <n v="4"/>
    <n v="500"/>
    <n v="2000"/>
    <n v="30"/>
    <n v="40"/>
  </r>
  <r>
    <n v="110"/>
    <n v="11"/>
    <n v="6"/>
    <n v="2023"/>
    <s v="Sunday"/>
    <s v="June"/>
    <s v="2023"/>
    <d v="2023-06-11T00:00:00"/>
    <s v="CUST110"/>
    <x v="0"/>
    <s v="Young Adult"/>
    <n v="27"/>
    <x v="1"/>
    <n v="3"/>
    <n v="300"/>
    <n v="900"/>
    <n v="13.5"/>
    <n v="18"/>
  </r>
  <r>
    <n v="111"/>
    <n v="19"/>
    <n v="4"/>
    <n v="2023"/>
    <s v="Wednesday"/>
    <s v="April"/>
    <s v="2023"/>
    <d v="2023-04-19T00:00:00"/>
    <s v="CUST111"/>
    <x v="1"/>
    <s v="Adult"/>
    <n v="34"/>
    <x v="2"/>
    <n v="3"/>
    <n v="500"/>
    <n v="1500"/>
    <n v="22.5"/>
    <n v="30"/>
  </r>
  <r>
    <n v="112"/>
    <n v="2"/>
    <n v="12"/>
    <n v="2023"/>
    <s v="Saturday"/>
    <s v="December"/>
    <s v="2023"/>
    <d v="2023-12-02T00:00:00"/>
    <s v="CUST112"/>
    <x v="0"/>
    <s v="Adult"/>
    <n v="37"/>
    <x v="1"/>
    <n v="3"/>
    <n v="500"/>
    <n v="1500"/>
    <n v="22.5"/>
    <n v="30"/>
  </r>
  <r>
    <n v="113"/>
    <n v="13"/>
    <n v="9"/>
    <n v="2023"/>
    <s v="Wednesday"/>
    <s v="September"/>
    <s v="2023"/>
    <d v="2023-09-13T00:00:00"/>
    <s v="CUST113"/>
    <x v="1"/>
    <s v="Adult"/>
    <n v="41"/>
    <x v="2"/>
    <n v="2"/>
    <n v="25"/>
    <n v="50"/>
    <n v="0.75"/>
    <n v="1"/>
  </r>
  <r>
    <n v="114"/>
    <n v="22"/>
    <n v="7"/>
    <n v="2023"/>
    <s v="Saturday"/>
    <s v="July"/>
    <s v="2023"/>
    <d v="2023-07-22T00:00:00"/>
    <s v="CUST114"/>
    <x v="1"/>
    <s v="Young Adult"/>
    <n v="22"/>
    <x v="0"/>
    <n v="4"/>
    <n v="25"/>
    <n v="100"/>
    <n v="1.5"/>
    <n v="2"/>
  </r>
  <r>
    <n v="115"/>
    <n v="26"/>
    <n v="11"/>
    <n v="2023"/>
    <s v="Sunday"/>
    <s v="November"/>
    <s v="2023"/>
    <d v="2023-11-26T00:00:00"/>
    <s v="CUST115"/>
    <x v="0"/>
    <s v="Senior"/>
    <n v="51"/>
    <x v="1"/>
    <n v="3"/>
    <n v="500"/>
    <n v="1500"/>
    <n v="22.5"/>
    <n v="30"/>
  </r>
  <r>
    <n v="116"/>
    <n v="23"/>
    <n v="8"/>
    <n v="2023"/>
    <s v="Wednesday"/>
    <s v="August"/>
    <s v="2023"/>
    <d v="2023-08-23T00:00:00"/>
    <s v="CUST116"/>
    <x v="1"/>
    <s v="Young Adult"/>
    <n v="23"/>
    <x v="1"/>
    <n v="1"/>
    <n v="30"/>
    <n v="30"/>
    <n v="0.44999999999999996"/>
    <n v="0.6"/>
  </r>
  <r>
    <n v="117"/>
    <n v="15"/>
    <n v="3"/>
    <n v="2023"/>
    <s v="Wednesday"/>
    <s v="March"/>
    <s v="2023"/>
    <d v="2023-03-15T00:00:00"/>
    <s v="CUST117"/>
    <x v="0"/>
    <s v="Young Adult"/>
    <n v="19"/>
    <x v="2"/>
    <n v="2"/>
    <n v="500"/>
    <n v="1000"/>
    <n v="15"/>
    <n v="20"/>
  </r>
  <r>
    <n v="118"/>
    <n v="16"/>
    <n v="5"/>
    <n v="2023"/>
    <s v="Tuesday"/>
    <s v="May"/>
    <s v="2023"/>
    <d v="2023-05-16T00:00:00"/>
    <s v="CUST118"/>
    <x v="1"/>
    <s v="Adult"/>
    <n v="30"/>
    <x v="2"/>
    <n v="4"/>
    <n v="500"/>
    <n v="2000"/>
    <n v="30"/>
    <n v="40"/>
  </r>
  <r>
    <n v="119"/>
    <n v="13"/>
    <n v="3"/>
    <n v="2023"/>
    <s v="Monday"/>
    <s v="March"/>
    <s v="2023"/>
    <d v="2023-03-13T00:00:00"/>
    <s v="CUST119"/>
    <x v="1"/>
    <s v="Senior"/>
    <n v="60"/>
    <x v="1"/>
    <n v="3"/>
    <n v="50"/>
    <n v="150"/>
    <n v="2.25"/>
    <n v="3"/>
  </r>
  <r>
    <n v="120"/>
    <n v="7"/>
    <n v="5"/>
    <n v="2023"/>
    <s v="Sunday"/>
    <s v="May"/>
    <s v="2023"/>
    <d v="2023-05-07T00:00:00"/>
    <s v="CUST120"/>
    <x v="0"/>
    <s v="Senior"/>
    <n v="60"/>
    <x v="0"/>
    <n v="1"/>
    <n v="50"/>
    <n v="50"/>
    <n v="0.75"/>
    <n v="1"/>
  </r>
  <r>
    <n v="121"/>
    <n v="15"/>
    <n v="10"/>
    <n v="2023"/>
    <s v="Sunday"/>
    <s v="October"/>
    <s v="2023"/>
    <d v="2023-10-15T00:00:00"/>
    <s v="CUST121"/>
    <x v="1"/>
    <s v="Young Adult"/>
    <n v="28"/>
    <x v="2"/>
    <n v="4"/>
    <n v="50"/>
    <n v="200"/>
    <n v="3"/>
    <n v="4"/>
  </r>
  <r>
    <n v="122"/>
    <n v="3"/>
    <n v="10"/>
    <n v="2023"/>
    <s v="Tuesday"/>
    <s v="October"/>
    <s v="2023"/>
    <d v="2023-10-03T00:00:00"/>
    <s v="CUST122"/>
    <x v="0"/>
    <s v="Senior"/>
    <n v="64"/>
    <x v="2"/>
    <n v="4"/>
    <n v="30"/>
    <n v="120"/>
    <n v="1.7999999999999998"/>
    <n v="2.4"/>
  </r>
  <r>
    <n v="123"/>
    <n v="15"/>
    <n v="5"/>
    <n v="2023"/>
    <s v="Monday"/>
    <s v="May"/>
    <s v="2023"/>
    <d v="2023-05-15T00:00:00"/>
    <s v="CUST123"/>
    <x v="1"/>
    <s v="Adult"/>
    <n v="40"/>
    <x v="2"/>
    <n v="2"/>
    <n v="30"/>
    <n v="60"/>
    <n v="0.89999999999999991"/>
    <n v="1.2"/>
  </r>
  <r>
    <n v="124"/>
    <n v="27"/>
    <n v="10"/>
    <n v="2023"/>
    <s v="Friday"/>
    <s v="October"/>
    <s v="2023"/>
    <d v="2023-10-27T00:00:00"/>
    <s v="CUST124"/>
    <x v="0"/>
    <s v="Adult"/>
    <n v="33"/>
    <x v="1"/>
    <n v="4"/>
    <n v="500"/>
    <n v="2000"/>
    <n v="30"/>
    <n v="40"/>
  </r>
  <r>
    <n v="125"/>
    <n v="8"/>
    <n v="8"/>
    <n v="2023"/>
    <s v="Tuesday"/>
    <s v="August"/>
    <s v="2023"/>
    <d v="2023-08-08T00:00:00"/>
    <s v="CUST125"/>
    <x v="0"/>
    <s v="Adult"/>
    <n v="48"/>
    <x v="1"/>
    <n v="2"/>
    <n v="50"/>
    <n v="100"/>
    <n v="1.5"/>
    <n v="2"/>
  </r>
  <r>
    <n v="126"/>
    <n v="26"/>
    <n v="10"/>
    <n v="2023"/>
    <s v="Thursday"/>
    <s v="October"/>
    <s v="2023"/>
    <d v="2023-10-26T00:00:00"/>
    <s v="CUST126"/>
    <x v="1"/>
    <s v="Young Adult"/>
    <n v="28"/>
    <x v="1"/>
    <n v="3"/>
    <n v="30"/>
    <n v="90"/>
    <n v="1.3499999999999999"/>
    <n v="1.8"/>
  </r>
  <r>
    <n v="127"/>
    <n v="24"/>
    <n v="7"/>
    <n v="2023"/>
    <s v="Monday"/>
    <s v="July"/>
    <s v="2023"/>
    <d v="2023-07-24T00:00:00"/>
    <s v="CUST127"/>
    <x v="1"/>
    <s v="Adult"/>
    <n v="33"/>
    <x v="1"/>
    <n v="2"/>
    <n v="25"/>
    <n v="50"/>
    <n v="0.75"/>
    <n v="1"/>
  </r>
  <r>
    <n v="128"/>
    <n v="5"/>
    <n v="7"/>
    <n v="2023"/>
    <s v="Wednesday"/>
    <s v="July"/>
    <s v="2023"/>
    <d v="2023-07-05T00:00:00"/>
    <s v="CUST128"/>
    <x v="0"/>
    <s v="Young Adult"/>
    <n v="25"/>
    <x v="0"/>
    <n v="1"/>
    <n v="500"/>
    <n v="500"/>
    <n v="7.5"/>
    <n v="10"/>
  </r>
  <r>
    <n v="129"/>
    <n v="23"/>
    <n v="4"/>
    <n v="2023"/>
    <s v="Sunday"/>
    <s v="April"/>
    <s v="2023"/>
    <d v="2023-04-23T00:00:00"/>
    <s v="CUST129"/>
    <x v="1"/>
    <s v="Young Adult"/>
    <n v="21"/>
    <x v="0"/>
    <n v="2"/>
    <n v="300"/>
    <n v="600"/>
    <n v="9"/>
    <n v="12"/>
  </r>
  <r>
    <n v="130"/>
    <n v="12"/>
    <n v="3"/>
    <n v="2023"/>
    <s v="Sunday"/>
    <s v="March"/>
    <s v="2023"/>
    <d v="2023-03-12T00:00:00"/>
    <s v="CUST130"/>
    <x v="1"/>
    <s v="Senior"/>
    <n v="57"/>
    <x v="1"/>
    <n v="1"/>
    <n v="500"/>
    <n v="500"/>
    <n v="7.5"/>
    <n v="10"/>
  </r>
  <r>
    <n v="131"/>
    <n v="18"/>
    <n v="9"/>
    <n v="2023"/>
    <s v="Monday"/>
    <s v="September"/>
    <s v="2023"/>
    <d v="2023-09-18T00:00:00"/>
    <s v="CUST131"/>
    <x v="1"/>
    <s v="Young Adult"/>
    <n v="21"/>
    <x v="0"/>
    <n v="2"/>
    <n v="300"/>
    <n v="600"/>
    <n v="9"/>
    <n v="12"/>
  </r>
  <r>
    <n v="132"/>
    <n v="10"/>
    <n v="9"/>
    <n v="2023"/>
    <s v="Sunday"/>
    <s v="September"/>
    <s v="2023"/>
    <d v="2023-09-10T00:00:00"/>
    <s v="CUST132"/>
    <x v="0"/>
    <s v="Adult"/>
    <n v="42"/>
    <x v="2"/>
    <n v="4"/>
    <n v="50"/>
    <n v="200"/>
    <n v="3"/>
    <n v="4"/>
  </r>
  <r>
    <n v="133"/>
    <n v="16"/>
    <n v="2"/>
    <n v="2023"/>
    <s v="Thursday"/>
    <s v="February"/>
    <s v="2023"/>
    <d v="2023-02-16T00:00:00"/>
    <s v="CUST133"/>
    <x v="0"/>
    <s v="Young Adult"/>
    <n v="20"/>
    <x v="2"/>
    <n v="3"/>
    <n v="300"/>
    <n v="900"/>
    <n v="13.5"/>
    <n v="18"/>
  </r>
  <r>
    <n v="134"/>
    <n v="25"/>
    <n v="1"/>
    <n v="2023"/>
    <s v="Wednesday"/>
    <s v="January"/>
    <s v="2023"/>
    <d v="2023-01-25T00:00:00"/>
    <s v="CUST134"/>
    <x v="0"/>
    <s v="Adult"/>
    <n v="49"/>
    <x v="2"/>
    <n v="1"/>
    <n v="50"/>
    <n v="50"/>
    <n v="0.75"/>
    <n v="1"/>
  </r>
  <r>
    <n v="135"/>
    <n v="26"/>
    <n v="2"/>
    <n v="2023"/>
    <s v="Sunday"/>
    <s v="February"/>
    <s v="2023"/>
    <d v="2023-02-26T00:00:00"/>
    <s v="CUST135"/>
    <x v="0"/>
    <s v="Young Adult"/>
    <n v="20"/>
    <x v="1"/>
    <n v="2"/>
    <n v="25"/>
    <n v="50"/>
    <n v="0.75"/>
    <n v="1"/>
  </r>
  <r>
    <n v="136"/>
    <n v="20"/>
    <n v="3"/>
    <n v="2023"/>
    <s v="Monday"/>
    <s v="March"/>
    <s v="2023"/>
    <d v="2023-03-20T00:00:00"/>
    <s v="CUST136"/>
    <x v="0"/>
    <s v="Adult"/>
    <n v="44"/>
    <x v="2"/>
    <n v="2"/>
    <n v="300"/>
    <n v="600"/>
    <n v="9"/>
    <n v="12"/>
  </r>
  <r>
    <n v="137"/>
    <n v="18"/>
    <n v="11"/>
    <n v="2023"/>
    <s v="Saturday"/>
    <s v="November"/>
    <s v="2023"/>
    <d v="2023-11-18T00:00:00"/>
    <s v="CUST137"/>
    <x v="0"/>
    <s v="Adult"/>
    <n v="46"/>
    <x v="0"/>
    <n v="2"/>
    <n v="500"/>
    <n v="1000"/>
    <n v="15"/>
    <n v="20"/>
  </r>
  <r>
    <n v="138"/>
    <n v="23"/>
    <n v="3"/>
    <n v="2023"/>
    <s v="Thursday"/>
    <s v="March"/>
    <s v="2023"/>
    <d v="2023-03-23T00:00:00"/>
    <s v="CUST138"/>
    <x v="0"/>
    <s v="Adult"/>
    <n v="49"/>
    <x v="1"/>
    <n v="4"/>
    <n v="50"/>
    <n v="200"/>
    <n v="3"/>
    <n v="4"/>
  </r>
  <r>
    <n v="139"/>
    <n v="15"/>
    <n v="12"/>
    <n v="2023"/>
    <s v="Friday"/>
    <s v="December"/>
    <s v="2023"/>
    <d v="2023-12-15T00:00:00"/>
    <s v="CUST139"/>
    <x v="0"/>
    <s v="Adult"/>
    <n v="36"/>
    <x v="0"/>
    <n v="4"/>
    <n v="500"/>
    <n v="2000"/>
    <n v="30"/>
    <n v="40"/>
  </r>
  <r>
    <n v="140"/>
    <n v="5"/>
    <n v="8"/>
    <n v="2023"/>
    <s v="Saturday"/>
    <s v="August"/>
    <s v="2023"/>
    <d v="2023-08-05T00:00:00"/>
    <s v="CUST140"/>
    <x v="0"/>
    <s v="Adult"/>
    <n v="38"/>
    <x v="2"/>
    <n v="1"/>
    <n v="30"/>
    <n v="30"/>
    <n v="0.44999999999999996"/>
    <n v="0.6"/>
  </r>
  <r>
    <n v="141"/>
    <n v="2"/>
    <n v="11"/>
    <n v="2023"/>
    <s v="Thursday"/>
    <s v="November"/>
    <s v="2023"/>
    <d v="2023-11-02T00:00:00"/>
    <s v="CUST141"/>
    <x v="1"/>
    <s v="Young Adult"/>
    <n v="22"/>
    <x v="2"/>
    <n v="1"/>
    <n v="50"/>
    <n v="50"/>
    <n v="0.75"/>
    <n v="1"/>
  </r>
  <r>
    <n v="142"/>
    <n v="2"/>
    <n v="2"/>
    <n v="2023"/>
    <s v="Thursday"/>
    <s v="February"/>
    <s v="2023"/>
    <d v="2023-02-02T00:00:00"/>
    <s v="CUST142"/>
    <x v="0"/>
    <s v="Adult"/>
    <n v="35"/>
    <x v="2"/>
    <n v="4"/>
    <n v="300"/>
    <n v="1200"/>
    <n v="18"/>
    <n v="24"/>
  </r>
  <r>
    <n v="143"/>
    <n v="17"/>
    <n v="7"/>
    <n v="2023"/>
    <s v="Monday"/>
    <s v="July"/>
    <s v="2023"/>
    <d v="2023-07-17T00:00:00"/>
    <s v="CUST143"/>
    <x v="1"/>
    <s v="Adult"/>
    <n v="45"/>
    <x v="1"/>
    <n v="1"/>
    <n v="50"/>
    <n v="50"/>
    <n v="0.75"/>
    <n v="1"/>
  </r>
  <r>
    <n v="144"/>
    <n v="15"/>
    <n v="7"/>
    <n v="2023"/>
    <s v="Saturday"/>
    <s v="July"/>
    <s v="2023"/>
    <d v="2023-07-15T00:00:00"/>
    <s v="CUST144"/>
    <x v="1"/>
    <s v="Senior"/>
    <n v="59"/>
    <x v="0"/>
    <n v="3"/>
    <n v="500"/>
    <n v="1500"/>
    <n v="22.5"/>
    <n v="30"/>
  </r>
  <r>
    <n v="145"/>
    <n v="2"/>
    <n v="11"/>
    <n v="2023"/>
    <s v="Thursday"/>
    <s v="November"/>
    <s v="2023"/>
    <d v="2023-11-02T00:00:00"/>
    <s v="CUST145"/>
    <x v="1"/>
    <s v="Adult"/>
    <n v="39"/>
    <x v="1"/>
    <n v="3"/>
    <n v="25"/>
    <n v="75"/>
    <n v="1.125"/>
    <n v="1.5"/>
  </r>
  <r>
    <n v="146"/>
    <n v="28"/>
    <n v="8"/>
    <n v="2023"/>
    <s v="Monday"/>
    <s v="August"/>
    <s v="2023"/>
    <d v="2023-08-28T00:00:00"/>
    <s v="CUST146"/>
    <x v="0"/>
    <s v="Adult"/>
    <n v="38"/>
    <x v="1"/>
    <n v="4"/>
    <n v="50"/>
    <n v="200"/>
    <n v="3"/>
    <n v="4"/>
  </r>
  <r>
    <n v="147"/>
    <n v="28"/>
    <n v="9"/>
    <n v="2023"/>
    <s v="Thursday"/>
    <s v="September"/>
    <s v="2023"/>
    <d v="2023-09-28T00:00:00"/>
    <s v="CUST147"/>
    <x v="0"/>
    <s v="Young Adult"/>
    <n v="23"/>
    <x v="2"/>
    <n v="1"/>
    <n v="300"/>
    <n v="300"/>
    <n v="4.5"/>
    <n v="6"/>
  </r>
  <r>
    <n v="148"/>
    <n v="9"/>
    <n v="5"/>
    <n v="2023"/>
    <s v="Tuesday"/>
    <s v="May"/>
    <s v="2023"/>
    <d v="2023-05-09T00:00:00"/>
    <s v="CUST148"/>
    <x v="0"/>
    <s v="Young Adult"/>
    <n v="18"/>
    <x v="1"/>
    <n v="2"/>
    <n v="30"/>
    <n v="60"/>
    <n v="0.89999999999999991"/>
    <n v="1.2"/>
  </r>
  <r>
    <n v="149"/>
    <n v="11"/>
    <n v="10"/>
    <n v="2023"/>
    <s v="Wednesday"/>
    <s v="October"/>
    <s v="2023"/>
    <d v="2023-10-11T00:00:00"/>
    <s v="CUST149"/>
    <x v="0"/>
    <s v="Young Adult"/>
    <n v="22"/>
    <x v="1"/>
    <n v="3"/>
    <n v="25"/>
    <n v="75"/>
    <n v="1.125"/>
    <n v="1.5"/>
  </r>
  <r>
    <n v="150"/>
    <n v="6"/>
    <n v="1"/>
    <n v="2023"/>
    <s v="Friday"/>
    <s v="January"/>
    <s v="2023"/>
    <d v="2023-01-06T00:00:00"/>
    <s v="CUST150"/>
    <x v="1"/>
    <s v="Senior"/>
    <n v="58"/>
    <x v="2"/>
    <n v="4"/>
    <n v="30"/>
    <n v="120"/>
    <n v="1.7999999999999998"/>
    <n v="2.4"/>
  </r>
  <r>
    <n v="151"/>
    <n v="15"/>
    <n v="12"/>
    <n v="2023"/>
    <s v="Friday"/>
    <s v="December"/>
    <s v="2023"/>
    <d v="2023-12-15T00:00:00"/>
    <s v="CUST151"/>
    <x v="0"/>
    <s v="Young Adult"/>
    <n v="29"/>
    <x v="1"/>
    <n v="1"/>
    <n v="50"/>
    <n v="50"/>
    <n v="0.75"/>
    <n v="1"/>
  </r>
  <r>
    <n v="152"/>
    <n v="28"/>
    <n v="2"/>
    <n v="2023"/>
    <s v="Tuesday"/>
    <s v="February"/>
    <s v="2023"/>
    <d v="2023-02-28T00:00:00"/>
    <s v="CUST152"/>
    <x v="0"/>
    <s v="Adult"/>
    <n v="43"/>
    <x v="2"/>
    <n v="4"/>
    <n v="500"/>
    <n v="2000"/>
    <n v="30"/>
    <n v="40"/>
  </r>
  <r>
    <n v="153"/>
    <n v="16"/>
    <n v="12"/>
    <n v="2023"/>
    <s v="Saturday"/>
    <s v="December"/>
    <s v="2023"/>
    <d v="2023-12-16T00:00:00"/>
    <s v="CUST153"/>
    <x v="0"/>
    <s v="Senior"/>
    <n v="63"/>
    <x v="2"/>
    <n v="2"/>
    <n v="500"/>
    <n v="1000"/>
    <n v="15"/>
    <n v="20"/>
  </r>
  <r>
    <n v="154"/>
    <n v="2"/>
    <n v="10"/>
    <n v="2023"/>
    <s v="Monday"/>
    <s v="October"/>
    <s v="2023"/>
    <d v="2023-10-02T00:00:00"/>
    <s v="CUST154"/>
    <x v="0"/>
    <s v="Senior"/>
    <n v="51"/>
    <x v="2"/>
    <n v="3"/>
    <n v="300"/>
    <n v="900"/>
    <n v="13.5"/>
    <n v="18"/>
  </r>
  <r>
    <n v="155"/>
    <n v="17"/>
    <n v="5"/>
    <n v="2023"/>
    <s v="Wednesday"/>
    <s v="May"/>
    <s v="2023"/>
    <d v="2023-05-17T00:00:00"/>
    <s v="CUST155"/>
    <x v="0"/>
    <s v="Adult"/>
    <n v="31"/>
    <x v="2"/>
    <n v="4"/>
    <n v="500"/>
    <n v="2000"/>
    <n v="30"/>
    <n v="40"/>
  </r>
  <r>
    <n v="156"/>
    <n v="25"/>
    <n v="11"/>
    <n v="2023"/>
    <s v="Saturday"/>
    <s v="November"/>
    <s v="2023"/>
    <d v="2023-11-25T00:00:00"/>
    <s v="CUST156"/>
    <x v="1"/>
    <s v="Adult"/>
    <n v="43"/>
    <x v="1"/>
    <n v="4"/>
    <n v="25"/>
    <n v="100"/>
    <n v="1.5"/>
    <n v="2"/>
  </r>
  <r>
    <n v="157"/>
    <n v="24"/>
    <n v="6"/>
    <n v="2023"/>
    <s v="Saturday"/>
    <s v="June"/>
    <s v="2023"/>
    <d v="2023-06-24T00:00:00"/>
    <s v="CUST157"/>
    <x v="0"/>
    <s v="Senior"/>
    <n v="62"/>
    <x v="2"/>
    <n v="4"/>
    <n v="500"/>
    <n v="2000"/>
    <n v="30"/>
    <n v="40"/>
  </r>
  <r>
    <n v="158"/>
    <n v="27"/>
    <n v="2"/>
    <n v="2023"/>
    <s v="Monday"/>
    <s v="February"/>
    <s v="2023"/>
    <d v="2023-02-27T00:00:00"/>
    <s v="CUST158"/>
    <x v="1"/>
    <s v="Adult"/>
    <n v="44"/>
    <x v="2"/>
    <n v="2"/>
    <n v="300"/>
    <n v="600"/>
    <n v="9"/>
    <n v="12"/>
  </r>
  <r>
    <n v="159"/>
    <n v="31"/>
    <n v="5"/>
    <n v="2023"/>
    <s v="Wednesday"/>
    <s v="May"/>
    <s v="2023"/>
    <d v="2023-05-31T00:00:00"/>
    <s v="CUST159"/>
    <x v="0"/>
    <s v="Young Adult"/>
    <n v="26"/>
    <x v="1"/>
    <n v="4"/>
    <n v="50"/>
    <n v="200"/>
    <n v="3"/>
    <n v="4"/>
  </r>
  <r>
    <n v="160"/>
    <n v="11"/>
    <n v="8"/>
    <n v="2023"/>
    <s v="Friday"/>
    <s v="August"/>
    <s v="2023"/>
    <d v="2023-08-11T00:00:00"/>
    <s v="CUST160"/>
    <x v="1"/>
    <s v="Adult"/>
    <n v="43"/>
    <x v="1"/>
    <n v="2"/>
    <n v="50"/>
    <n v="100"/>
    <n v="1.5"/>
    <n v="2"/>
  </r>
  <r>
    <n v="161"/>
    <n v="22"/>
    <n v="3"/>
    <n v="2023"/>
    <s v="Wednesday"/>
    <s v="March"/>
    <s v="2023"/>
    <d v="2023-03-22T00:00:00"/>
    <s v="CUST161"/>
    <x v="0"/>
    <s v="Senior"/>
    <n v="64"/>
    <x v="0"/>
    <n v="2"/>
    <n v="500"/>
    <n v="1000"/>
    <n v="15"/>
    <n v="20"/>
  </r>
  <r>
    <n v="162"/>
    <n v="21"/>
    <n v="8"/>
    <n v="2023"/>
    <s v="Monday"/>
    <s v="August"/>
    <s v="2023"/>
    <d v="2023-08-21T00:00:00"/>
    <s v="CUST162"/>
    <x v="0"/>
    <s v="Adult"/>
    <n v="39"/>
    <x v="1"/>
    <n v="2"/>
    <n v="30"/>
    <n v="60"/>
    <n v="0.89999999999999991"/>
    <n v="1.2"/>
  </r>
  <r>
    <n v="163"/>
    <n v="2"/>
    <n v="1"/>
    <n v="2023"/>
    <s v="Monday"/>
    <s v="January"/>
    <s v="2023"/>
    <d v="2023-01-02T00:00:00"/>
    <s v="CUST163"/>
    <x v="1"/>
    <s v="Senior"/>
    <n v="64"/>
    <x v="1"/>
    <n v="3"/>
    <n v="50"/>
    <n v="150"/>
    <n v="2.25"/>
    <n v="3"/>
  </r>
  <r>
    <n v="164"/>
    <n v="15"/>
    <n v="5"/>
    <n v="2023"/>
    <s v="Monday"/>
    <s v="May"/>
    <s v="2023"/>
    <d v="2023-05-15T00:00:00"/>
    <s v="CUST164"/>
    <x v="1"/>
    <s v="Adult"/>
    <n v="47"/>
    <x v="0"/>
    <n v="3"/>
    <n v="500"/>
    <n v="1500"/>
    <n v="22.5"/>
    <n v="30"/>
  </r>
  <r>
    <n v="165"/>
    <n v="14"/>
    <n v="9"/>
    <n v="2023"/>
    <s v="Thursday"/>
    <s v="September"/>
    <s v="2023"/>
    <d v="2023-09-14T00:00:00"/>
    <s v="CUST165"/>
    <x v="1"/>
    <s v="Senior"/>
    <n v="60"/>
    <x v="1"/>
    <n v="4"/>
    <n v="300"/>
    <n v="1200"/>
    <n v="18"/>
    <n v="24"/>
  </r>
  <r>
    <n v="166"/>
    <n v="2"/>
    <n v="4"/>
    <n v="2023"/>
    <s v="Sunday"/>
    <s v="April"/>
    <s v="2023"/>
    <d v="2023-04-02T00:00:00"/>
    <s v="CUST166"/>
    <x v="0"/>
    <s v="Adult"/>
    <n v="34"/>
    <x v="1"/>
    <n v="4"/>
    <n v="500"/>
    <n v="2000"/>
    <n v="30"/>
    <n v="40"/>
  </r>
  <r>
    <n v="167"/>
    <n v="17"/>
    <n v="9"/>
    <n v="2023"/>
    <s v="Sunday"/>
    <s v="September"/>
    <s v="2023"/>
    <d v="2023-09-17T00:00:00"/>
    <s v="CUST167"/>
    <x v="1"/>
    <s v="Adult"/>
    <n v="43"/>
    <x v="1"/>
    <n v="3"/>
    <n v="50"/>
    <n v="150"/>
    <n v="2.25"/>
    <n v="3"/>
  </r>
  <r>
    <n v="168"/>
    <n v="24"/>
    <n v="2"/>
    <n v="2023"/>
    <s v="Friday"/>
    <s v="February"/>
    <s v="2023"/>
    <d v="2023-02-24T00:00:00"/>
    <s v="CUST168"/>
    <x v="0"/>
    <s v="Senior"/>
    <n v="53"/>
    <x v="1"/>
    <n v="1"/>
    <n v="300"/>
    <n v="300"/>
    <n v="4.5"/>
    <n v="6"/>
  </r>
  <r>
    <n v="169"/>
    <n v="17"/>
    <n v="11"/>
    <n v="2023"/>
    <s v="Friday"/>
    <s v="November"/>
    <s v="2023"/>
    <d v="2023-11-17T00:00:00"/>
    <s v="CUST169"/>
    <x v="0"/>
    <s v="Young Adult"/>
    <n v="18"/>
    <x v="0"/>
    <n v="3"/>
    <n v="500"/>
    <n v="1500"/>
    <n v="22.5"/>
    <n v="30"/>
  </r>
  <r>
    <n v="170"/>
    <n v="2"/>
    <n v="6"/>
    <n v="2023"/>
    <s v="Friday"/>
    <s v="June"/>
    <s v="2023"/>
    <d v="2023-06-02T00:00:00"/>
    <s v="CUST170"/>
    <x v="1"/>
    <s v="Young Adult"/>
    <n v="25"/>
    <x v="1"/>
    <n v="2"/>
    <n v="25"/>
    <n v="50"/>
    <n v="0.75"/>
    <n v="1"/>
  </r>
  <r>
    <n v="171"/>
    <n v="24"/>
    <n v="11"/>
    <n v="2023"/>
    <s v="Friday"/>
    <s v="November"/>
    <s v="2023"/>
    <d v="2023-11-24T00:00:00"/>
    <s v="CUST171"/>
    <x v="1"/>
    <s v="Senior"/>
    <n v="52"/>
    <x v="1"/>
    <n v="3"/>
    <n v="300"/>
    <n v="900"/>
    <n v="13.5"/>
    <n v="18"/>
  </r>
  <r>
    <n v="172"/>
    <n v="17"/>
    <n v="9"/>
    <n v="2023"/>
    <s v="Sunday"/>
    <s v="September"/>
    <s v="2023"/>
    <d v="2023-09-17T00:00:00"/>
    <s v="CUST172"/>
    <x v="0"/>
    <s v="Adult"/>
    <n v="32"/>
    <x v="0"/>
    <n v="2"/>
    <n v="25"/>
    <n v="50"/>
    <n v="0.75"/>
    <n v="1"/>
  </r>
  <r>
    <n v="173"/>
    <n v="8"/>
    <n v="11"/>
    <n v="2023"/>
    <s v="Wednesday"/>
    <s v="November"/>
    <s v="2023"/>
    <d v="2023-11-08T00:00:00"/>
    <s v="CUST173"/>
    <x v="0"/>
    <s v="Senior"/>
    <n v="64"/>
    <x v="2"/>
    <n v="4"/>
    <n v="30"/>
    <n v="120"/>
    <n v="1.7999999999999998"/>
    <n v="2.4"/>
  </r>
  <r>
    <n v="174"/>
    <n v="12"/>
    <n v="4"/>
    <n v="2023"/>
    <s v="Wednesday"/>
    <s v="April"/>
    <s v="2023"/>
    <d v="2023-04-12T00:00:00"/>
    <s v="CUST174"/>
    <x v="1"/>
    <s v="Adult"/>
    <n v="39"/>
    <x v="0"/>
    <n v="1"/>
    <n v="300"/>
    <n v="300"/>
    <n v="4.5"/>
    <n v="6"/>
  </r>
  <r>
    <n v="175"/>
    <n v="20"/>
    <n v="3"/>
    <n v="2023"/>
    <s v="Monday"/>
    <s v="March"/>
    <s v="2023"/>
    <d v="2023-03-20T00:00:00"/>
    <s v="CUST175"/>
    <x v="1"/>
    <s v="Adult"/>
    <n v="31"/>
    <x v="2"/>
    <n v="4"/>
    <n v="25"/>
    <n v="100"/>
    <n v="1.5"/>
    <n v="2"/>
  </r>
  <r>
    <n v="176"/>
    <n v="11"/>
    <n v="7"/>
    <n v="2023"/>
    <s v="Tuesday"/>
    <s v="July"/>
    <s v="2023"/>
    <d v="2023-07-11T00:00:00"/>
    <s v="CUST176"/>
    <x v="1"/>
    <s v="Adult"/>
    <n v="43"/>
    <x v="0"/>
    <n v="2"/>
    <n v="50"/>
    <n v="100"/>
    <n v="1.5"/>
    <n v="2"/>
  </r>
  <r>
    <n v="177"/>
    <n v="24"/>
    <n v="3"/>
    <n v="2023"/>
    <s v="Friday"/>
    <s v="March"/>
    <s v="2023"/>
    <d v="2023-03-24T00:00:00"/>
    <s v="CUST177"/>
    <x v="0"/>
    <s v="Adult"/>
    <n v="45"/>
    <x v="0"/>
    <n v="2"/>
    <n v="50"/>
    <n v="100"/>
    <n v="1.5"/>
    <n v="2"/>
  </r>
  <r>
    <n v="178"/>
    <n v="4"/>
    <n v="10"/>
    <n v="2023"/>
    <s v="Wednesday"/>
    <s v="October"/>
    <s v="2023"/>
    <d v="2023-10-04T00:00:00"/>
    <s v="CUST178"/>
    <x v="0"/>
    <s v="Adult"/>
    <n v="40"/>
    <x v="1"/>
    <n v="2"/>
    <n v="30"/>
    <n v="60"/>
    <n v="0.89999999999999991"/>
    <n v="1.2"/>
  </r>
  <r>
    <n v="179"/>
    <n v="29"/>
    <n v="9"/>
    <n v="2023"/>
    <s v="Friday"/>
    <s v="September"/>
    <s v="2023"/>
    <d v="2023-09-29T00:00:00"/>
    <s v="CUST179"/>
    <x v="0"/>
    <s v="Adult"/>
    <n v="31"/>
    <x v="2"/>
    <n v="1"/>
    <n v="300"/>
    <n v="300"/>
    <n v="4.5"/>
    <n v="6"/>
  </r>
  <r>
    <n v="180"/>
    <n v="1"/>
    <n v="1"/>
    <n v="2023"/>
    <s v="Sunday"/>
    <s v="January"/>
    <s v="2023"/>
    <d v="2023-01-01T00:00:00"/>
    <s v="CUST180"/>
    <x v="0"/>
    <s v="Adult"/>
    <n v="41"/>
    <x v="1"/>
    <n v="3"/>
    <n v="300"/>
    <n v="900"/>
    <n v="13.5"/>
    <n v="18"/>
  </r>
  <r>
    <n v="181"/>
    <n v="3"/>
    <n v="11"/>
    <n v="2023"/>
    <s v="Friday"/>
    <s v="November"/>
    <s v="2023"/>
    <d v="2023-11-03T00:00:00"/>
    <s v="CUST181"/>
    <x v="0"/>
    <s v="Young Adult"/>
    <n v="19"/>
    <x v="2"/>
    <n v="4"/>
    <n v="300"/>
    <n v="1200"/>
    <n v="18"/>
    <n v="24"/>
  </r>
  <r>
    <n v="182"/>
    <n v="15"/>
    <n v="6"/>
    <n v="2023"/>
    <s v="Thursday"/>
    <s v="June"/>
    <s v="2023"/>
    <d v="2023-06-15T00:00:00"/>
    <s v="CUST182"/>
    <x v="0"/>
    <s v="Senior"/>
    <n v="62"/>
    <x v="0"/>
    <n v="4"/>
    <n v="30"/>
    <n v="120"/>
    <n v="1.7999999999999998"/>
    <n v="2.4"/>
  </r>
  <r>
    <n v="183"/>
    <n v="8"/>
    <n v="9"/>
    <n v="2023"/>
    <s v="Friday"/>
    <s v="September"/>
    <s v="2023"/>
    <d v="2023-09-08T00:00:00"/>
    <s v="CUST183"/>
    <x v="1"/>
    <s v="Adult"/>
    <n v="43"/>
    <x v="0"/>
    <n v="3"/>
    <n v="300"/>
    <n v="900"/>
    <n v="13.5"/>
    <n v="18"/>
  </r>
  <r>
    <n v="184"/>
    <n v="10"/>
    <n v="1"/>
    <n v="2023"/>
    <s v="Tuesday"/>
    <s v="January"/>
    <s v="2023"/>
    <d v="2023-01-10T00:00:00"/>
    <s v="CUST184"/>
    <x v="0"/>
    <s v="Adult"/>
    <n v="31"/>
    <x v="2"/>
    <n v="4"/>
    <n v="50"/>
    <n v="200"/>
    <n v="3"/>
    <n v="4"/>
  </r>
  <r>
    <n v="185"/>
    <n v="27"/>
    <n v="2"/>
    <n v="2023"/>
    <s v="Monday"/>
    <s v="February"/>
    <s v="2023"/>
    <d v="2023-02-27T00:00:00"/>
    <s v="CUST185"/>
    <x v="0"/>
    <s v="Young Adult"/>
    <n v="24"/>
    <x v="1"/>
    <n v="1"/>
    <n v="25"/>
    <n v="25"/>
    <n v="0.375"/>
    <n v="0.5"/>
  </r>
  <r>
    <n v="186"/>
    <n v="5"/>
    <n v="7"/>
    <n v="2023"/>
    <s v="Wednesday"/>
    <s v="July"/>
    <s v="2023"/>
    <d v="2023-07-05T00:00:00"/>
    <s v="CUST186"/>
    <x v="0"/>
    <s v="Young Adult"/>
    <n v="20"/>
    <x v="1"/>
    <n v="4"/>
    <n v="50"/>
    <n v="200"/>
    <n v="3"/>
    <n v="4"/>
  </r>
  <r>
    <n v="187"/>
    <n v="7"/>
    <n v="6"/>
    <n v="2023"/>
    <s v="Wednesday"/>
    <s v="June"/>
    <s v="2023"/>
    <d v="2023-06-07T00:00:00"/>
    <s v="CUST187"/>
    <x v="1"/>
    <s v="Senior"/>
    <n v="64"/>
    <x v="1"/>
    <n v="2"/>
    <n v="50"/>
    <n v="100"/>
    <n v="1.5"/>
    <n v="2"/>
  </r>
  <r>
    <n v="188"/>
    <n v="3"/>
    <n v="5"/>
    <n v="2023"/>
    <s v="Wednesday"/>
    <s v="May"/>
    <s v="2023"/>
    <d v="2023-05-03T00:00:00"/>
    <s v="CUST188"/>
    <x v="0"/>
    <s v="Adult"/>
    <n v="40"/>
    <x v="1"/>
    <n v="3"/>
    <n v="25"/>
    <n v="75"/>
    <n v="1.125"/>
    <n v="1.5"/>
  </r>
  <r>
    <n v="189"/>
    <n v="30"/>
    <n v="1"/>
    <n v="2023"/>
    <s v="Monday"/>
    <s v="January"/>
    <s v="2023"/>
    <d v="2023-01-30T00:00:00"/>
    <s v="CUST189"/>
    <x v="0"/>
    <s v="Senior"/>
    <n v="63"/>
    <x v="0"/>
    <n v="1"/>
    <n v="50"/>
    <n v="50"/>
    <n v="0.75"/>
    <n v="1"/>
  </r>
  <r>
    <n v="190"/>
    <n v="4"/>
    <n v="5"/>
    <n v="2023"/>
    <s v="Thursday"/>
    <s v="May"/>
    <s v="2023"/>
    <d v="2023-05-04T00:00:00"/>
    <s v="CUST190"/>
    <x v="1"/>
    <s v="Senior"/>
    <n v="60"/>
    <x v="0"/>
    <n v="3"/>
    <n v="30"/>
    <n v="90"/>
    <n v="1.3499999999999999"/>
    <n v="1.8"/>
  </r>
  <r>
    <n v="191"/>
    <n v="18"/>
    <n v="10"/>
    <n v="2023"/>
    <s v="Wednesday"/>
    <s v="October"/>
    <s v="2023"/>
    <d v="2023-10-18T00:00:00"/>
    <s v="CUST191"/>
    <x v="0"/>
    <s v="Senior"/>
    <n v="64"/>
    <x v="0"/>
    <n v="1"/>
    <n v="25"/>
    <n v="25"/>
    <n v="0.375"/>
    <n v="0.5"/>
  </r>
  <r>
    <n v="192"/>
    <n v="10"/>
    <n v="2"/>
    <n v="2023"/>
    <s v="Friday"/>
    <s v="February"/>
    <s v="2023"/>
    <d v="2023-02-10T00:00:00"/>
    <s v="CUST192"/>
    <x v="0"/>
    <s v="Senior"/>
    <n v="62"/>
    <x v="0"/>
    <n v="2"/>
    <n v="50"/>
    <n v="100"/>
    <n v="1.5"/>
    <n v="2"/>
  </r>
  <r>
    <n v="193"/>
    <n v="13"/>
    <n v="2"/>
    <n v="2023"/>
    <s v="Monday"/>
    <s v="February"/>
    <s v="2023"/>
    <d v="2023-02-13T00:00:00"/>
    <s v="CUST193"/>
    <x v="0"/>
    <s v="Adult"/>
    <n v="35"/>
    <x v="0"/>
    <n v="3"/>
    <n v="500"/>
    <n v="1500"/>
    <n v="22.5"/>
    <n v="30"/>
  </r>
  <r>
    <n v="194"/>
    <n v="6"/>
    <n v="9"/>
    <n v="2023"/>
    <s v="Wednesday"/>
    <s v="September"/>
    <s v="2023"/>
    <d v="2023-09-06T00:00:00"/>
    <s v="CUST194"/>
    <x v="0"/>
    <s v="Senior"/>
    <n v="55"/>
    <x v="1"/>
    <n v="4"/>
    <n v="50"/>
    <n v="200"/>
    <n v="3"/>
    <n v="4"/>
  </r>
  <r>
    <n v="195"/>
    <n v="5"/>
    <n v="2"/>
    <n v="2023"/>
    <s v="Sunday"/>
    <s v="February"/>
    <s v="2023"/>
    <d v="2023-02-05T00:00:00"/>
    <s v="CUST195"/>
    <x v="0"/>
    <s v="Senior"/>
    <n v="52"/>
    <x v="1"/>
    <n v="1"/>
    <n v="30"/>
    <n v="30"/>
    <n v="0.44999999999999996"/>
    <n v="0.6"/>
  </r>
  <r>
    <n v="196"/>
    <n v="30"/>
    <n v="9"/>
    <n v="2023"/>
    <s v="Saturday"/>
    <s v="September"/>
    <s v="2023"/>
    <d v="2023-09-30T00:00:00"/>
    <s v="CUST196"/>
    <x v="1"/>
    <s v="Adult"/>
    <n v="32"/>
    <x v="1"/>
    <n v="3"/>
    <n v="300"/>
    <n v="900"/>
    <n v="13.5"/>
    <n v="18"/>
  </r>
  <r>
    <n v="197"/>
    <n v="6"/>
    <n v="3"/>
    <n v="2023"/>
    <s v="Monday"/>
    <s v="March"/>
    <s v="2023"/>
    <d v="2023-03-06T00:00:00"/>
    <s v="CUST197"/>
    <x v="1"/>
    <s v="Adult"/>
    <n v="42"/>
    <x v="1"/>
    <n v="4"/>
    <n v="50"/>
    <n v="200"/>
    <n v="3"/>
    <n v="4"/>
  </r>
  <r>
    <n v="198"/>
    <n v="7"/>
    <n v="3"/>
    <n v="2023"/>
    <s v="Tuesday"/>
    <s v="March"/>
    <s v="2023"/>
    <d v="2023-03-07T00:00:00"/>
    <s v="CUST198"/>
    <x v="1"/>
    <s v="Senior"/>
    <n v="54"/>
    <x v="0"/>
    <n v="3"/>
    <n v="300"/>
    <n v="900"/>
    <n v="13.5"/>
    <n v="18"/>
  </r>
  <r>
    <n v="199"/>
    <n v="4"/>
    <n v="12"/>
    <n v="2023"/>
    <s v="Monday"/>
    <s v="December"/>
    <s v="2023"/>
    <d v="2023-12-04T00:00:00"/>
    <s v="CUST199"/>
    <x v="0"/>
    <s v="Adult"/>
    <n v="45"/>
    <x v="0"/>
    <n v="3"/>
    <n v="500"/>
    <n v="1500"/>
    <n v="22.5"/>
    <n v="30"/>
  </r>
  <r>
    <n v="200"/>
    <n v="1"/>
    <n v="9"/>
    <n v="2023"/>
    <s v="Friday"/>
    <s v="September"/>
    <s v="2023"/>
    <d v="2023-09-01T00:00:00"/>
    <s v="CUST200"/>
    <x v="0"/>
    <s v="Young Adult"/>
    <n v="27"/>
    <x v="0"/>
    <n v="3"/>
    <n v="50"/>
    <n v="150"/>
    <n v="2.25"/>
    <n v="3"/>
  </r>
  <r>
    <n v="201"/>
    <n v="9"/>
    <n v="10"/>
    <n v="2023"/>
    <s v="Monday"/>
    <s v="October"/>
    <s v="2023"/>
    <d v="2023-10-09T00:00:00"/>
    <s v="CUST201"/>
    <x v="0"/>
    <s v="Senior"/>
    <n v="56"/>
    <x v="2"/>
    <n v="1"/>
    <n v="25"/>
    <n v="25"/>
    <n v="0.375"/>
    <n v="0.5"/>
  </r>
  <r>
    <n v="202"/>
    <n v="26"/>
    <n v="3"/>
    <n v="2023"/>
    <s v="Sunday"/>
    <s v="March"/>
    <s v="2023"/>
    <d v="2023-03-26T00:00:00"/>
    <s v="CUST202"/>
    <x v="1"/>
    <s v="Adult"/>
    <n v="34"/>
    <x v="1"/>
    <n v="4"/>
    <n v="300"/>
    <n v="1200"/>
    <n v="18"/>
    <n v="24"/>
  </r>
  <r>
    <n v="203"/>
    <n v="16"/>
    <n v="5"/>
    <n v="2023"/>
    <s v="Tuesday"/>
    <s v="May"/>
    <s v="2023"/>
    <d v="2023-05-16T00:00:00"/>
    <s v="CUST203"/>
    <x v="0"/>
    <s v="Senior"/>
    <n v="56"/>
    <x v="1"/>
    <n v="2"/>
    <n v="500"/>
    <n v="1000"/>
    <n v="15"/>
    <n v="20"/>
  </r>
  <r>
    <n v="204"/>
    <n v="28"/>
    <n v="9"/>
    <n v="2023"/>
    <s v="Thursday"/>
    <s v="September"/>
    <s v="2023"/>
    <d v="2023-09-28T00:00:00"/>
    <s v="CUST204"/>
    <x v="0"/>
    <s v="Adult"/>
    <n v="39"/>
    <x v="0"/>
    <n v="1"/>
    <n v="25"/>
    <n v="25"/>
    <n v="0.375"/>
    <n v="0.5"/>
  </r>
  <r>
    <n v="205"/>
    <n v="7"/>
    <n v="11"/>
    <n v="2023"/>
    <s v="Tuesday"/>
    <s v="November"/>
    <s v="2023"/>
    <d v="2023-11-07T00:00:00"/>
    <s v="CUST205"/>
    <x v="1"/>
    <s v="Adult"/>
    <n v="43"/>
    <x v="1"/>
    <n v="1"/>
    <n v="25"/>
    <n v="25"/>
    <n v="0.375"/>
    <n v="0.5"/>
  </r>
  <r>
    <n v="206"/>
    <n v="5"/>
    <n v="8"/>
    <n v="2023"/>
    <s v="Saturday"/>
    <s v="August"/>
    <s v="2023"/>
    <d v="2023-08-05T00:00:00"/>
    <s v="CUST206"/>
    <x v="0"/>
    <s v="Senior"/>
    <n v="61"/>
    <x v="1"/>
    <n v="1"/>
    <n v="25"/>
    <n v="25"/>
    <n v="0.375"/>
    <n v="0.5"/>
  </r>
  <r>
    <n v="207"/>
    <n v="19"/>
    <n v="4"/>
    <n v="2023"/>
    <s v="Wednesday"/>
    <s v="April"/>
    <s v="2023"/>
    <d v="2023-04-19T00:00:00"/>
    <s v="CUST207"/>
    <x v="1"/>
    <s v="Adult"/>
    <n v="42"/>
    <x v="0"/>
    <n v="2"/>
    <n v="25"/>
    <n v="50"/>
    <n v="0.75"/>
    <n v="1"/>
  </r>
  <r>
    <n v="208"/>
    <n v="4"/>
    <n v="10"/>
    <n v="2023"/>
    <s v="Wednesday"/>
    <s v="October"/>
    <s v="2023"/>
    <d v="2023-10-04T00:00:00"/>
    <s v="CUST208"/>
    <x v="1"/>
    <s v="Adult"/>
    <n v="34"/>
    <x v="2"/>
    <n v="4"/>
    <n v="50"/>
    <n v="200"/>
    <n v="3"/>
    <n v="4"/>
  </r>
  <r>
    <n v="209"/>
    <n v="20"/>
    <n v="12"/>
    <n v="2023"/>
    <s v="Wednesday"/>
    <s v="December"/>
    <s v="2023"/>
    <d v="2023-12-20T00:00:00"/>
    <s v="CUST209"/>
    <x v="1"/>
    <s v="Adult"/>
    <n v="30"/>
    <x v="2"/>
    <n v="4"/>
    <n v="50"/>
    <n v="200"/>
    <n v="3"/>
    <n v="4"/>
  </r>
  <r>
    <n v="210"/>
    <n v="13"/>
    <n v="4"/>
    <n v="2023"/>
    <s v="Thursday"/>
    <s v="April"/>
    <s v="2023"/>
    <d v="2023-04-13T00:00:00"/>
    <s v="CUST210"/>
    <x v="0"/>
    <s v="Adult"/>
    <n v="37"/>
    <x v="2"/>
    <n v="4"/>
    <n v="50"/>
    <n v="200"/>
    <n v="3"/>
    <n v="4"/>
  </r>
  <r>
    <n v="211"/>
    <n v="1"/>
    <n v="1"/>
    <n v="2024"/>
    <s v="Monday"/>
    <s v="January"/>
    <s v="2024"/>
    <d v="2024-01-01T00:00:00"/>
    <s v="CUST211"/>
    <x v="0"/>
    <s v="Adult"/>
    <n v="42"/>
    <x v="0"/>
    <n v="3"/>
    <n v="500"/>
    <n v="1500"/>
    <n v="22.5"/>
    <n v="30"/>
  </r>
  <r>
    <n v="212"/>
    <n v="9"/>
    <n v="6"/>
    <n v="2023"/>
    <s v="Friday"/>
    <s v="June"/>
    <s v="2023"/>
    <d v="2023-06-09T00:00:00"/>
    <s v="CUST212"/>
    <x v="0"/>
    <s v="Young Adult"/>
    <n v="21"/>
    <x v="1"/>
    <n v="3"/>
    <n v="500"/>
    <n v="1500"/>
    <n v="22.5"/>
    <n v="30"/>
  </r>
  <r>
    <n v="213"/>
    <n v="24"/>
    <n v="7"/>
    <n v="2023"/>
    <s v="Monday"/>
    <s v="July"/>
    <s v="2023"/>
    <d v="2023-07-24T00:00:00"/>
    <s v="CUST213"/>
    <x v="0"/>
    <s v="Young Adult"/>
    <n v="27"/>
    <x v="0"/>
    <n v="3"/>
    <n v="500"/>
    <n v="1500"/>
    <n v="22.5"/>
    <n v="30"/>
  </r>
  <r>
    <n v="214"/>
    <n v="10"/>
    <n v="12"/>
    <n v="2023"/>
    <s v="Sunday"/>
    <s v="December"/>
    <s v="2023"/>
    <d v="2023-12-10T00:00:00"/>
    <s v="CUST214"/>
    <x v="0"/>
    <s v="Young Adult"/>
    <n v="20"/>
    <x v="0"/>
    <n v="2"/>
    <n v="30"/>
    <n v="60"/>
    <n v="0.89999999999999991"/>
    <n v="1.2"/>
  </r>
  <r>
    <n v="215"/>
    <n v="29"/>
    <n v="11"/>
    <n v="2023"/>
    <s v="Wednesday"/>
    <s v="November"/>
    <s v="2023"/>
    <d v="2023-11-29T00:00:00"/>
    <s v="CUST215"/>
    <x v="0"/>
    <s v="Senior"/>
    <n v="58"/>
    <x v="1"/>
    <n v="3"/>
    <n v="500"/>
    <n v="1500"/>
    <n v="22.5"/>
    <n v="30"/>
  </r>
  <r>
    <n v="216"/>
    <n v="11"/>
    <n v="7"/>
    <n v="2023"/>
    <s v="Tuesday"/>
    <s v="July"/>
    <s v="2023"/>
    <d v="2023-07-11T00:00:00"/>
    <s v="CUST216"/>
    <x v="0"/>
    <s v="Senior"/>
    <n v="62"/>
    <x v="2"/>
    <n v="2"/>
    <n v="50"/>
    <n v="100"/>
    <n v="1.5"/>
    <n v="2"/>
  </r>
  <r>
    <n v="217"/>
    <n v="13"/>
    <n v="8"/>
    <n v="2023"/>
    <s v="Sunday"/>
    <s v="August"/>
    <s v="2023"/>
    <d v="2023-08-13T00:00:00"/>
    <s v="CUST217"/>
    <x v="1"/>
    <s v="Adult"/>
    <n v="35"/>
    <x v="2"/>
    <n v="4"/>
    <n v="50"/>
    <n v="200"/>
    <n v="3"/>
    <n v="4"/>
  </r>
  <r>
    <n v="218"/>
    <n v="22"/>
    <n v="9"/>
    <n v="2023"/>
    <s v="Friday"/>
    <s v="September"/>
    <s v="2023"/>
    <d v="2023-09-22T00:00:00"/>
    <s v="CUST218"/>
    <x v="0"/>
    <s v="Senior"/>
    <n v="64"/>
    <x v="0"/>
    <n v="3"/>
    <n v="30"/>
    <n v="90"/>
    <n v="1.3499999999999999"/>
    <n v="1.8"/>
  </r>
  <r>
    <n v="219"/>
    <n v="20"/>
    <n v="8"/>
    <n v="2023"/>
    <s v="Sunday"/>
    <s v="August"/>
    <s v="2023"/>
    <d v="2023-08-20T00:00:00"/>
    <s v="CUST219"/>
    <x v="1"/>
    <s v="Senior"/>
    <n v="53"/>
    <x v="2"/>
    <n v="3"/>
    <n v="30"/>
    <n v="90"/>
    <n v="1.3499999999999999"/>
    <n v="1.8"/>
  </r>
  <r>
    <n v="220"/>
    <n v="3"/>
    <n v="3"/>
    <n v="2023"/>
    <s v="Friday"/>
    <s v="March"/>
    <s v="2023"/>
    <d v="2023-03-03T00:00:00"/>
    <s v="CUST220"/>
    <x v="0"/>
    <s v="Senior"/>
    <n v="64"/>
    <x v="0"/>
    <n v="1"/>
    <n v="500"/>
    <n v="500"/>
    <n v="7.5"/>
    <n v="10"/>
  </r>
  <r>
    <n v="221"/>
    <n v="7"/>
    <n v="5"/>
    <n v="2023"/>
    <s v="Sunday"/>
    <s v="May"/>
    <s v="2023"/>
    <d v="2023-05-07T00:00:00"/>
    <s v="CUST221"/>
    <x v="0"/>
    <s v="Adult"/>
    <n v="39"/>
    <x v="0"/>
    <n v="2"/>
    <n v="300"/>
    <n v="600"/>
    <n v="9"/>
    <n v="12"/>
  </r>
  <r>
    <n v="222"/>
    <n v="26"/>
    <n v="4"/>
    <n v="2023"/>
    <s v="Wednesday"/>
    <s v="April"/>
    <s v="2023"/>
    <d v="2023-04-26T00:00:00"/>
    <s v="CUST222"/>
    <x v="0"/>
    <s v="Senior"/>
    <n v="51"/>
    <x v="1"/>
    <n v="4"/>
    <n v="30"/>
    <n v="120"/>
    <n v="1.7999999999999998"/>
    <n v="2.4"/>
  </r>
  <r>
    <n v="223"/>
    <n v="2"/>
    <n v="2"/>
    <n v="2023"/>
    <s v="Thursday"/>
    <s v="February"/>
    <s v="2023"/>
    <d v="2023-02-02T00:00:00"/>
    <s v="CUST223"/>
    <x v="1"/>
    <s v="Senior"/>
    <n v="64"/>
    <x v="1"/>
    <n v="1"/>
    <n v="25"/>
    <n v="25"/>
    <n v="0.375"/>
    <n v="0.5"/>
  </r>
  <r>
    <n v="224"/>
    <n v="23"/>
    <n v="6"/>
    <n v="2023"/>
    <s v="Friday"/>
    <s v="June"/>
    <s v="2023"/>
    <d v="2023-06-23T00:00:00"/>
    <s v="CUST224"/>
    <x v="1"/>
    <s v="Young Adult"/>
    <n v="25"/>
    <x v="1"/>
    <n v="1"/>
    <n v="50"/>
    <n v="50"/>
    <n v="0.75"/>
    <n v="1"/>
  </r>
  <r>
    <n v="225"/>
    <n v="11"/>
    <n v="1"/>
    <n v="2023"/>
    <s v="Wednesday"/>
    <s v="January"/>
    <s v="2023"/>
    <d v="2023-01-11T00:00:00"/>
    <s v="CUST225"/>
    <x v="1"/>
    <s v="Senior"/>
    <n v="57"/>
    <x v="0"/>
    <n v="4"/>
    <n v="25"/>
    <n v="100"/>
    <n v="1.5"/>
    <n v="2"/>
  </r>
  <r>
    <n v="226"/>
    <n v="29"/>
    <n v="10"/>
    <n v="2023"/>
    <s v="Sunday"/>
    <s v="October"/>
    <s v="2023"/>
    <d v="2023-10-29T00:00:00"/>
    <s v="CUST226"/>
    <x v="1"/>
    <s v="Senior"/>
    <n v="61"/>
    <x v="1"/>
    <n v="1"/>
    <n v="50"/>
    <n v="50"/>
    <n v="0.75"/>
    <n v="1"/>
  </r>
  <r>
    <n v="227"/>
    <n v="11"/>
    <n v="10"/>
    <n v="2023"/>
    <s v="Wednesday"/>
    <s v="October"/>
    <s v="2023"/>
    <d v="2023-10-11T00:00:00"/>
    <s v="CUST227"/>
    <x v="0"/>
    <s v="Adult"/>
    <n v="36"/>
    <x v="2"/>
    <n v="2"/>
    <n v="50"/>
    <n v="100"/>
    <n v="1.5"/>
    <n v="2"/>
  </r>
  <r>
    <n v="228"/>
    <n v="28"/>
    <n v="4"/>
    <n v="2023"/>
    <s v="Friday"/>
    <s v="April"/>
    <s v="2023"/>
    <d v="2023-04-28T00:00:00"/>
    <s v="CUST228"/>
    <x v="1"/>
    <s v="Senior"/>
    <n v="59"/>
    <x v="2"/>
    <n v="2"/>
    <n v="30"/>
    <n v="60"/>
    <n v="0.89999999999999991"/>
    <n v="1.2"/>
  </r>
  <r>
    <n v="229"/>
    <n v="29"/>
    <n v="10"/>
    <n v="2023"/>
    <s v="Sunday"/>
    <s v="October"/>
    <s v="2023"/>
    <d v="2023-10-29T00:00:00"/>
    <s v="CUST229"/>
    <x v="0"/>
    <s v="Senior"/>
    <n v="58"/>
    <x v="0"/>
    <n v="3"/>
    <n v="30"/>
    <n v="90"/>
    <n v="1.3499999999999999"/>
    <n v="1.8"/>
  </r>
  <r>
    <n v="230"/>
    <n v="23"/>
    <n v="4"/>
    <n v="2023"/>
    <s v="Sunday"/>
    <s v="April"/>
    <s v="2023"/>
    <d v="2023-04-23T00:00:00"/>
    <s v="CUST230"/>
    <x v="0"/>
    <s v="Senior"/>
    <n v="54"/>
    <x v="0"/>
    <n v="1"/>
    <n v="25"/>
    <n v="25"/>
    <n v="0.375"/>
    <n v="0.5"/>
  </r>
  <r>
    <n v="231"/>
    <n v="4"/>
    <n v="1"/>
    <n v="2023"/>
    <s v="Wednesday"/>
    <s v="January"/>
    <s v="2023"/>
    <d v="2023-01-04T00:00:00"/>
    <s v="CUST231"/>
    <x v="1"/>
    <s v="Young Adult"/>
    <n v="23"/>
    <x v="1"/>
    <n v="3"/>
    <n v="50"/>
    <n v="150"/>
    <n v="2.25"/>
    <n v="3"/>
  </r>
  <r>
    <n v="232"/>
    <n v="6"/>
    <n v="2"/>
    <n v="2023"/>
    <s v="Monday"/>
    <s v="February"/>
    <s v="2023"/>
    <d v="2023-02-06T00:00:00"/>
    <s v="CUST232"/>
    <x v="1"/>
    <s v="Adult"/>
    <n v="43"/>
    <x v="0"/>
    <n v="1"/>
    <n v="25"/>
    <n v="25"/>
    <n v="0.375"/>
    <n v="0.5"/>
  </r>
  <r>
    <n v="233"/>
    <n v="29"/>
    <n v="12"/>
    <n v="2023"/>
    <s v="Friday"/>
    <s v="December"/>
    <s v="2023"/>
    <d v="2023-12-29T00:00:00"/>
    <s v="CUST233"/>
    <x v="1"/>
    <s v="Senior"/>
    <n v="51"/>
    <x v="0"/>
    <n v="2"/>
    <n v="300"/>
    <n v="600"/>
    <n v="9"/>
    <n v="12"/>
  </r>
  <r>
    <n v="234"/>
    <n v="20"/>
    <n v="11"/>
    <n v="2023"/>
    <s v="Monday"/>
    <s v="November"/>
    <s v="2023"/>
    <d v="2023-11-20T00:00:00"/>
    <s v="CUST234"/>
    <x v="1"/>
    <s v="Senior"/>
    <n v="62"/>
    <x v="2"/>
    <n v="2"/>
    <n v="25"/>
    <n v="50"/>
    <n v="0.75"/>
    <n v="1"/>
  </r>
  <r>
    <n v="235"/>
    <n v="31"/>
    <n v="1"/>
    <n v="2023"/>
    <s v="Tuesday"/>
    <s v="January"/>
    <s v="2023"/>
    <d v="2023-01-31T00:00:00"/>
    <s v="CUST235"/>
    <x v="1"/>
    <s v="Young Adult"/>
    <n v="23"/>
    <x v="2"/>
    <n v="2"/>
    <n v="500"/>
    <n v="1000"/>
    <n v="15"/>
    <n v="20"/>
  </r>
  <r>
    <n v="236"/>
    <n v="28"/>
    <n v="4"/>
    <n v="2023"/>
    <s v="Friday"/>
    <s v="April"/>
    <s v="2023"/>
    <d v="2023-04-28T00:00:00"/>
    <s v="CUST236"/>
    <x v="1"/>
    <s v="Senior"/>
    <n v="54"/>
    <x v="1"/>
    <n v="1"/>
    <n v="25"/>
    <n v="25"/>
    <n v="0.375"/>
    <n v="0.5"/>
  </r>
  <r>
    <n v="237"/>
    <n v="4"/>
    <n v="2"/>
    <n v="2023"/>
    <s v="Saturday"/>
    <s v="February"/>
    <s v="2023"/>
    <d v="2023-02-04T00:00:00"/>
    <s v="CUST237"/>
    <x v="1"/>
    <s v="Adult"/>
    <n v="50"/>
    <x v="0"/>
    <n v="2"/>
    <n v="500"/>
    <n v="1000"/>
    <n v="15"/>
    <n v="20"/>
  </r>
  <r>
    <n v="238"/>
    <n v="17"/>
    <n v="1"/>
    <n v="2023"/>
    <s v="Tuesday"/>
    <s v="January"/>
    <s v="2023"/>
    <d v="2023-01-17T00:00:00"/>
    <s v="CUST238"/>
    <x v="1"/>
    <s v="Adult"/>
    <n v="39"/>
    <x v="0"/>
    <n v="1"/>
    <n v="500"/>
    <n v="500"/>
    <n v="7.5"/>
    <n v="10"/>
  </r>
  <r>
    <n v="239"/>
    <n v="19"/>
    <n v="6"/>
    <n v="2023"/>
    <s v="Monday"/>
    <s v="June"/>
    <s v="2023"/>
    <d v="2023-06-19T00:00:00"/>
    <s v="CUST239"/>
    <x v="0"/>
    <s v="Adult"/>
    <n v="38"/>
    <x v="2"/>
    <n v="3"/>
    <n v="500"/>
    <n v="1500"/>
    <n v="22.5"/>
    <n v="30"/>
  </r>
  <r>
    <n v="240"/>
    <n v="6"/>
    <n v="2"/>
    <n v="2023"/>
    <s v="Monday"/>
    <s v="February"/>
    <s v="2023"/>
    <d v="2023-02-06T00:00:00"/>
    <s v="CUST240"/>
    <x v="1"/>
    <s v="Young Adult"/>
    <n v="23"/>
    <x v="0"/>
    <n v="1"/>
    <n v="300"/>
    <n v="300"/>
    <n v="4.5"/>
    <n v="6"/>
  </r>
  <r>
    <n v="241"/>
    <n v="21"/>
    <n v="9"/>
    <n v="2023"/>
    <s v="Thursday"/>
    <s v="September"/>
    <s v="2023"/>
    <d v="2023-09-21T00:00:00"/>
    <s v="CUST241"/>
    <x v="1"/>
    <s v="Young Adult"/>
    <n v="23"/>
    <x v="2"/>
    <n v="3"/>
    <n v="25"/>
    <n v="75"/>
    <n v="1.125"/>
    <n v="1.5"/>
  </r>
  <r>
    <n v="242"/>
    <n v="2"/>
    <n v="5"/>
    <n v="2023"/>
    <s v="Tuesday"/>
    <s v="May"/>
    <s v="2023"/>
    <d v="2023-05-02T00:00:00"/>
    <s v="CUST242"/>
    <x v="0"/>
    <s v="Young Adult"/>
    <n v="21"/>
    <x v="1"/>
    <n v="1"/>
    <n v="25"/>
    <n v="25"/>
    <n v="0.375"/>
    <n v="0.5"/>
  </r>
  <r>
    <n v="243"/>
    <n v="23"/>
    <n v="5"/>
    <n v="2023"/>
    <s v="Tuesday"/>
    <s v="May"/>
    <s v="2023"/>
    <d v="2023-05-23T00:00:00"/>
    <s v="CUST243"/>
    <x v="1"/>
    <s v="Adult"/>
    <n v="47"/>
    <x v="2"/>
    <n v="3"/>
    <n v="300"/>
    <n v="900"/>
    <n v="13.5"/>
    <n v="18"/>
  </r>
  <r>
    <n v="244"/>
    <n v="9"/>
    <n v="12"/>
    <n v="2023"/>
    <s v="Saturday"/>
    <s v="December"/>
    <s v="2023"/>
    <d v="2023-12-09T00:00:00"/>
    <s v="CUST244"/>
    <x v="0"/>
    <s v="Young Adult"/>
    <n v="28"/>
    <x v="0"/>
    <n v="2"/>
    <n v="50"/>
    <n v="100"/>
    <n v="1.5"/>
    <n v="2"/>
  </r>
  <r>
    <n v="245"/>
    <n v="6"/>
    <n v="9"/>
    <n v="2023"/>
    <s v="Wednesday"/>
    <s v="September"/>
    <s v="2023"/>
    <d v="2023-09-06T00:00:00"/>
    <s v="CUST245"/>
    <x v="0"/>
    <s v="Adult"/>
    <n v="47"/>
    <x v="1"/>
    <n v="3"/>
    <n v="30"/>
    <n v="90"/>
    <n v="1.3499999999999999"/>
    <n v="1.8"/>
  </r>
  <r>
    <n v="246"/>
    <n v="20"/>
    <n v="4"/>
    <n v="2023"/>
    <s v="Thursday"/>
    <s v="April"/>
    <s v="2023"/>
    <d v="2023-04-20T00:00:00"/>
    <s v="CUST246"/>
    <x v="1"/>
    <s v="Adult"/>
    <n v="48"/>
    <x v="2"/>
    <n v="2"/>
    <n v="25"/>
    <n v="50"/>
    <n v="0.75"/>
    <n v="1"/>
  </r>
  <r>
    <n v="247"/>
    <n v="4"/>
    <n v="10"/>
    <n v="2023"/>
    <s v="Wednesday"/>
    <s v="October"/>
    <s v="2023"/>
    <d v="2023-10-04T00:00:00"/>
    <s v="CUST247"/>
    <x v="0"/>
    <s v="Adult"/>
    <n v="41"/>
    <x v="2"/>
    <n v="2"/>
    <n v="30"/>
    <n v="60"/>
    <n v="0.89999999999999991"/>
    <n v="1.2"/>
  </r>
  <r>
    <n v="248"/>
    <n v="9"/>
    <n v="3"/>
    <n v="2023"/>
    <s v="Thursday"/>
    <s v="March"/>
    <s v="2023"/>
    <d v="2023-03-09T00:00:00"/>
    <s v="CUST248"/>
    <x v="0"/>
    <s v="Young Adult"/>
    <n v="26"/>
    <x v="1"/>
    <n v="3"/>
    <n v="300"/>
    <n v="900"/>
    <n v="13.5"/>
    <n v="18"/>
  </r>
  <r>
    <n v="249"/>
    <n v="20"/>
    <n v="10"/>
    <n v="2023"/>
    <s v="Friday"/>
    <s v="October"/>
    <s v="2023"/>
    <d v="2023-10-20T00:00:00"/>
    <s v="CUST249"/>
    <x v="0"/>
    <s v="Young Adult"/>
    <n v="20"/>
    <x v="1"/>
    <n v="1"/>
    <n v="50"/>
    <n v="50"/>
    <n v="0.75"/>
    <n v="1"/>
  </r>
  <r>
    <n v="250"/>
    <n v="23"/>
    <n v="10"/>
    <n v="2023"/>
    <s v="Monday"/>
    <s v="October"/>
    <s v="2023"/>
    <d v="2023-10-23T00:00:00"/>
    <s v="CUST250"/>
    <x v="0"/>
    <s v="Adult"/>
    <n v="48"/>
    <x v="2"/>
    <n v="1"/>
    <n v="50"/>
    <n v="50"/>
    <n v="0.75"/>
    <n v="1"/>
  </r>
  <r>
    <n v="251"/>
    <n v="31"/>
    <n v="8"/>
    <n v="2023"/>
    <s v="Thursday"/>
    <s v="August"/>
    <s v="2023"/>
    <d v="2023-08-31T00:00:00"/>
    <s v="CUST251"/>
    <x v="1"/>
    <s v="Senior"/>
    <n v="57"/>
    <x v="0"/>
    <n v="4"/>
    <n v="50"/>
    <n v="200"/>
    <n v="3"/>
    <n v="4"/>
  </r>
  <r>
    <n v="252"/>
    <n v="5"/>
    <n v="5"/>
    <n v="2023"/>
    <s v="Friday"/>
    <s v="May"/>
    <s v="2023"/>
    <d v="2023-05-05T00:00:00"/>
    <s v="CUST252"/>
    <x v="0"/>
    <s v="Senior"/>
    <n v="54"/>
    <x v="2"/>
    <n v="1"/>
    <n v="300"/>
    <n v="300"/>
    <n v="4.5"/>
    <n v="6"/>
  </r>
  <r>
    <n v="253"/>
    <n v="31"/>
    <n v="8"/>
    <n v="2023"/>
    <s v="Thursday"/>
    <s v="August"/>
    <s v="2023"/>
    <d v="2023-08-31T00:00:00"/>
    <s v="CUST253"/>
    <x v="1"/>
    <s v="Senior"/>
    <n v="53"/>
    <x v="1"/>
    <n v="4"/>
    <n v="500"/>
    <n v="2000"/>
    <n v="30"/>
    <n v="40"/>
  </r>
  <r>
    <n v="254"/>
    <n v="28"/>
    <n v="7"/>
    <n v="2023"/>
    <s v="Friday"/>
    <s v="July"/>
    <s v="2023"/>
    <d v="2023-07-28T00:00:00"/>
    <s v="CUST254"/>
    <x v="0"/>
    <s v="Adult"/>
    <n v="41"/>
    <x v="2"/>
    <n v="1"/>
    <n v="500"/>
    <n v="500"/>
    <n v="7.5"/>
    <n v="10"/>
  </r>
  <r>
    <n v="255"/>
    <n v="8"/>
    <n v="4"/>
    <n v="2023"/>
    <s v="Saturday"/>
    <s v="April"/>
    <s v="2023"/>
    <d v="2023-04-08T00:00:00"/>
    <s v="CUST255"/>
    <x v="0"/>
    <s v="Adult"/>
    <n v="48"/>
    <x v="1"/>
    <n v="1"/>
    <n v="30"/>
    <n v="30"/>
    <n v="0.44999999999999996"/>
    <n v="0.6"/>
  </r>
  <r>
    <n v="256"/>
    <n v="18"/>
    <n v="2"/>
    <n v="2023"/>
    <s v="Saturday"/>
    <s v="February"/>
    <s v="2023"/>
    <d v="2023-02-18T00:00:00"/>
    <s v="CUST256"/>
    <x v="0"/>
    <s v="Young Adult"/>
    <n v="23"/>
    <x v="1"/>
    <n v="2"/>
    <n v="500"/>
    <n v="1000"/>
    <n v="15"/>
    <n v="20"/>
  </r>
  <r>
    <n v="257"/>
    <n v="19"/>
    <n v="2"/>
    <n v="2023"/>
    <s v="Sunday"/>
    <s v="February"/>
    <s v="2023"/>
    <d v="2023-02-19T00:00:00"/>
    <s v="CUST257"/>
    <x v="0"/>
    <s v="Young Adult"/>
    <n v="19"/>
    <x v="0"/>
    <n v="4"/>
    <n v="500"/>
    <n v="2000"/>
    <n v="30"/>
    <n v="40"/>
  </r>
  <r>
    <n v="258"/>
    <n v="4"/>
    <n v="12"/>
    <n v="2023"/>
    <s v="Monday"/>
    <s v="December"/>
    <s v="2023"/>
    <d v="2023-12-04T00:00:00"/>
    <s v="CUST258"/>
    <x v="1"/>
    <s v="Adult"/>
    <n v="37"/>
    <x v="1"/>
    <n v="1"/>
    <n v="50"/>
    <n v="50"/>
    <n v="0.75"/>
    <n v="1"/>
  </r>
  <r>
    <n v="259"/>
    <n v="9"/>
    <n v="8"/>
    <n v="2023"/>
    <s v="Wednesday"/>
    <s v="August"/>
    <s v="2023"/>
    <d v="2023-08-09T00:00:00"/>
    <s v="CUST259"/>
    <x v="1"/>
    <s v="Adult"/>
    <n v="45"/>
    <x v="1"/>
    <n v="4"/>
    <n v="50"/>
    <n v="200"/>
    <n v="3"/>
    <n v="4"/>
  </r>
  <r>
    <n v="260"/>
    <n v="1"/>
    <n v="7"/>
    <n v="2023"/>
    <s v="Saturday"/>
    <s v="July"/>
    <s v="2023"/>
    <d v="2023-07-01T00:00:00"/>
    <s v="CUST260"/>
    <x v="0"/>
    <s v="Young Adult"/>
    <n v="28"/>
    <x v="0"/>
    <n v="2"/>
    <n v="30"/>
    <n v="60"/>
    <n v="0.89999999999999991"/>
    <n v="1.2"/>
  </r>
  <r>
    <n v="261"/>
    <n v="5"/>
    <n v="8"/>
    <n v="2023"/>
    <s v="Saturday"/>
    <s v="August"/>
    <s v="2023"/>
    <d v="2023-08-05T00:00:00"/>
    <s v="CUST261"/>
    <x v="0"/>
    <s v="Young Adult"/>
    <n v="21"/>
    <x v="1"/>
    <n v="2"/>
    <n v="25"/>
    <n v="50"/>
    <n v="0.75"/>
    <n v="1"/>
  </r>
  <r>
    <n v="262"/>
    <n v="30"/>
    <n v="7"/>
    <n v="2023"/>
    <s v="Sunday"/>
    <s v="July"/>
    <s v="2023"/>
    <d v="2023-07-30T00:00:00"/>
    <s v="CUST262"/>
    <x v="1"/>
    <s v="Adult"/>
    <n v="32"/>
    <x v="0"/>
    <n v="4"/>
    <n v="30"/>
    <n v="120"/>
    <n v="1.7999999999999998"/>
    <n v="2.4"/>
  </r>
  <r>
    <n v="263"/>
    <n v="28"/>
    <n v="8"/>
    <n v="2023"/>
    <s v="Monday"/>
    <s v="August"/>
    <s v="2023"/>
    <d v="2023-08-28T00:00:00"/>
    <s v="CUST263"/>
    <x v="0"/>
    <s v="Young Adult"/>
    <n v="23"/>
    <x v="0"/>
    <n v="2"/>
    <n v="30"/>
    <n v="60"/>
    <n v="0.89999999999999991"/>
    <n v="1.2"/>
  </r>
  <r>
    <n v="264"/>
    <n v="28"/>
    <n v="1"/>
    <n v="2023"/>
    <s v="Saturday"/>
    <s v="January"/>
    <s v="2023"/>
    <d v="2023-01-28T00:00:00"/>
    <s v="CUST264"/>
    <x v="0"/>
    <s v="Adult"/>
    <n v="47"/>
    <x v="1"/>
    <n v="3"/>
    <n v="300"/>
    <n v="900"/>
    <n v="13.5"/>
    <n v="18"/>
  </r>
  <r>
    <n v="265"/>
    <n v="11"/>
    <n v="12"/>
    <n v="2023"/>
    <s v="Monday"/>
    <s v="December"/>
    <s v="2023"/>
    <d v="2023-12-11T00:00:00"/>
    <s v="CUST265"/>
    <x v="0"/>
    <s v="Senior"/>
    <n v="55"/>
    <x v="1"/>
    <n v="3"/>
    <n v="300"/>
    <n v="900"/>
    <n v="13.5"/>
    <n v="18"/>
  </r>
  <r>
    <n v="266"/>
    <n v="1"/>
    <n v="12"/>
    <n v="2023"/>
    <s v="Friday"/>
    <s v="December"/>
    <s v="2023"/>
    <d v="2023-12-01T00:00:00"/>
    <s v="CUST266"/>
    <x v="1"/>
    <s v="Young Adult"/>
    <n v="19"/>
    <x v="2"/>
    <n v="2"/>
    <n v="30"/>
    <n v="60"/>
    <n v="0.89999999999999991"/>
    <n v="1.2"/>
  </r>
  <r>
    <n v="267"/>
    <n v="27"/>
    <n v="11"/>
    <n v="2023"/>
    <s v="Monday"/>
    <s v="November"/>
    <s v="2023"/>
    <d v="2023-11-27T00:00:00"/>
    <s v="CUST267"/>
    <x v="1"/>
    <s v="Adult"/>
    <n v="32"/>
    <x v="0"/>
    <n v="3"/>
    <n v="30"/>
    <n v="90"/>
    <n v="1.3499999999999999"/>
    <n v="1.8"/>
  </r>
  <r>
    <n v="268"/>
    <n v="20"/>
    <n v="2"/>
    <n v="2023"/>
    <s v="Monday"/>
    <s v="February"/>
    <s v="2023"/>
    <d v="2023-02-20T00:00:00"/>
    <s v="CUST268"/>
    <x v="1"/>
    <s v="Young Adult"/>
    <n v="28"/>
    <x v="2"/>
    <n v="1"/>
    <n v="30"/>
    <n v="30"/>
    <n v="0.44999999999999996"/>
    <n v="0.6"/>
  </r>
  <r>
    <n v="269"/>
    <n v="1"/>
    <n v="2"/>
    <n v="2023"/>
    <s v="Wednesday"/>
    <s v="February"/>
    <s v="2023"/>
    <d v="2023-02-01T00:00:00"/>
    <s v="CUST269"/>
    <x v="0"/>
    <s v="Young Adult"/>
    <n v="25"/>
    <x v="1"/>
    <n v="4"/>
    <n v="500"/>
    <n v="2000"/>
    <n v="30"/>
    <n v="40"/>
  </r>
  <r>
    <n v="270"/>
    <n v="26"/>
    <n v="7"/>
    <n v="2023"/>
    <s v="Wednesday"/>
    <s v="July"/>
    <s v="2023"/>
    <d v="2023-07-26T00:00:00"/>
    <s v="CUST270"/>
    <x v="0"/>
    <s v="Adult"/>
    <n v="43"/>
    <x v="2"/>
    <n v="1"/>
    <n v="300"/>
    <n v="300"/>
    <n v="4.5"/>
    <n v="6"/>
  </r>
  <r>
    <n v="271"/>
    <n v="23"/>
    <n v="6"/>
    <n v="2023"/>
    <s v="Friday"/>
    <s v="June"/>
    <s v="2023"/>
    <d v="2023-06-23T00:00:00"/>
    <s v="CUST271"/>
    <x v="1"/>
    <s v="Senior"/>
    <n v="62"/>
    <x v="0"/>
    <n v="4"/>
    <n v="30"/>
    <n v="120"/>
    <n v="1.7999999999999998"/>
    <n v="2.4"/>
  </r>
  <r>
    <n v="272"/>
    <n v="25"/>
    <n v="2"/>
    <n v="2023"/>
    <s v="Saturday"/>
    <s v="February"/>
    <s v="2023"/>
    <d v="2023-02-25T00:00:00"/>
    <s v="CUST272"/>
    <x v="1"/>
    <s v="Senior"/>
    <n v="61"/>
    <x v="2"/>
    <n v="2"/>
    <n v="50"/>
    <n v="100"/>
    <n v="1.5"/>
    <n v="2"/>
  </r>
  <r>
    <n v="273"/>
    <n v="8"/>
    <n v="5"/>
    <n v="2023"/>
    <s v="Monday"/>
    <s v="May"/>
    <s v="2023"/>
    <d v="2023-05-08T00:00:00"/>
    <s v="CUST273"/>
    <x v="1"/>
    <s v="Young Adult"/>
    <n v="22"/>
    <x v="0"/>
    <n v="1"/>
    <n v="50"/>
    <n v="50"/>
    <n v="0.75"/>
    <n v="1"/>
  </r>
  <r>
    <n v="274"/>
    <n v="9"/>
    <n v="4"/>
    <n v="2023"/>
    <s v="Sunday"/>
    <s v="April"/>
    <s v="2023"/>
    <d v="2023-04-09T00:00:00"/>
    <s v="CUST274"/>
    <x v="1"/>
    <s v="Young Adult"/>
    <n v="23"/>
    <x v="1"/>
    <n v="2"/>
    <n v="500"/>
    <n v="1000"/>
    <n v="15"/>
    <n v="20"/>
  </r>
  <r>
    <n v="275"/>
    <n v="8"/>
    <n v="4"/>
    <n v="2023"/>
    <s v="Saturday"/>
    <s v="April"/>
    <s v="2023"/>
    <d v="2023-04-08T00:00:00"/>
    <s v="CUST275"/>
    <x v="0"/>
    <s v="Adult"/>
    <n v="43"/>
    <x v="1"/>
    <n v="2"/>
    <n v="500"/>
    <n v="1000"/>
    <n v="15"/>
    <n v="20"/>
  </r>
  <r>
    <n v="276"/>
    <n v="2"/>
    <n v="10"/>
    <n v="2023"/>
    <s v="Monday"/>
    <s v="October"/>
    <s v="2023"/>
    <d v="2023-10-02T00:00:00"/>
    <s v="CUST276"/>
    <x v="1"/>
    <s v="Young Adult"/>
    <n v="21"/>
    <x v="0"/>
    <n v="4"/>
    <n v="25"/>
    <n v="100"/>
    <n v="1.5"/>
    <n v="2"/>
  </r>
  <r>
    <n v="277"/>
    <n v="18"/>
    <n v="8"/>
    <n v="2023"/>
    <s v="Friday"/>
    <s v="August"/>
    <s v="2023"/>
    <d v="2023-08-18T00:00:00"/>
    <s v="CUST277"/>
    <x v="0"/>
    <s v="Adult"/>
    <n v="36"/>
    <x v="1"/>
    <n v="4"/>
    <n v="25"/>
    <n v="100"/>
    <n v="1.5"/>
    <n v="2"/>
  </r>
  <r>
    <n v="278"/>
    <n v="13"/>
    <n v="3"/>
    <n v="2023"/>
    <s v="Monday"/>
    <s v="March"/>
    <s v="2023"/>
    <d v="2023-03-13T00:00:00"/>
    <s v="CUST278"/>
    <x v="1"/>
    <s v="Adult"/>
    <n v="37"/>
    <x v="1"/>
    <n v="4"/>
    <n v="25"/>
    <n v="100"/>
    <n v="1.5"/>
    <n v="2"/>
  </r>
  <r>
    <n v="279"/>
    <n v="5"/>
    <n v="8"/>
    <n v="2023"/>
    <s v="Saturday"/>
    <s v="August"/>
    <s v="2023"/>
    <d v="2023-08-05T00:00:00"/>
    <s v="CUST279"/>
    <x v="0"/>
    <s v="Adult"/>
    <n v="50"/>
    <x v="1"/>
    <n v="1"/>
    <n v="500"/>
    <n v="500"/>
    <n v="7.5"/>
    <n v="10"/>
  </r>
  <r>
    <n v="280"/>
    <n v="4"/>
    <n v="4"/>
    <n v="2023"/>
    <s v="Tuesday"/>
    <s v="April"/>
    <s v="2023"/>
    <d v="2023-04-04T00:00:00"/>
    <s v="CUST280"/>
    <x v="1"/>
    <s v="Adult"/>
    <n v="37"/>
    <x v="1"/>
    <n v="3"/>
    <n v="500"/>
    <n v="1500"/>
    <n v="22.5"/>
    <n v="30"/>
  </r>
  <r>
    <n v="281"/>
    <n v="23"/>
    <n v="5"/>
    <n v="2023"/>
    <s v="Tuesday"/>
    <s v="May"/>
    <s v="2023"/>
    <d v="2023-05-23T00:00:00"/>
    <s v="CUST281"/>
    <x v="1"/>
    <s v="Young Adult"/>
    <n v="29"/>
    <x v="0"/>
    <n v="4"/>
    <n v="500"/>
    <n v="2000"/>
    <n v="30"/>
    <n v="40"/>
  </r>
  <r>
    <n v="282"/>
    <n v="25"/>
    <n v="8"/>
    <n v="2023"/>
    <s v="Friday"/>
    <s v="August"/>
    <s v="2023"/>
    <d v="2023-08-25T00:00:00"/>
    <s v="CUST282"/>
    <x v="1"/>
    <s v="Senior"/>
    <n v="64"/>
    <x v="2"/>
    <n v="4"/>
    <n v="50"/>
    <n v="200"/>
    <n v="3"/>
    <n v="4"/>
  </r>
  <r>
    <n v="283"/>
    <n v="8"/>
    <n v="5"/>
    <n v="2023"/>
    <s v="Monday"/>
    <s v="May"/>
    <s v="2023"/>
    <d v="2023-05-08T00:00:00"/>
    <s v="CUST283"/>
    <x v="1"/>
    <s v="Young Adult"/>
    <n v="18"/>
    <x v="2"/>
    <n v="1"/>
    <n v="500"/>
    <n v="500"/>
    <n v="7.5"/>
    <n v="10"/>
  </r>
  <r>
    <n v="284"/>
    <n v="8"/>
    <n v="2"/>
    <n v="2023"/>
    <s v="Wednesday"/>
    <s v="February"/>
    <s v="2023"/>
    <d v="2023-02-08T00:00:00"/>
    <s v="CUST284"/>
    <x v="0"/>
    <s v="Adult"/>
    <n v="43"/>
    <x v="1"/>
    <n v="4"/>
    <n v="50"/>
    <n v="200"/>
    <n v="3"/>
    <n v="4"/>
  </r>
  <r>
    <n v="285"/>
    <n v="15"/>
    <n v="8"/>
    <n v="2023"/>
    <s v="Tuesday"/>
    <s v="August"/>
    <s v="2023"/>
    <d v="2023-08-15T00:00:00"/>
    <s v="CUST285"/>
    <x v="1"/>
    <s v="Adult"/>
    <n v="31"/>
    <x v="2"/>
    <n v="1"/>
    <n v="25"/>
    <n v="25"/>
    <n v="0.375"/>
    <n v="0.5"/>
  </r>
  <r>
    <n v="286"/>
    <n v="9"/>
    <n v="10"/>
    <n v="2023"/>
    <s v="Monday"/>
    <s v="October"/>
    <s v="2023"/>
    <d v="2023-10-09T00:00:00"/>
    <s v="CUST286"/>
    <x v="0"/>
    <s v="Senior"/>
    <n v="55"/>
    <x v="2"/>
    <n v="2"/>
    <n v="25"/>
    <n v="50"/>
    <n v="0.75"/>
    <n v="1"/>
  </r>
  <r>
    <n v="287"/>
    <n v="20"/>
    <n v="2"/>
    <n v="2023"/>
    <s v="Monday"/>
    <s v="February"/>
    <s v="2023"/>
    <d v="2023-02-20T00:00:00"/>
    <s v="CUST287"/>
    <x v="0"/>
    <s v="Senior"/>
    <n v="54"/>
    <x v="1"/>
    <n v="4"/>
    <n v="25"/>
    <n v="100"/>
    <n v="1.5"/>
    <n v="2"/>
  </r>
  <r>
    <n v="288"/>
    <n v="26"/>
    <n v="1"/>
    <n v="2023"/>
    <s v="Thursday"/>
    <s v="January"/>
    <s v="2023"/>
    <d v="2023-01-26T00:00:00"/>
    <s v="CUST288"/>
    <x v="0"/>
    <s v="Young Adult"/>
    <n v="28"/>
    <x v="1"/>
    <n v="4"/>
    <n v="30"/>
    <n v="120"/>
    <n v="1.7999999999999998"/>
    <n v="2.4"/>
  </r>
  <r>
    <n v="289"/>
    <n v="30"/>
    <n v="11"/>
    <n v="2023"/>
    <s v="Thursday"/>
    <s v="November"/>
    <s v="2023"/>
    <d v="2023-11-30T00:00:00"/>
    <s v="CUST289"/>
    <x v="0"/>
    <s v="Senior"/>
    <n v="53"/>
    <x v="2"/>
    <n v="2"/>
    <n v="30"/>
    <n v="60"/>
    <n v="0.89999999999999991"/>
    <n v="1.2"/>
  </r>
  <r>
    <n v="290"/>
    <n v="4"/>
    <n v="10"/>
    <n v="2023"/>
    <s v="Wednesday"/>
    <s v="October"/>
    <s v="2023"/>
    <d v="2023-10-04T00:00:00"/>
    <s v="CUST290"/>
    <x v="1"/>
    <s v="Adult"/>
    <n v="30"/>
    <x v="0"/>
    <n v="2"/>
    <n v="300"/>
    <n v="600"/>
    <n v="9"/>
    <n v="12"/>
  </r>
  <r>
    <n v="291"/>
    <n v="8"/>
    <n v="1"/>
    <n v="2023"/>
    <s v="Sunday"/>
    <s v="January"/>
    <s v="2023"/>
    <d v="2023-01-08T00:00:00"/>
    <s v="CUST291"/>
    <x v="0"/>
    <s v="Senior"/>
    <n v="60"/>
    <x v="1"/>
    <n v="2"/>
    <n v="300"/>
    <n v="600"/>
    <n v="9"/>
    <n v="12"/>
  </r>
  <r>
    <n v="292"/>
    <n v="17"/>
    <n v="2"/>
    <n v="2023"/>
    <s v="Friday"/>
    <s v="February"/>
    <s v="2023"/>
    <d v="2023-02-17T00:00:00"/>
    <s v="CUST292"/>
    <x v="0"/>
    <s v="Young Adult"/>
    <n v="20"/>
    <x v="0"/>
    <n v="4"/>
    <n v="300"/>
    <n v="1200"/>
    <n v="18"/>
    <n v="24"/>
  </r>
  <r>
    <n v="293"/>
    <n v="2"/>
    <n v="5"/>
    <n v="2023"/>
    <s v="Tuesday"/>
    <s v="May"/>
    <s v="2023"/>
    <d v="2023-05-02T00:00:00"/>
    <s v="CUST293"/>
    <x v="0"/>
    <s v="Adult"/>
    <n v="50"/>
    <x v="2"/>
    <n v="3"/>
    <n v="30"/>
    <n v="90"/>
    <n v="1.3499999999999999"/>
    <n v="1.8"/>
  </r>
  <r>
    <n v="294"/>
    <n v="27"/>
    <n v="3"/>
    <n v="2023"/>
    <s v="Monday"/>
    <s v="March"/>
    <s v="2023"/>
    <d v="2023-03-27T00:00:00"/>
    <s v="CUST294"/>
    <x v="1"/>
    <s v="Young Adult"/>
    <n v="23"/>
    <x v="1"/>
    <n v="3"/>
    <n v="30"/>
    <n v="90"/>
    <n v="1.3499999999999999"/>
    <n v="1.8"/>
  </r>
  <r>
    <n v="295"/>
    <n v="28"/>
    <n v="7"/>
    <n v="2023"/>
    <s v="Friday"/>
    <s v="July"/>
    <s v="2023"/>
    <d v="2023-07-28T00:00:00"/>
    <s v="CUST295"/>
    <x v="1"/>
    <s v="Young Adult"/>
    <n v="27"/>
    <x v="0"/>
    <n v="3"/>
    <n v="300"/>
    <n v="900"/>
    <n v="13.5"/>
    <n v="18"/>
  </r>
  <r>
    <n v="296"/>
    <n v="6"/>
    <n v="9"/>
    <n v="2023"/>
    <s v="Wednesday"/>
    <s v="September"/>
    <s v="2023"/>
    <d v="2023-09-06T00:00:00"/>
    <s v="CUST296"/>
    <x v="1"/>
    <s v="Young Adult"/>
    <n v="22"/>
    <x v="1"/>
    <n v="4"/>
    <n v="300"/>
    <n v="1200"/>
    <n v="18"/>
    <n v="24"/>
  </r>
  <r>
    <n v="297"/>
    <n v="4"/>
    <n v="9"/>
    <n v="2023"/>
    <s v="Monday"/>
    <s v="September"/>
    <s v="2023"/>
    <d v="2023-09-04T00:00:00"/>
    <s v="CUST297"/>
    <x v="1"/>
    <s v="Adult"/>
    <n v="40"/>
    <x v="2"/>
    <n v="2"/>
    <n v="500"/>
    <n v="1000"/>
    <n v="15"/>
    <n v="20"/>
  </r>
  <r>
    <n v="298"/>
    <n v="20"/>
    <n v="4"/>
    <n v="2023"/>
    <s v="Thursday"/>
    <s v="April"/>
    <s v="2023"/>
    <d v="2023-04-20T00:00:00"/>
    <s v="CUST298"/>
    <x v="0"/>
    <s v="Young Adult"/>
    <n v="27"/>
    <x v="0"/>
    <n v="4"/>
    <n v="300"/>
    <n v="1200"/>
    <n v="18"/>
    <n v="24"/>
  </r>
  <r>
    <n v="299"/>
    <n v="25"/>
    <n v="7"/>
    <n v="2023"/>
    <s v="Tuesday"/>
    <s v="July"/>
    <s v="2023"/>
    <d v="2023-07-25T00:00:00"/>
    <s v="CUST299"/>
    <x v="0"/>
    <s v="Senior"/>
    <n v="61"/>
    <x v="2"/>
    <n v="2"/>
    <n v="500"/>
    <n v="1000"/>
    <n v="15"/>
    <n v="20"/>
  </r>
  <r>
    <n v="300"/>
    <n v="31"/>
    <n v="1"/>
    <n v="2023"/>
    <s v="Tuesday"/>
    <s v="January"/>
    <s v="2023"/>
    <d v="2023-01-31T00:00:00"/>
    <s v="CUST300"/>
    <x v="1"/>
    <s v="Young Adult"/>
    <n v="19"/>
    <x v="2"/>
    <n v="4"/>
    <n v="50"/>
    <n v="200"/>
    <n v="3"/>
    <n v="4"/>
  </r>
  <r>
    <n v="301"/>
    <n v="26"/>
    <n v="3"/>
    <n v="2023"/>
    <s v="Sunday"/>
    <s v="March"/>
    <s v="2023"/>
    <d v="2023-03-26T00:00:00"/>
    <s v="CUST301"/>
    <x v="0"/>
    <s v="Adult"/>
    <n v="30"/>
    <x v="1"/>
    <n v="4"/>
    <n v="30"/>
    <n v="120"/>
    <n v="1.7999999999999998"/>
    <n v="2.4"/>
  </r>
  <r>
    <n v="302"/>
    <n v="14"/>
    <n v="7"/>
    <n v="2023"/>
    <s v="Friday"/>
    <s v="July"/>
    <s v="2023"/>
    <d v="2023-07-14T00:00:00"/>
    <s v="CUST302"/>
    <x v="0"/>
    <s v="Senior"/>
    <n v="57"/>
    <x v="0"/>
    <n v="2"/>
    <n v="300"/>
    <n v="600"/>
    <n v="9"/>
    <n v="12"/>
  </r>
  <r>
    <n v="303"/>
    <n v="2"/>
    <n v="1"/>
    <n v="2023"/>
    <s v="Monday"/>
    <s v="January"/>
    <s v="2023"/>
    <d v="2023-01-02T00:00:00"/>
    <s v="CUST303"/>
    <x v="0"/>
    <s v="Young Adult"/>
    <n v="19"/>
    <x v="2"/>
    <n v="3"/>
    <n v="30"/>
    <n v="90"/>
    <n v="1.3499999999999999"/>
    <n v="1.8"/>
  </r>
  <r>
    <n v="304"/>
    <n v="19"/>
    <n v="7"/>
    <n v="2023"/>
    <s v="Wednesday"/>
    <s v="July"/>
    <s v="2023"/>
    <d v="2023-07-19T00:00:00"/>
    <s v="CUST304"/>
    <x v="1"/>
    <s v="Adult"/>
    <n v="37"/>
    <x v="2"/>
    <n v="2"/>
    <n v="30"/>
    <n v="60"/>
    <n v="0.89999999999999991"/>
    <n v="1.2"/>
  </r>
  <r>
    <n v="305"/>
    <n v="16"/>
    <n v="5"/>
    <n v="2023"/>
    <s v="Tuesday"/>
    <s v="May"/>
    <s v="2023"/>
    <d v="2023-05-16T00:00:00"/>
    <s v="CUST305"/>
    <x v="1"/>
    <s v="Young Adult"/>
    <n v="18"/>
    <x v="0"/>
    <n v="1"/>
    <n v="30"/>
    <n v="30"/>
    <n v="0.44999999999999996"/>
    <n v="0.6"/>
  </r>
  <r>
    <n v="306"/>
    <n v="21"/>
    <n v="8"/>
    <n v="2023"/>
    <s v="Monday"/>
    <s v="August"/>
    <s v="2023"/>
    <d v="2023-08-21T00:00:00"/>
    <s v="CUST306"/>
    <x v="0"/>
    <s v="Senior"/>
    <n v="54"/>
    <x v="2"/>
    <n v="1"/>
    <n v="50"/>
    <n v="50"/>
    <n v="0.75"/>
    <n v="1"/>
  </r>
  <r>
    <n v="307"/>
    <n v="27"/>
    <n v="5"/>
    <n v="2023"/>
    <s v="Saturday"/>
    <s v="May"/>
    <s v="2023"/>
    <d v="2023-05-27T00:00:00"/>
    <s v="CUST307"/>
    <x v="1"/>
    <s v="Young Adult"/>
    <n v="26"/>
    <x v="2"/>
    <n v="2"/>
    <n v="25"/>
    <n v="50"/>
    <n v="0.75"/>
    <n v="1"/>
  </r>
  <r>
    <n v="308"/>
    <n v="5"/>
    <n v="8"/>
    <n v="2023"/>
    <s v="Saturday"/>
    <s v="August"/>
    <s v="2023"/>
    <d v="2023-08-05T00:00:00"/>
    <s v="CUST308"/>
    <x v="1"/>
    <s v="Adult"/>
    <n v="34"/>
    <x v="0"/>
    <n v="4"/>
    <n v="300"/>
    <n v="1200"/>
    <n v="18"/>
    <n v="24"/>
  </r>
  <r>
    <n v="309"/>
    <n v="23"/>
    <n v="12"/>
    <n v="2023"/>
    <s v="Saturday"/>
    <s v="December"/>
    <s v="2023"/>
    <d v="2023-12-23T00:00:00"/>
    <s v="CUST309"/>
    <x v="1"/>
    <s v="Young Adult"/>
    <n v="26"/>
    <x v="0"/>
    <n v="1"/>
    <n v="25"/>
    <n v="25"/>
    <n v="0.375"/>
    <n v="0.5"/>
  </r>
  <r>
    <n v="310"/>
    <n v="12"/>
    <n v="10"/>
    <n v="2023"/>
    <s v="Thursday"/>
    <s v="October"/>
    <s v="2023"/>
    <d v="2023-10-12T00:00:00"/>
    <s v="CUST310"/>
    <x v="1"/>
    <s v="Young Adult"/>
    <n v="28"/>
    <x v="0"/>
    <n v="1"/>
    <n v="25"/>
    <n v="25"/>
    <n v="0.375"/>
    <n v="0.5"/>
  </r>
  <r>
    <n v="311"/>
    <n v="5"/>
    <n v="12"/>
    <n v="2023"/>
    <s v="Tuesday"/>
    <s v="December"/>
    <s v="2023"/>
    <d v="2023-12-05T00:00:00"/>
    <s v="CUST311"/>
    <x v="1"/>
    <s v="Adult"/>
    <n v="32"/>
    <x v="0"/>
    <n v="4"/>
    <n v="25"/>
    <n v="100"/>
    <n v="1.5"/>
    <n v="2"/>
  </r>
  <r>
    <n v="312"/>
    <n v="7"/>
    <n v="9"/>
    <n v="2023"/>
    <s v="Thursday"/>
    <s v="September"/>
    <s v="2023"/>
    <d v="2023-09-07T00:00:00"/>
    <s v="CUST312"/>
    <x v="0"/>
    <s v="Adult"/>
    <n v="41"/>
    <x v="1"/>
    <n v="4"/>
    <n v="30"/>
    <n v="120"/>
    <n v="1.7999999999999998"/>
    <n v="2.4"/>
  </r>
  <r>
    <n v="313"/>
    <n v="21"/>
    <n v="3"/>
    <n v="2023"/>
    <s v="Tuesday"/>
    <s v="March"/>
    <s v="2023"/>
    <d v="2023-03-21T00:00:00"/>
    <s v="CUST313"/>
    <x v="1"/>
    <s v="Senior"/>
    <n v="55"/>
    <x v="0"/>
    <n v="3"/>
    <n v="500"/>
    <n v="1500"/>
    <n v="22.5"/>
    <n v="30"/>
  </r>
  <r>
    <n v="314"/>
    <n v="8"/>
    <n v="4"/>
    <n v="2023"/>
    <s v="Saturday"/>
    <s v="April"/>
    <s v="2023"/>
    <d v="2023-04-08T00:00:00"/>
    <s v="CUST314"/>
    <x v="0"/>
    <s v="Senior"/>
    <n v="52"/>
    <x v="1"/>
    <n v="4"/>
    <n v="30"/>
    <n v="120"/>
    <n v="1.7999999999999998"/>
    <n v="2.4"/>
  </r>
  <r>
    <n v="315"/>
    <n v="1"/>
    <n v="6"/>
    <n v="2023"/>
    <s v="Thursday"/>
    <s v="June"/>
    <s v="2023"/>
    <d v="2023-06-01T00:00:00"/>
    <s v="CUST315"/>
    <x v="0"/>
    <s v="Adult"/>
    <n v="47"/>
    <x v="1"/>
    <n v="2"/>
    <n v="30"/>
    <n v="60"/>
    <n v="0.89999999999999991"/>
    <n v="1.2"/>
  </r>
  <r>
    <n v="316"/>
    <n v="22"/>
    <n v="4"/>
    <n v="2023"/>
    <s v="Saturday"/>
    <s v="April"/>
    <s v="2023"/>
    <d v="2023-04-22T00:00:00"/>
    <s v="CUST316"/>
    <x v="1"/>
    <s v="Adult"/>
    <n v="48"/>
    <x v="1"/>
    <n v="2"/>
    <n v="25"/>
    <n v="50"/>
    <n v="0.75"/>
    <n v="1"/>
  </r>
  <r>
    <n v="317"/>
    <n v="30"/>
    <n v="1"/>
    <n v="2023"/>
    <s v="Monday"/>
    <s v="January"/>
    <s v="2023"/>
    <d v="2023-01-30T00:00:00"/>
    <s v="CUST317"/>
    <x v="0"/>
    <s v="Young Adult"/>
    <n v="22"/>
    <x v="2"/>
    <n v="3"/>
    <n v="30"/>
    <n v="90"/>
    <n v="1.3499999999999999"/>
    <n v="1.8"/>
  </r>
  <r>
    <n v="318"/>
    <n v="24"/>
    <n v="10"/>
    <n v="2023"/>
    <s v="Tuesday"/>
    <s v="October"/>
    <s v="2023"/>
    <d v="2023-10-24T00:00:00"/>
    <s v="CUST318"/>
    <x v="0"/>
    <s v="Senior"/>
    <n v="61"/>
    <x v="1"/>
    <n v="1"/>
    <n v="25"/>
    <n v="25"/>
    <n v="0.375"/>
    <n v="0.5"/>
  </r>
  <r>
    <n v="319"/>
    <n v="5"/>
    <n v="10"/>
    <n v="2023"/>
    <s v="Thursday"/>
    <s v="October"/>
    <s v="2023"/>
    <d v="2023-10-05T00:00:00"/>
    <s v="CUST319"/>
    <x v="0"/>
    <s v="Adult"/>
    <n v="31"/>
    <x v="1"/>
    <n v="1"/>
    <n v="500"/>
    <n v="500"/>
    <n v="7.5"/>
    <n v="10"/>
  </r>
  <r>
    <n v="320"/>
    <n v="1"/>
    <n v="2"/>
    <n v="2023"/>
    <s v="Wednesday"/>
    <s v="February"/>
    <s v="2023"/>
    <d v="2023-02-01T00:00:00"/>
    <s v="CUST320"/>
    <x v="1"/>
    <s v="Young Adult"/>
    <n v="28"/>
    <x v="2"/>
    <n v="4"/>
    <n v="300"/>
    <n v="1200"/>
    <n v="18"/>
    <n v="24"/>
  </r>
  <r>
    <n v="321"/>
    <n v="10"/>
    <n v="6"/>
    <n v="2023"/>
    <s v="Saturday"/>
    <s v="June"/>
    <s v="2023"/>
    <d v="2023-06-10T00:00:00"/>
    <s v="CUST321"/>
    <x v="1"/>
    <s v="Young Adult"/>
    <n v="26"/>
    <x v="2"/>
    <n v="2"/>
    <n v="25"/>
    <n v="50"/>
    <n v="0.75"/>
    <n v="1"/>
  </r>
  <r>
    <n v="322"/>
    <n v="30"/>
    <n v="1"/>
    <n v="2023"/>
    <s v="Monday"/>
    <s v="January"/>
    <s v="2023"/>
    <d v="2023-01-30T00:00:00"/>
    <s v="CUST322"/>
    <x v="0"/>
    <s v="Senior"/>
    <n v="51"/>
    <x v="2"/>
    <n v="1"/>
    <n v="500"/>
    <n v="500"/>
    <n v="7.5"/>
    <n v="10"/>
  </r>
  <r>
    <n v="323"/>
    <n v="26"/>
    <n v="1"/>
    <n v="2023"/>
    <s v="Thursday"/>
    <s v="January"/>
    <s v="2023"/>
    <d v="2023-01-26T00:00:00"/>
    <s v="CUST323"/>
    <x v="1"/>
    <s v="Young Adult"/>
    <n v="29"/>
    <x v="0"/>
    <n v="3"/>
    <n v="300"/>
    <n v="900"/>
    <n v="13.5"/>
    <n v="18"/>
  </r>
  <r>
    <n v="324"/>
    <n v="27"/>
    <n v="10"/>
    <n v="2023"/>
    <s v="Friday"/>
    <s v="October"/>
    <s v="2023"/>
    <d v="2023-10-27T00:00:00"/>
    <s v="CUST324"/>
    <x v="1"/>
    <s v="Senior"/>
    <n v="52"/>
    <x v="2"/>
    <n v="3"/>
    <n v="50"/>
    <n v="150"/>
    <n v="2.25"/>
    <n v="3"/>
  </r>
  <r>
    <n v="325"/>
    <n v="2"/>
    <n v="9"/>
    <n v="2023"/>
    <s v="Saturday"/>
    <s v="September"/>
    <s v="2023"/>
    <d v="2023-09-02T00:00:00"/>
    <s v="CUST325"/>
    <x v="1"/>
    <s v="Senior"/>
    <n v="52"/>
    <x v="2"/>
    <n v="2"/>
    <n v="25"/>
    <n v="50"/>
    <n v="0.75"/>
    <n v="1"/>
  </r>
  <r>
    <n v="326"/>
    <n v="15"/>
    <n v="9"/>
    <n v="2023"/>
    <s v="Friday"/>
    <s v="September"/>
    <s v="2023"/>
    <d v="2023-09-15T00:00:00"/>
    <s v="CUST326"/>
    <x v="1"/>
    <s v="Young Adult"/>
    <n v="18"/>
    <x v="1"/>
    <n v="3"/>
    <n v="25"/>
    <n v="75"/>
    <n v="1.125"/>
    <n v="1.5"/>
  </r>
  <r>
    <n v="327"/>
    <n v="29"/>
    <n v="9"/>
    <n v="2023"/>
    <s v="Friday"/>
    <s v="September"/>
    <s v="2023"/>
    <d v="2023-09-29T00:00:00"/>
    <s v="CUST327"/>
    <x v="0"/>
    <s v="Senior"/>
    <n v="57"/>
    <x v="2"/>
    <n v="3"/>
    <n v="50"/>
    <n v="150"/>
    <n v="2.25"/>
    <n v="3"/>
  </r>
  <r>
    <n v="328"/>
    <n v="22"/>
    <n v="3"/>
    <n v="2023"/>
    <s v="Wednesday"/>
    <s v="March"/>
    <s v="2023"/>
    <d v="2023-03-22T00:00:00"/>
    <s v="CUST328"/>
    <x v="0"/>
    <s v="Adult"/>
    <n v="39"/>
    <x v="0"/>
    <n v="2"/>
    <n v="50"/>
    <n v="100"/>
    <n v="1.5"/>
    <n v="2"/>
  </r>
  <r>
    <n v="329"/>
    <n v="30"/>
    <n v="1"/>
    <n v="2023"/>
    <s v="Monday"/>
    <s v="January"/>
    <s v="2023"/>
    <d v="2023-01-30T00:00:00"/>
    <s v="CUST329"/>
    <x v="1"/>
    <s v="Adult"/>
    <n v="46"/>
    <x v="2"/>
    <n v="4"/>
    <n v="25"/>
    <n v="100"/>
    <n v="1.5"/>
    <n v="2"/>
  </r>
  <r>
    <n v="330"/>
    <n v="18"/>
    <n v="9"/>
    <n v="2023"/>
    <s v="Monday"/>
    <s v="September"/>
    <s v="2023"/>
    <d v="2023-09-18T00:00:00"/>
    <s v="CUST330"/>
    <x v="1"/>
    <s v="Young Adult"/>
    <n v="25"/>
    <x v="0"/>
    <n v="4"/>
    <n v="50"/>
    <n v="200"/>
    <n v="3"/>
    <n v="4"/>
  </r>
  <r>
    <n v="331"/>
    <n v="11"/>
    <n v="2"/>
    <n v="2023"/>
    <s v="Saturday"/>
    <s v="February"/>
    <s v="2023"/>
    <d v="2023-02-11T00:00:00"/>
    <s v="CUST331"/>
    <x v="0"/>
    <s v="Young Adult"/>
    <n v="28"/>
    <x v="2"/>
    <n v="3"/>
    <n v="30"/>
    <n v="90"/>
    <n v="1.3499999999999999"/>
    <n v="1.8"/>
  </r>
  <r>
    <n v="332"/>
    <n v="6"/>
    <n v="4"/>
    <n v="2023"/>
    <s v="Thursday"/>
    <s v="April"/>
    <s v="2023"/>
    <d v="2023-04-06T00:00:00"/>
    <s v="CUST332"/>
    <x v="0"/>
    <s v="Senior"/>
    <n v="58"/>
    <x v="2"/>
    <n v="4"/>
    <n v="300"/>
    <n v="1200"/>
    <n v="18"/>
    <n v="24"/>
  </r>
  <r>
    <n v="333"/>
    <n v="5"/>
    <n v="2"/>
    <n v="2023"/>
    <s v="Sunday"/>
    <s v="February"/>
    <s v="2023"/>
    <d v="2023-02-05T00:00:00"/>
    <s v="CUST333"/>
    <x v="1"/>
    <s v="Senior"/>
    <n v="54"/>
    <x v="2"/>
    <n v="4"/>
    <n v="300"/>
    <n v="1200"/>
    <n v="18"/>
    <n v="24"/>
  </r>
  <r>
    <n v="334"/>
    <n v="1"/>
    <n v="11"/>
    <n v="2023"/>
    <s v="Wednesday"/>
    <s v="November"/>
    <s v="2023"/>
    <d v="2023-11-01T00:00:00"/>
    <s v="CUST334"/>
    <x v="0"/>
    <s v="Adult"/>
    <n v="31"/>
    <x v="2"/>
    <n v="3"/>
    <n v="300"/>
    <n v="900"/>
    <n v="13.5"/>
    <n v="18"/>
  </r>
  <r>
    <n v="335"/>
    <n v="4"/>
    <n v="2"/>
    <n v="2023"/>
    <s v="Saturday"/>
    <s v="February"/>
    <s v="2023"/>
    <d v="2023-02-04T00:00:00"/>
    <s v="CUST335"/>
    <x v="1"/>
    <s v="Adult"/>
    <n v="47"/>
    <x v="0"/>
    <n v="4"/>
    <n v="30"/>
    <n v="120"/>
    <n v="1.7999999999999998"/>
    <n v="2.4"/>
  </r>
  <r>
    <n v="336"/>
    <n v="12"/>
    <n v="12"/>
    <n v="2023"/>
    <s v="Tuesday"/>
    <s v="December"/>
    <s v="2023"/>
    <d v="2023-12-12T00:00:00"/>
    <s v="CUST336"/>
    <x v="1"/>
    <s v="Senior"/>
    <n v="52"/>
    <x v="0"/>
    <n v="3"/>
    <n v="50"/>
    <n v="150"/>
    <n v="2.25"/>
    <n v="3"/>
  </r>
  <r>
    <n v="337"/>
    <n v="1"/>
    <n v="5"/>
    <n v="2023"/>
    <s v="Monday"/>
    <s v="May"/>
    <s v="2023"/>
    <d v="2023-05-01T00:00:00"/>
    <s v="CUST337"/>
    <x v="0"/>
    <s v="Adult"/>
    <n v="38"/>
    <x v="1"/>
    <n v="1"/>
    <n v="500"/>
    <n v="500"/>
    <n v="7.5"/>
    <n v="10"/>
  </r>
  <r>
    <n v="338"/>
    <n v="26"/>
    <n v="7"/>
    <n v="2023"/>
    <s v="Wednesday"/>
    <s v="July"/>
    <s v="2023"/>
    <d v="2023-07-26T00:00:00"/>
    <s v="CUST338"/>
    <x v="0"/>
    <s v="Senior"/>
    <n v="54"/>
    <x v="0"/>
    <n v="2"/>
    <n v="50"/>
    <n v="100"/>
    <n v="1.5"/>
    <n v="2"/>
  </r>
  <r>
    <n v="339"/>
    <n v="3"/>
    <n v="3"/>
    <n v="2023"/>
    <s v="Friday"/>
    <s v="March"/>
    <s v="2023"/>
    <d v="2023-03-03T00:00:00"/>
    <s v="CUST339"/>
    <x v="1"/>
    <s v="Young Adult"/>
    <n v="22"/>
    <x v="2"/>
    <n v="2"/>
    <n v="25"/>
    <n v="50"/>
    <n v="0.75"/>
    <n v="1"/>
  </r>
  <r>
    <n v="340"/>
    <n v="19"/>
    <n v="10"/>
    <n v="2023"/>
    <s v="Thursday"/>
    <s v="October"/>
    <s v="2023"/>
    <d v="2023-10-19T00:00:00"/>
    <s v="CUST340"/>
    <x v="1"/>
    <s v="Adult"/>
    <n v="36"/>
    <x v="1"/>
    <n v="4"/>
    <n v="300"/>
    <n v="1200"/>
    <n v="18"/>
    <n v="24"/>
  </r>
  <r>
    <n v="341"/>
    <n v="7"/>
    <n v="5"/>
    <n v="2023"/>
    <s v="Sunday"/>
    <s v="May"/>
    <s v="2023"/>
    <d v="2023-05-07T00:00:00"/>
    <s v="CUST341"/>
    <x v="0"/>
    <s v="Adult"/>
    <n v="31"/>
    <x v="1"/>
    <n v="4"/>
    <n v="50"/>
    <n v="200"/>
    <n v="3"/>
    <n v="4"/>
  </r>
  <r>
    <n v="342"/>
    <n v="24"/>
    <n v="10"/>
    <n v="2023"/>
    <s v="Tuesday"/>
    <s v="October"/>
    <s v="2023"/>
    <d v="2023-10-24T00:00:00"/>
    <s v="CUST342"/>
    <x v="1"/>
    <s v="Adult"/>
    <n v="43"/>
    <x v="1"/>
    <n v="4"/>
    <n v="500"/>
    <n v="2000"/>
    <n v="30"/>
    <n v="40"/>
  </r>
  <r>
    <n v="343"/>
    <n v="1"/>
    <n v="11"/>
    <n v="2023"/>
    <s v="Wednesday"/>
    <s v="November"/>
    <s v="2023"/>
    <d v="2023-11-01T00:00:00"/>
    <s v="CUST343"/>
    <x v="0"/>
    <s v="Young Adult"/>
    <n v="21"/>
    <x v="2"/>
    <n v="2"/>
    <n v="25"/>
    <n v="50"/>
    <n v="0.75"/>
    <n v="1"/>
  </r>
  <r>
    <n v="344"/>
    <n v="21"/>
    <n v="1"/>
    <n v="2023"/>
    <s v="Saturday"/>
    <s v="January"/>
    <s v="2023"/>
    <d v="2023-01-21T00:00:00"/>
    <s v="CUST344"/>
    <x v="1"/>
    <s v="Adult"/>
    <n v="42"/>
    <x v="0"/>
    <n v="1"/>
    <n v="30"/>
    <n v="30"/>
    <n v="0.44999999999999996"/>
    <n v="0.6"/>
  </r>
  <r>
    <n v="345"/>
    <n v="14"/>
    <n v="11"/>
    <n v="2023"/>
    <s v="Tuesday"/>
    <s v="November"/>
    <s v="2023"/>
    <d v="2023-11-14T00:00:00"/>
    <s v="CUST345"/>
    <x v="0"/>
    <s v="Senior"/>
    <n v="62"/>
    <x v="2"/>
    <n v="1"/>
    <n v="30"/>
    <n v="30"/>
    <n v="0.44999999999999996"/>
    <n v="0.6"/>
  </r>
  <r>
    <n v="346"/>
    <n v="11"/>
    <n v="2"/>
    <n v="2023"/>
    <s v="Saturday"/>
    <s v="February"/>
    <s v="2023"/>
    <d v="2023-02-11T00:00:00"/>
    <s v="CUST346"/>
    <x v="0"/>
    <s v="Senior"/>
    <n v="59"/>
    <x v="1"/>
    <n v="2"/>
    <n v="500"/>
    <n v="1000"/>
    <n v="15"/>
    <n v="20"/>
  </r>
  <r>
    <n v="347"/>
    <n v="3"/>
    <n v="8"/>
    <n v="2023"/>
    <s v="Thursday"/>
    <s v="August"/>
    <s v="2023"/>
    <d v="2023-08-03T00:00:00"/>
    <s v="CUST347"/>
    <x v="0"/>
    <s v="Adult"/>
    <n v="42"/>
    <x v="2"/>
    <n v="1"/>
    <n v="25"/>
    <n v="25"/>
    <n v="0.375"/>
    <n v="0.5"/>
  </r>
  <r>
    <n v="348"/>
    <n v="3"/>
    <n v="12"/>
    <n v="2023"/>
    <s v="Sunday"/>
    <s v="December"/>
    <s v="2023"/>
    <d v="2023-12-03T00:00:00"/>
    <s v="CUST348"/>
    <x v="1"/>
    <s v="Adult"/>
    <n v="35"/>
    <x v="2"/>
    <n v="2"/>
    <n v="300"/>
    <n v="600"/>
    <n v="9"/>
    <n v="12"/>
  </r>
  <r>
    <n v="349"/>
    <n v="26"/>
    <n v="10"/>
    <n v="2023"/>
    <s v="Thursday"/>
    <s v="October"/>
    <s v="2023"/>
    <d v="2023-10-26T00:00:00"/>
    <s v="CUST349"/>
    <x v="1"/>
    <s v="Senior"/>
    <n v="57"/>
    <x v="0"/>
    <n v="1"/>
    <n v="50"/>
    <n v="50"/>
    <n v="0.75"/>
    <n v="1"/>
  </r>
  <r>
    <n v="350"/>
    <n v="17"/>
    <n v="10"/>
    <n v="2023"/>
    <s v="Tuesday"/>
    <s v="October"/>
    <s v="2023"/>
    <d v="2023-10-17T00:00:00"/>
    <s v="CUST350"/>
    <x v="0"/>
    <s v="Young Adult"/>
    <n v="25"/>
    <x v="0"/>
    <n v="3"/>
    <n v="25"/>
    <n v="75"/>
    <n v="1.125"/>
    <n v="1.5"/>
  </r>
  <r>
    <n v="351"/>
    <n v="25"/>
    <n v="9"/>
    <n v="2023"/>
    <s v="Monday"/>
    <s v="September"/>
    <s v="2023"/>
    <d v="2023-09-25T00:00:00"/>
    <s v="CUST351"/>
    <x v="1"/>
    <s v="Senior"/>
    <n v="56"/>
    <x v="1"/>
    <n v="3"/>
    <n v="30"/>
    <n v="90"/>
    <n v="1.3499999999999999"/>
    <n v="1.8"/>
  </r>
  <r>
    <n v="352"/>
    <n v="11"/>
    <n v="6"/>
    <n v="2023"/>
    <s v="Sunday"/>
    <s v="June"/>
    <s v="2023"/>
    <d v="2023-06-11T00:00:00"/>
    <s v="CUST352"/>
    <x v="0"/>
    <s v="Senior"/>
    <n v="57"/>
    <x v="2"/>
    <n v="2"/>
    <n v="500"/>
    <n v="1000"/>
    <n v="15"/>
    <n v="20"/>
  </r>
  <r>
    <n v="353"/>
    <n v="14"/>
    <n v="5"/>
    <n v="2023"/>
    <s v="Sunday"/>
    <s v="May"/>
    <s v="2023"/>
    <d v="2023-05-14T00:00:00"/>
    <s v="CUST353"/>
    <x v="0"/>
    <s v="Adult"/>
    <n v="31"/>
    <x v="2"/>
    <n v="1"/>
    <n v="500"/>
    <n v="500"/>
    <n v="7.5"/>
    <n v="10"/>
  </r>
  <r>
    <n v="354"/>
    <n v="15"/>
    <n v="4"/>
    <n v="2023"/>
    <s v="Saturday"/>
    <s v="April"/>
    <s v="2023"/>
    <d v="2023-04-15T00:00:00"/>
    <s v="CUST354"/>
    <x v="1"/>
    <s v="Adult"/>
    <n v="49"/>
    <x v="0"/>
    <n v="4"/>
    <n v="50"/>
    <n v="200"/>
    <n v="3"/>
    <n v="4"/>
  </r>
  <r>
    <n v="355"/>
    <n v="9"/>
    <n v="12"/>
    <n v="2023"/>
    <s v="Saturday"/>
    <s v="December"/>
    <s v="2023"/>
    <d v="2023-12-09T00:00:00"/>
    <s v="CUST355"/>
    <x v="1"/>
    <s v="Senior"/>
    <n v="55"/>
    <x v="2"/>
    <n v="1"/>
    <n v="500"/>
    <n v="500"/>
    <n v="7.5"/>
    <n v="10"/>
  </r>
  <r>
    <n v="356"/>
    <n v="10"/>
    <n v="6"/>
    <n v="2023"/>
    <s v="Saturday"/>
    <s v="June"/>
    <s v="2023"/>
    <d v="2023-06-10T00:00:00"/>
    <s v="CUST356"/>
    <x v="0"/>
    <s v="Adult"/>
    <n v="50"/>
    <x v="2"/>
    <n v="3"/>
    <n v="500"/>
    <n v="1500"/>
    <n v="22.5"/>
    <n v="30"/>
  </r>
  <r>
    <n v="357"/>
    <n v="3"/>
    <n v="5"/>
    <n v="2023"/>
    <s v="Wednesday"/>
    <s v="May"/>
    <s v="2023"/>
    <d v="2023-05-03T00:00:00"/>
    <s v="CUST357"/>
    <x v="1"/>
    <s v="Adult"/>
    <n v="40"/>
    <x v="2"/>
    <n v="3"/>
    <n v="25"/>
    <n v="75"/>
    <n v="1.125"/>
    <n v="1.5"/>
  </r>
  <r>
    <n v="358"/>
    <n v="16"/>
    <n v="5"/>
    <n v="2023"/>
    <s v="Tuesday"/>
    <s v="May"/>
    <s v="2023"/>
    <d v="2023-05-16T00:00:00"/>
    <s v="CUST358"/>
    <x v="1"/>
    <s v="Adult"/>
    <n v="32"/>
    <x v="0"/>
    <n v="1"/>
    <n v="300"/>
    <n v="300"/>
    <n v="4.5"/>
    <n v="6"/>
  </r>
  <r>
    <n v="359"/>
    <n v="22"/>
    <n v="7"/>
    <n v="2023"/>
    <s v="Saturday"/>
    <s v="July"/>
    <s v="2023"/>
    <d v="2023-07-22T00:00:00"/>
    <s v="CUST359"/>
    <x v="0"/>
    <s v="Adult"/>
    <n v="50"/>
    <x v="1"/>
    <n v="1"/>
    <n v="50"/>
    <n v="50"/>
    <n v="0.75"/>
    <n v="1"/>
  </r>
  <r>
    <n v="360"/>
    <n v="9"/>
    <n v="3"/>
    <n v="2023"/>
    <s v="Thursday"/>
    <s v="March"/>
    <s v="2023"/>
    <d v="2023-03-09T00:00:00"/>
    <s v="CUST360"/>
    <x v="0"/>
    <s v="Adult"/>
    <n v="42"/>
    <x v="1"/>
    <n v="4"/>
    <n v="25"/>
    <n v="100"/>
    <n v="1.5"/>
    <n v="2"/>
  </r>
  <r>
    <n v="361"/>
    <n v="10"/>
    <n v="12"/>
    <n v="2023"/>
    <s v="Sunday"/>
    <s v="December"/>
    <s v="2023"/>
    <d v="2023-12-10T00:00:00"/>
    <s v="CUST361"/>
    <x v="1"/>
    <s v="Adult"/>
    <n v="34"/>
    <x v="2"/>
    <n v="4"/>
    <n v="300"/>
    <n v="1200"/>
    <n v="18"/>
    <n v="24"/>
  </r>
  <r>
    <n v="362"/>
    <n v="27"/>
    <n v="11"/>
    <n v="2023"/>
    <s v="Monday"/>
    <s v="November"/>
    <s v="2023"/>
    <d v="2023-11-27T00:00:00"/>
    <s v="CUST362"/>
    <x v="0"/>
    <s v="Adult"/>
    <n v="50"/>
    <x v="1"/>
    <n v="1"/>
    <n v="25"/>
    <n v="25"/>
    <n v="0.375"/>
    <n v="0.5"/>
  </r>
  <r>
    <n v="363"/>
    <n v="3"/>
    <n v="6"/>
    <n v="2023"/>
    <s v="Saturday"/>
    <s v="June"/>
    <s v="2023"/>
    <d v="2023-06-03T00:00:00"/>
    <s v="CUST363"/>
    <x v="0"/>
    <s v="Senior"/>
    <n v="64"/>
    <x v="0"/>
    <n v="1"/>
    <n v="25"/>
    <n v="25"/>
    <n v="0.375"/>
    <n v="0.5"/>
  </r>
  <r>
    <n v="364"/>
    <n v="23"/>
    <n v="8"/>
    <n v="2023"/>
    <s v="Wednesday"/>
    <s v="August"/>
    <s v="2023"/>
    <d v="2023-08-23T00:00:00"/>
    <s v="CUST364"/>
    <x v="1"/>
    <s v="Young Adult"/>
    <n v="19"/>
    <x v="0"/>
    <n v="1"/>
    <n v="500"/>
    <n v="500"/>
    <n v="7.5"/>
    <n v="10"/>
  </r>
  <r>
    <n v="365"/>
    <n v="11"/>
    <n v="6"/>
    <n v="2023"/>
    <s v="Sunday"/>
    <s v="June"/>
    <s v="2023"/>
    <d v="2023-06-11T00:00:00"/>
    <s v="CUST365"/>
    <x v="0"/>
    <s v="Adult"/>
    <n v="31"/>
    <x v="1"/>
    <n v="1"/>
    <n v="300"/>
    <n v="300"/>
    <n v="4.5"/>
    <n v="6"/>
  </r>
  <r>
    <n v="366"/>
    <n v="7"/>
    <n v="2"/>
    <n v="2023"/>
    <s v="Tuesday"/>
    <s v="February"/>
    <s v="2023"/>
    <d v="2023-02-07T00:00:00"/>
    <s v="CUST366"/>
    <x v="0"/>
    <s v="Senior"/>
    <n v="57"/>
    <x v="1"/>
    <n v="2"/>
    <n v="50"/>
    <n v="100"/>
    <n v="1.5"/>
    <n v="2"/>
  </r>
  <r>
    <n v="367"/>
    <n v="5"/>
    <n v="1"/>
    <n v="2023"/>
    <s v="Thursday"/>
    <s v="January"/>
    <s v="2023"/>
    <d v="2023-01-05T00:00:00"/>
    <s v="CUST367"/>
    <x v="1"/>
    <s v="Senior"/>
    <n v="57"/>
    <x v="2"/>
    <n v="1"/>
    <n v="50"/>
    <n v="50"/>
    <n v="0.75"/>
    <n v="1"/>
  </r>
  <r>
    <n v="368"/>
    <n v="23"/>
    <n v="8"/>
    <n v="2023"/>
    <s v="Wednesday"/>
    <s v="August"/>
    <s v="2023"/>
    <d v="2023-08-23T00:00:00"/>
    <s v="CUST368"/>
    <x v="1"/>
    <s v="Senior"/>
    <n v="56"/>
    <x v="1"/>
    <n v="4"/>
    <n v="300"/>
    <n v="1200"/>
    <n v="18"/>
    <n v="24"/>
  </r>
  <r>
    <n v="369"/>
    <n v="15"/>
    <n v="11"/>
    <n v="2023"/>
    <s v="Wednesday"/>
    <s v="November"/>
    <s v="2023"/>
    <d v="2023-11-15T00:00:00"/>
    <s v="CUST369"/>
    <x v="0"/>
    <s v="Young Adult"/>
    <n v="23"/>
    <x v="2"/>
    <n v="3"/>
    <n v="500"/>
    <n v="1500"/>
    <n v="22.5"/>
    <n v="30"/>
  </r>
  <r>
    <n v="370"/>
    <n v="16"/>
    <n v="10"/>
    <n v="2023"/>
    <s v="Monday"/>
    <s v="October"/>
    <s v="2023"/>
    <d v="2023-10-16T00:00:00"/>
    <s v="CUST370"/>
    <x v="0"/>
    <s v="Young Adult"/>
    <n v="23"/>
    <x v="2"/>
    <n v="2"/>
    <n v="30"/>
    <n v="60"/>
    <n v="0.89999999999999991"/>
    <n v="1.2"/>
  </r>
  <r>
    <n v="371"/>
    <n v="21"/>
    <n v="2"/>
    <n v="2023"/>
    <s v="Tuesday"/>
    <s v="February"/>
    <s v="2023"/>
    <d v="2023-02-21T00:00:00"/>
    <s v="CUST371"/>
    <x v="1"/>
    <s v="Young Adult"/>
    <n v="20"/>
    <x v="0"/>
    <n v="1"/>
    <n v="25"/>
    <n v="25"/>
    <n v="0.375"/>
    <n v="0.5"/>
  </r>
  <r>
    <n v="372"/>
    <n v="7"/>
    <n v="2"/>
    <n v="2023"/>
    <s v="Tuesday"/>
    <s v="February"/>
    <s v="2023"/>
    <d v="2023-02-07T00:00:00"/>
    <s v="CUST372"/>
    <x v="1"/>
    <s v="Young Adult"/>
    <n v="24"/>
    <x v="0"/>
    <n v="3"/>
    <n v="500"/>
    <n v="1500"/>
    <n v="22.5"/>
    <n v="30"/>
  </r>
  <r>
    <n v="373"/>
    <n v="3"/>
    <n v="10"/>
    <n v="2023"/>
    <s v="Tuesday"/>
    <s v="October"/>
    <s v="2023"/>
    <d v="2023-10-03T00:00:00"/>
    <s v="CUST373"/>
    <x v="1"/>
    <s v="Young Adult"/>
    <n v="25"/>
    <x v="0"/>
    <n v="2"/>
    <n v="300"/>
    <n v="600"/>
    <n v="9"/>
    <n v="12"/>
  </r>
  <r>
    <n v="374"/>
    <n v="20"/>
    <n v="4"/>
    <n v="2023"/>
    <s v="Thursday"/>
    <s v="April"/>
    <s v="2023"/>
    <d v="2023-04-20T00:00:00"/>
    <s v="CUST374"/>
    <x v="1"/>
    <s v="Senior"/>
    <n v="59"/>
    <x v="0"/>
    <n v="3"/>
    <n v="25"/>
    <n v="75"/>
    <n v="1.125"/>
    <n v="1.5"/>
  </r>
  <r>
    <n v="375"/>
    <n v="17"/>
    <n v="9"/>
    <n v="2023"/>
    <s v="Sunday"/>
    <s v="September"/>
    <s v="2023"/>
    <d v="2023-09-17T00:00:00"/>
    <s v="CUST375"/>
    <x v="0"/>
    <s v="Adult"/>
    <n v="32"/>
    <x v="1"/>
    <n v="1"/>
    <n v="50"/>
    <n v="50"/>
    <n v="0.75"/>
    <n v="1"/>
  </r>
  <r>
    <n v="376"/>
    <n v="16"/>
    <n v="5"/>
    <n v="2023"/>
    <s v="Tuesday"/>
    <s v="May"/>
    <s v="2023"/>
    <d v="2023-05-16T00:00:00"/>
    <s v="CUST376"/>
    <x v="1"/>
    <s v="Senior"/>
    <n v="64"/>
    <x v="0"/>
    <n v="1"/>
    <n v="30"/>
    <n v="30"/>
    <n v="0.44999999999999996"/>
    <n v="0.6"/>
  </r>
  <r>
    <n v="377"/>
    <n v="9"/>
    <n v="3"/>
    <n v="2023"/>
    <s v="Thursday"/>
    <s v="March"/>
    <s v="2023"/>
    <d v="2023-03-09T00:00:00"/>
    <s v="CUST377"/>
    <x v="1"/>
    <s v="Adult"/>
    <n v="46"/>
    <x v="1"/>
    <n v="4"/>
    <n v="50"/>
    <n v="200"/>
    <n v="3"/>
    <n v="4"/>
  </r>
  <r>
    <n v="378"/>
    <n v="28"/>
    <n v="6"/>
    <n v="2023"/>
    <s v="Wednesday"/>
    <s v="June"/>
    <s v="2023"/>
    <d v="2023-06-28T00:00:00"/>
    <s v="CUST378"/>
    <x v="0"/>
    <s v="Adult"/>
    <n v="50"/>
    <x v="0"/>
    <n v="1"/>
    <n v="300"/>
    <n v="300"/>
    <n v="4.5"/>
    <n v="6"/>
  </r>
  <r>
    <n v="379"/>
    <n v="5"/>
    <n v="2"/>
    <n v="2023"/>
    <s v="Sunday"/>
    <s v="February"/>
    <s v="2023"/>
    <d v="2023-02-05T00:00:00"/>
    <s v="CUST379"/>
    <x v="1"/>
    <s v="Adult"/>
    <n v="47"/>
    <x v="1"/>
    <n v="1"/>
    <n v="25"/>
    <n v="25"/>
    <n v="0.375"/>
    <n v="0.5"/>
  </r>
  <r>
    <n v="380"/>
    <n v="6"/>
    <n v="5"/>
    <n v="2023"/>
    <s v="Saturday"/>
    <s v="May"/>
    <s v="2023"/>
    <d v="2023-05-06T00:00:00"/>
    <s v="CUST380"/>
    <x v="0"/>
    <s v="Senior"/>
    <n v="56"/>
    <x v="2"/>
    <n v="2"/>
    <n v="300"/>
    <n v="600"/>
    <n v="9"/>
    <n v="12"/>
  </r>
  <r>
    <n v="381"/>
    <n v="9"/>
    <n v="7"/>
    <n v="2023"/>
    <s v="Sunday"/>
    <s v="July"/>
    <s v="2023"/>
    <d v="2023-07-09T00:00:00"/>
    <s v="CUST381"/>
    <x v="1"/>
    <s v="Adult"/>
    <n v="44"/>
    <x v="1"/>
    <n v="4"/>
    <n v="25"/>
    <n v="100"/>
    <n v="1.5"/>
    <n v="2"/>
  </r>
  <r>
    <n v="382"/>
    <n v="26"/>
    <n v="5"/>
    <n v="2023"/>
    <s v="Friday"/>
    <s v="May"/>
    <s v="2023"/>
    <d v="2023-05-26T00:00:00"/>
    <s v="CUST382"/>
    <x v="1"/>
    <s v="Senior"/>
    <n v="53"/>
    <x v="1"/>
    <n v="2"/>
    <n v="500"/>
    <n v="1000"/>
    <n v="15"/>
    <n v="20"/>
  </r>
  <r>
    <n v="383"/>
    <n v="22"/>
    <n v="3"/>
    <n v="2023"/>
    <s v="Wednesday"/>
    <s v="March"/>
    <s v="2023"/>
    <d v="2023-03-22T00:00:00"/>
    <s v="CUST383"/>
    <x v="1"/>
    <s v="Adult"/>
    <n v="46"/>
    <x v="0"/>
    <n v="3"/>
    <n v="30"/>
    <n v="90"/>
    <n v="1.3499999999999999"/>
    <n v="1.8"/>
  </r>
  <r>
    <n v="384"/>
    <n v="13"/>
    <n v="8"/>
    <n v="2023"/>
    <s v="Sunday"/>
    <s v="August"/>
    <s v="2023"/>
    <d v="2023-08-13T00:00:00"/>
    <s v="CUST384"/>
    <x v="0"/>
    <s v="Senior"/>
    <n v="55"/>
    <x v="1"/>
    <n v="1"/>
    <n v="500"/>
    <n v="500"/>
    <n v="7.5"/>
    <n v="10"/>
  </r>
  <r>
    <n v="385"/>
    <n v="6"/>
    <n v="10"/>
    <n v="2023"/>
    <s v="Friday"/>
    <s v="October"/>
    <s v="2023"/>
    <d v="2023-10-06T00:00:00"/>
    <s v="CUST385"/>
    <x v="0"/>
    <s v="Adult"/>
    <n v="50"/>
    <x v="2"/>
    <n v="3"/>
    <n v="500"/>
    <n v="1500"/>
    <n v="22.5"/>
    <n v="30"/>
  </r>
  <r>
    <n v="386"/>
    <n v="27"/>
    <n v="12"/>
    <n v="2023"/>
    <s v="Wednesday"/>
    <s v="December"/>
    <s v="2023"/>
    <d v="2023-12-27T00:00:00"/>
    <s v="CUST386"/>
    <x v="1"/>
    <s v="Senior"/>
    <n v="54"/>
    <x v="2"/>
    <n v="2"/>
    <n v="300"/>
    <n v="600"/>
    <n v="9"/>
    <n v="12"/>
  </r>
  <r>
    <n v="387"/>
    <n v="4"/>
    <n v="6"/>
    <n v="2023"/>
    <s v="Sunday"/>
    <s v="June"/>
    <s v="2023"/>
    <d v="2023-06-04T00:00:00"/>
    <s v="CUST387"/>
    <x v="0"/>
    <s v="Adult"/>
    <n v="44"/>
    <x v="0"/>
    <n v="1"/>
    <n v="30"/>
    <n v="30"/>
    <n v="0.44999999999999996"/>
    <n v="0.6"/>
  </r>
  <r>
    <n v="388"/>
    <n v="10"/>
    <n v="11"/>
    <n v="2023"/>
    <s v="Friday"/>
    <s v="November"/>
    <s v="2023"/>
    <d v="2023-11-10T00:00:00"/>
    <s v="CUST388"/>
    <x v="0"/>
    <s v="Adult"/>
    <n v="50"/>
    <x v="2"/>
    <n v="1"/>
    <n v="25"/>
    <n v="25"/>
    <n v="0.375"/>
    <n v="0.5"/>
  </r>
  <r>
    <n v="389"/>
    <n v="1"/>
    <n v="12"/>
    <n v="2023"/>
    <s v="Friday"/>
    <s v="December"/>
    <s v="2023"/>
    <d v="2023-12-01T00:00:00"/>
    <s v="CUST389"/>
    <x v="0"/>
    <s v="Young Adult"/>
    <n v="21"/>
    <x v="1"/>
    <n v="2"/>
    <n v="25"/>
    <n v="50"/>
    <n v="0.75"/>
    <n v="1"/>
  </r>
  <r>
    <n v="390"/>
    <n v="28"/>
    <n v="9"/>
    <n v="2023"/>
    <s v="Thursday"/>
    <s v="September"/>
    <s v="2023"/>
    <d v="2023-09-28T00:00:00"/>
    <s v="CUST390"/>
    <x v="0"/>
    <s v="Adult"/>
    <n v="39"/>
    <x v="2"/>
    <n v="2"/>
    <n v="50"/>
    <n v="100"/>
    <n v="1.5"/>
    <n v="2"/>
  </r>
  <r>
    <n v="391"/>
    <n v="5"/>
    <n v="1"/>
    <n v="2023"/>
    <s v="Thursday"/>
    <s v="January"/>
    <s v="2023"/>
    <d v="2023-01-05T00:00:00"/>
    <s v="CUST391"/>
    <x v="0"/>
    <s v="Young Adult"/>
    <n v="19"/>
    <x v="0"/>
    <n v="2"/>
    <n v="25"/>
    <n v="50"/>
    <n v="0.75"/>
    <n v="1"/>
  </r>
  <r>
    <n v="392"/>
    <n v="8"/>
    <n v="12"/>
    <n v="2023"/>
    <s v="Friday"/>
    <s v="December"/>
    <s v="2023"/>
    <d v="2023-12-08T00:00:00"/>
    <s v="CUST392"/>
    <x v="0"/>
    <s v="Young Adult"/>
    <n v="27"/>
    <x v="1"/>
    <n v="2"/>
    <n v="300"/>
    <n v="600"/>
    <n v="9"/>
    <n v="12"/>
  </r>
  <r>
    <n v="393"/>
    <n v="11"/>
    <n v="10"/>
    <n v="2023"/>
    <s v="Wednesday"/>
    <s v="October"/>
    <s v="2023"/>
    <d v="2023-10-11T00:00:00"/>
    <s v="CUST393"/>
    <x v="1"/>
    <s v="Young Adult"/>
    <n v="22"/>
    <x v="0"/>
    <n v="2"/>
    <n v="500"/>
    <n v="1000"/>
    <n v="15"/>
    <n v="20"/>
  </r>
  <r>
    <n v="394"/>
    <n v="3"/>
    <n v="6"/>
    <n v="2023"/>
    <s v="Saturday"/>
    <s v="June"/>
    <s v="2023"/>
    <d v="2023-06-03T00:00:00"/>
    <s v="CUST394"/>
    <x v="1"/>
    <s v="Young Adult"/>
    <n v="27"/>
    <x v="1"/>
    <n v="1"/>
    <n v="500"/>
    <n v="500"/>
    <n v="7.5"/>
    <n v="10"/>
  </r>
  <r>
    <n v="395"/>
    <n v="6"/>
    <n v="12"/>
    <n v="2023"/>
    <s v="Wednesday"/>
    <s v="December"/>
    <s v="2023"/>
    <d v="2023-12-06T00:00:00"/>
    <s v="CUST395"/>
    <x v="0"/>
    <s v="Adult"/>
    <n v="50"/>
    <x v="2"/>
    <n v="2"/>
    <n v="500"/>
    <n v="1000"/>
    <n v="15"/>
    <n v="20"/>
  </r>
  <r>
    <n v="396"/>
    <n v="23"/>
    <n v="2"/>
    <n v="2023"/>
    <s v="Thursday"/>
    <s v="February"/>
    <s v="2023"/>
    <d v="2023-02-23T00:00:00"/>
    <s v="CUST396"/>
    <x v="1"/>
    <s v="Senior"/>
    <n v="55"/>
    <x v="0"/>
    <n v="1"/>
    <n v="30"/>
    <n v="30"/>
    <n v="0.44999999999999996"/>
    <n v="0.6"/>
  </r>
  <r>
    <n v="397"/>
    <n v="10"/>
    <n v="3"/>
    <n v="2023"/>
    <s v="Friday"/>
    <s v="March"/>
    <s v="2023"/>
    <d v="2023-03-10T00:00:00"/>
    <s v="CUST397"/>
    <x v="1"/>
    <s v="Adult"/>
    <n v="30"/>
    <x v="0"/>
    <n v="1"/>
    <n v="25"/>
    <n v="25"/>
    <n v="0.375"/>
    <n v="0.5"/>
  </r>
  <r>
    <n v="398"/>
    <n v="16"/>
    <n v="5"/>
    <n v="2023"/>
    <s v="Tuesday"/>
    <s v="May"/>
    <s v="2023"/>
    <d v="2023-05-16T00:00:00"/>
    <s v="CUST398"/>
    <x v="1"/>
    <s v="Adult"/>
    <n v="48"/>
    <x v="1"/>
    <n v="2"/>
    <n v="300"/>
    <n v="600"/>
    <n v="9"/>
    <n v="12"/>
  </r>
  <r>
    <n v="399"/>
    <n v="1"/>
    <n v="3"/>
    <n v="2023"/>
    <s v="Wednesday"/>
    <s v="March"/>
    <s v="2023"/>
    <d v="2023-03-01T00:00:00"/>
    <s v="CUST399"/>
    <x v="1"/>
    <s v="Senior"/>
    <n v="64"/>
    <x v="0"/>
    <n v="2"/>
    <n v="30"/>
    <n v="60"/>
    <n v="0.89999999999999991"/>
    <n v="1.2"/>
  </r>
  <r>
    <n v="400"/>
    <n v="24"/>
    <n v="2"/>
    <n v="2023"/>
    <s v="Friday"/>
    <s v="February"/>
    <s v="2023"/>
    <d v="2023-02-24T00:00:00"/>
    <s v="CUST400"/>
    <x v="0"/>
    <s v="Senior"/>
    <n v="53"/>
    <x v="1"/>
    <n v="4"/>
    <n v="50"/>
    <n v="200"/>
    <n v="3"/>
    <n v="4"/>
  </r>
  <r>
    <n v="401"/>
    <n v="11"/>
    <n v="10"/>
    <n v="2023"/>
    <s v="Wednesday"/>
    <s v="October"/>
    <s v="2023"/>
    <d v="2023-10-11T00:00:00"/>
    <s v="CUST401"/>
    <x v="1"/>
    <s v="Senior"/>
    <n v="62"/>
    <x v="1"/>
    <n v="1"/>
    <n v="300"/>
    <n v="300"/>
    <n v="4.5"/>
    <n v="6"/>
  </r>
  <r>
    <n v="402"/>
    <n v="21"/>
    <n v="3"/>
    <n v="2023"/>
    <s v="Tuesday"/>
    <s v="March"/>
    <s v="2023"/>
    <d v="2023-03-21T00:00:00"/>
    <s v="CUST402"/>
    <x v="1"/>
    <s v="Adult"/>
    <n v="41"/>
    <x v="1"/>
    <n v="2"/>
    <n v="300"/>
    <n v="600"/>
    <n v="9"/>
    <n v="12"/>
  </r>
  <r>
    <n v="403"/>
    <n v="20"/>
    <n v="5"/>
    <n v="2023"/>
    <s v="Saturday"/>
    <s v="May"/>
    <s v="2023"/>
    <d v="2023-05-20T00:00:00"/>
    <s v="CUST403"/>
    <x v="0"/>
    <s v="Adult"/>
    <n v="32"/>
    <x v="1"/>
    <n v="2"/>
    <n v="300"/>
    <n v="600"/>
    <n v="9"/>
    <n v="12"/>
  </r>
  <r>
    <n v="404"/>
    <n v="25"/>
    <n v="5"/>
    <n v="2023"/>
    <s v="Thursday"/>
    <s v="May"/>
    <s v="2023"/>
    <d v="2023-05-25T00:00:00"/>
    <s v="CUST404"/>
    <x v="0"/>
    <s v="Adult"/>
    <n v="46"/>
    <x v="2"/>
    <n v="2"/>
    <n v="500"/>
    <n v="1000"/>
    <n v="15"/>
    <n v="20"/>
  </r>
  <r>
    <n v="405"/>
    <n v="6"/>
    <n v="11"/>
    <n v="2023"/>
    <s v="Monday"/>
    <s v="November"/>
    <s v="2023"/>
    <d v="2023-11-06T00:00:00"/>
    <s v="CUST405"/>
    <x v="1"/>
    <s v="Young Adult"/>
    <n v="25"/>
    <x v="1"/>
    <n v="4"/>
    <n v="300"/>
    <n v="1200"/>
    <n v="18"/>
    <n v="24"/>
  </r>
  <r>
    <n v="406"/>
    <n v="18"/>
    <n v="4"/>
    <n v="2023"/>
    <s v="Tuesday"/>
    <s v="April"/>
    <s v="2023"/>
    <d v="2023-04-18T00:00:00"/>
    <s v="CUST406"/>
    <x v="1"/>
    <s v="Young Adult"/>
    <n v="22"/>
    <x v="0"/>
    <n v="4"/>
    <n v="25"/>
    <n v="100"/>
    <n v="1.5"/>
    <n v="2"/>
  </r>
  <r>
    <n v="407"/>
    <n v="25"/>
    <n v="6"/>
    <n v="2023"/>
    <s v="Sunday"/>
    <s v="June"/>
    <s v="2023"/>
    <d v="2023-06-25T00:00:00"/>
    <s v="CUST407"/>
    <x v="1"/>
    <s v="Adult"/>
    <n v="46"/>
    <x v="2"/>
    <n v="3"/>
    <n v="300"/>
    <n v="900"/>
    <n v="13.5"/>
    <n v="18"/>
  </r>
  <r>
    <n v="408"/>
    <n v="15"/>
    <n v="4"/>
    <n v="2023"/>
    <s v="Saturday"/>
    <s v="April"/>
    <s v="2023"/>
    <d v="2023-04-15T00:00:00"/>
    <s v="CUST408"/>
    <x v="1"/>
    <s v="Senior"/>
    <n v="64"/>
    <x v="0"/>
    <n v="1"/>
    <n v="500"/>
    <n v="500"/>
    <n v="7.5"/>
    <n v="10"/>
  </r>
  <r>
    <n v="409"/>
    <n v="18"/>
    <n v="12"/>
    <n v="2023"/>
    <s v="Monday"/>
    <s v="December"/>
    <s v="2023"/>
    <d v="2023-12-18T00:00:00"/>
    <s v="CUST409"/>
    <x v="1"/>
    <s v="Young Adult"/>
    <n v="21"/>
    <x v="2"/>
    <n v="3"/>
    <n v="300"/>
    <n v="900"/>
    <n v="13.5"/>
    <n v="18"/>
  </r>
  <r>
    <n v="410"/>
    <n v="21"/>
    <n v="11"/>
    <n v="2023"/>
    <s v="Tuesday"/>
    <s v="November"/>
    <s v="2023"/>
    <d v="2023-11-21T00:00:00"/>
    <s v="CUST410"/>
    <x v="1"/>
    <s v="Young Adult"/>
    <n v="29"/>
    <x v="1"/>
    <n v="2"/>
    <n v="50"/>
    <n v="100"/>
    <n v="1.5"/>
    <n v="2"/>
  </r>
  <r>
    <n v="411"/>
    <n v="16"/>
    <n v="5"/>
    <n v="2023"/>
    <s v="Tuesday"/>
    <s v="May"/>
    <s v="2023"/>
    <d v="2023-05-16T00:00:00"/>
    <s v="CUST411"/>
    <x v="0"/>
    <s v="Senior"/>
    <n v="62"/>
    <x v="2"/>
    <n v="4"/>
    <n v="50"/>
    <n v="200"/>
    <n v="3"/>
    <n v="4"/>
  </r>
  <r>
    <n v="412"/>
    <n v="16"/>
    <n v="9"/>
    <n v="2023"/>
    <s v="Saturday"/>
    <s v="September"/>
    <s v="2023"/>
    <d v="2023-09-16T00:00:00"/>
    <s v="CUST412"/>
    <x v="1"/>
    <s v="Young Adult"/>
    <n v="19"/>
    <x v="2"/>
    <n v="4"/>
    <n v="500"/>
    <n v="2000"/>
    <n v="30"/>
    <n v="40"/>
  </r>
  <r>
    <n v="413"/>
    <n v="8"/>
    <n v="9"/>
    <n v="2023"/>
    <s v="Friday"/>
    <s v="September"/>
    <s v="2023"/>
    <d v="2023-09-08T00:00:00"/>
    <s v="CUST413"/>
    <x v="1"/>
    <s v="Adult"/>
    <n v="44"/>
    <x v="0"/>
    <n v="3"/>
    <n v="25"/>
    <n v="75"/>
    <n v="1.125"/>
    <n v="1.5"/>
  </r>
  <r>
    <n v="414"/>
    <n v="9"/>
    <n v="5"/>
    <n v="2023"/>
    <s v="Tuesday"/>
    <s v="May"/>
    <s v="2023"/>
    <d v="2023-05-09T00:00:00"/>
    <s v="CUST414"/>
    <x v="0"/>
    <s v="Adult"/>
    <n v="48"/>
    <x v="0"/>
    <n v="4"/>
    <n v="25"/>
    <n v="100"/>
    <n v="1.5"/>
    <n v="2"/>
  </r>
  <r>
    <n v="415"/>
    <n v="27"/>
    <n v="1"/>
    <n v="2023"/>
    <s v="Friday"/>
    <s v="January"/>
    <s v="2023"/>
    <d v="2023-01-27T00:00:00"/>
    <s v="CUST415"/>
    <x v="0"/>
    <s v="Senior"/>
    <n v="53"/>
    <x v="1"/>
    <n v="2"/>
    <n v="30"/>
    <n v="60"/>
    <n v="0.89999999999999991"/>
    <n v="1.2"/>
  </r>
  <r>
    <n v="416"/>
    <n v="17"/>
    <n v="2"/>
    <n v="2023"/>
    <s v="Friday"/>
    <s v="February"/>
    <s v="2023"/>
    <d v="2023-02-17T00:00:00"/>
    <s v="CUST416"/>
    <x v="0"/>
    <s v="Senior"/>
    <n v="53"/>
    <x v="2"/>
    <n v="4"/>
    <n v="500"/>
    <n v="2000"/>
    <n v="30"/>
    <n v="40"/>
  </r>
  <r>
    <n v="417"/>
    <n v="21"/>
    <n v="11"/>
    <n v="2023"/>
    <s v="Tuesday"/>
    <s v="November"/>
    <s v="2023"/>
    <d v="2023-11-21T00:00:00"/>
    <s v="CUST417"/>
    <x v="0"/>
    <s v="Adult"/>
    <n v="43"/>
    <x v="2"/>
    <n v="3"/>
    <n v="300"/>
    <n v="900"/>
    <n v="13.5"/>
    <n v="18"/>
  </r>
  <r>
    <n v="418"/>
    <n v="5"/>
    <n v="8"/>
    <n v="2023"/>
    <s v="Saturday"/>
    <s v="August"/>
    <s v="2023"/>
    <d v="2023-08-05T00:00:00"/>
    <s v="CUST418"/>
    <x v="1"/>
    <s v="Senior"/>
    <n v="60"/>
    <x v="2"/>
    <n v="2"/>
    <n v="500"/>
    <n v="1000"/>
    <n v="15"/>
    <n v="20"/>
  </r>
  <r>
    <n v="419"/>
    <n v="22"/>
    <n v="5"/>
    <n v="2023"/>
    <s v="Monday"/>
    <s v="May"/>
    <s v="2023"/>
    <d v="2023-05-22T00:00:00"/>
    <s v="CUST419"/>
    <x v="1"/>
    <s v="Adult"/>
    <n v="44"/>
    <x v="1"/>
    <n v="3"/>
    <n v="30"/>
    <n v="90"/>
    <n v="1.3499999999999999"/>
    <n v="1.8"/>
  </r>
  <r>
    <n v="420"/>
    <n v="23"/>
    <n v="1"/>
    <n v="2023"/>
    <s v="Monday"/>
    <s v="January"/>
    <s v="2023"/>
    <d v="2023-01-23T00:00:00"/>
    <s v="CUST420"/>
    <x v="1"/>
    <s v="Young Adult"/>
    <n v="22"/>
    <x v="1"/>
    <n v="4"/>
    <n v="500"/>
    <n v="2000"/>
    <n v="30"/>
    <n v="40"/>
  </r>
  <r>
    <n v="421"/>
    <n v="2"/>
    <n v="1"/>
    <n v="2023"/>
    <s v="Monday"/>
    <s v="January"/>
    <s v="2023"/>
    <d v="2023-01-02T00:00:00"/>
    <s v="CUST421"/>
    <x v="1"/>
    <s v="Adult"/>
    <n v="37"/>
    <x v="1"/>
    <n v="3"/>
    <n v="500"/>
    <n v="1500"/>
    <n v="22.5"/>
    <n v="30"/>
  </r>
  <r>
    <n v="422"/>
    <n v="20"/>
    <n v="6"/>
    <n v="2023"/>
    <s v="Tuesday"/>
    <s v="June"/>
    <s v="2023"/>
    <d v="2023-06-20T00:00:00"/>
    <s v="CUST422"/>
    <x v="1"/>
    <s v="Young Adult"/>
    <n v="28"/>
    <x v="1"/>
    <n v="3"/>
    <n v="30"/>
    <n v="90"/>
    <n v="1.3499999999999999"/>
    <n v="1.8"/>
  </r>
  <r>
    <n v="423"/>
    <n v="8"/>
    <n v="3"/>
    <n v="2023"/>
    <s v="Wednesday"/>
    <s v="March"/>
    <s v="2023"/>
    <d v="2023-03-08T00:00:00"/>
    <s v="CUST423"/>
    <x v="1"/>
    <s v="Young Adult"/>
    <n v="27"/>
    <x v="1"/>
    <n v="1"/>
    <n v="25"/>
    <n v="25"/>
    <n v="0.375"/>
    <n v="0.5"/>
  </r>
  <r>
    <n v="424"/>
    <n v="23"/>
    <n v="11"/>
    <n v="2023"/>
    <s v="Thursday"/>
    <s v="November"/>
    <s v="2023"/>
    <d v="2023-11-23T00:00:00"/>
    <s v="CUST424"/>
    <x v="0"/>
    <s v="Senior"/>
    <n v="57"/>
    <x v="0"/>
    <n v="4"/>
    <n v="300"/>
    <n v="1200"/>
    <n v="18"/>
    <n v="24"/>
  </r>
  <r>
    <n v="425"/>
    <n v="15"/>
    <n v="5"/>
    <n v="2023"/>
    <s v="Monday"/>
    <s v="May"/>
    <s v="2023"/>
    <d v="2023-05-15T00:00:00"/>
    <s v="CUST425"/>
    <x v="1"/>
    <s v="Senior"/>
    <n v="55"/>
    <x v="2"/>
    <n v="4"/>
    <n v="30"/>
    <n v="120"/>
    <n v="1.7999999999999998"/>
    <n v="2.4"/>
  </r>
  <r>
    <n v="426"/>
    <n v="24"/>
    <n v="3"/>
    <n v="2023"/>
    <s v="Friday"/>
    <s v="March"/>
    <s v="2023"/>
    <d v="2023-03-24T00:00:00"/>
    <s v="CUST426"/>
    <x v="0"/>
    <s v="Young Adult"/>
    <n v="23"/>
    <x v="2"/>
    <n v="3"/>
    <n v="50"/>
    <n v="150"/>
    <n v="2.25"/>
    <n v="3"/>
  </r>
  <r>
    <n v="427"/>
    <n v="15"/>
    <n v="8"/>
    <n v="2023"/>
    <s v="Tuesday"/>
    <s v="August"/>
    <s v="2023"/>
    <d v="2023-08-15T00:00:00"/>
    <s v="CUST427"/>
    <x v="0"/>
    <s v="Young Adult"/>
    <n v="25"/>
    <x v="2"/>
    <n v="1"/>
    <n v="25"/>
    <n v="25"/>
    <n v="0.375"/>
    <n v="0.5"/>
  </r>
  <r>
    <n v="428"/>
    <n v="10"/>
    <n v="10"/>
    <n v="2023"/>
    <s v="Tuesday"/>
    <s v="October"/>
    <s v="2023"/>
    <d v="2023-10-10T00:00:00"/>
    <s v="CUST428"/>
    <x v="1"/>
    <s v="Adult"/>
    <n v="40"/>
    <x v="2"/>
    <n v="4"/>
    <n v="50"/>
    <n v="200"/>
    <n v="3"/>
    <n v="4"/>
  </r>
  <r>
    <n v="429"/>
    <n v="28"/>
    <n v="12"/>
    <n v="2023"/>
    <s v="Thursday"/>
    <s v="December"/>
    <s v="2023"/>
    <d v="2023-12-28T00:00:00"/>
    <s v="CUST429"/>
    <x v="0"/>
    <s v="Senior"/>
    <n v="64"/>
    <x v="2"/>
    <n v="2"/>
    <n v="25"/>
    <n v="50"/>
    <n v="0.75"/>
    <n v="1"/>
  </r>
  <r>
    <n v="430"/>
    <n v="7"/>
    <n v="8"/>
    <n v="2023"/>
    <s v="Monday"/>
    <s v="August"/>
    <s v="2023"/>
    <d v="2023-08-07T00:00:00"/>
    <s v="CUST430"/>
    <x v="1"/>
    <s v="Adult"/>
    <n v="43"/>
    <x v="2"/>
    <n v="3"/>
    <n v="300"/>
    <n v="900"/>
    <n v="13.5"/>
    <n v="18"/>
  </r>
  <r>
    <n v="431"/>
    <n v="15"/>
    <n v="10"/>
    <n v="2023"/>
    <s v="Sunday"/>
    <s v="October"/>
    <s v="2023"/>
    <d v="2023-10-15T00:00:00"/>
    <s v="CUST431"/>
    <x v="0"/>
    <s v="Senior"/>
    <n v="63"/>
    <x v="2"/>
    <n v="4"/>
    <n v="300"/>
    <n v="1200"/>
    <n v="18"/>
    <n v="24"/>
  </r>
  <r>
    <n v="432"/>
    <n v="5"/>
    <n v="1"/>
    <n v="2023"/>
    <s v="Thursday"/>
    <s v="January"/>
    <s v="2023"/>
    <d v="2023-01-05T00:00:00"/>
    <s v="CUST432"/>
    <x v="1"/>
    <s v="Senior"/>
    <n v="60"/>
    <x v="2"/>
    <n v="2"/>
    <n v="500"/>
    <n v="1000"/>
    <n v="15"/>
    <n v="20"/>
  </r>
  <r>
    <n v="433"/>
    <n v="27"/>
    <n v="2"/>
    <n v="2023"/>
    <s v="Monday"/>
    <s v="February"/>
    <s v="2023"/>
    <d v="2023-02-27T00:00:00"/>
    <s v="CUST433"/>
    <x v="0"/>
    <s v="Young Adult"/>
    <n v="29"/>
    <x v="0"/>
    <n v="4"/>
    <n v="50"/>
    <n v="200"/>
    <n v="3"/>
    <n v="4"/>
  </r>
  <r>
    <n v="434"/>
    <n v="8"/>
    <n v="2"/>
    <n v="2023"/>
    <s v="Wednesday"/>
    <s v="February"/>
    <s v="2023"/>
    <d v="2023-02-08T00:00:00"/>
    <s v="CUST434"/>
    <x v="1"/>
    <s v="Adult"/>
    <n v="43"/>
    <x v="2"/>
    <n v="2"/>
    <n v="25"/>
    <n v="50"/>
    <n v="0.75"/>
    <n v="1"/>
  </r>
  <r>
    <n v="435"/>
    <n v="20"/>
    <n v="12"/>
    <n v="2023"/>
    <s v="Wednesday"/>
    <s v="December"/>
    <s v="2023"/>
    <d v="2023-12-20T00:00:00"/>
    <s v="CUST435"/>
    <x v="1"/>
    <s v="Adult"/>
    <n v="30"/>
    <x v="0"/>
    <n v="3"/>
    <n v="300"/>
    <n v="900"/>
    <n v="13.5"/>
    <n v="18"/>
  </r>
  <r>
    <n v="436"/>
    <n v="18"/>
    <n v="3"/>
    <n v="2023"/>
    <s v="Saturday"/>
    <s v="March"/>
    <s v="2023"/>
    <d v="2023-03-18T00:00:00"/>
    <s v="CUST436"/>
    <x v="1"/>
    <s v="Senior"/>
    <n v="57"/>
    <x v="1"/>
    <n v="4"/>
    <n v="30"/>
    <n v="120"/>
    <n v="1.7999999999999998"/>
    <n v="2.4"/>
  </r>
  <r>
    <n v="437"/>
    <n v="7"/>
    <n v="10"/>
    <n v="2023"/>
    <s v="Saturday"/>
    <s v="October"/>
    <s v="2023"/>
    <d v="2023-10-07T00:00:00"/>
    <s v="CUST437"/>
    <x v="1"/>
    <s v="Adult"/>
    <n v="35"/>
    <x v="2"/>
    <n v="4"/>
    <n v="300"/>
    <n v="1200"/>
    <n v="18"/>
    <n v="24"/>
  </r>
  <r>
    <n v="438"/>
    <n v="19"/>
    <n v="1"/>
    <n v="2023"/>
    <s v="Thursday"/>
    <s v="January"/>
    <s v="2023"/>
    <d v="2023-01-19T00:00:00"/>
    <s v="CUST438"/>
    <x v="1"/>
    <s v="Adult"/>
    <n v="42"/>
    <x v="1"/>
    <n v="1"/>
    <n v="30"/>
    <n v="30"/>
    <n v="0.44999999999999996"/>
    <n v="0.6"/>
  </r>
  <r>
    <n v="439"/>
    <n v="9"/>
    <n v="7"/>
    <n v="2023"/>
    <s v="Sunday"/>
    <s v="July"/>
    <s v="2023"/>
    <d v="2023-07-09T00:00:00"/>
    <s v="CUST439"/>
    <x v="0"/>
    <s v="Adult"/>
    <n v="50"/>
    <x v="1"/>
    <n v="3"/>
    <n v="25"/>
    <n v="75"/>
    <n v="1.125"/>
    <n v="1.5"/>
  </r>
  <r>
    <n v="440"/>
    <n v="26"/>
    <n v="10"/>
    <n v="2023"/>
    <s v="Thursday"/>
    <s v="October"/>
    <s v="2023"/>
    <d v="2023-10-26T00:00:00"/>
    <s v="CUST440"/>
    <x v="0"/>
    <s v="Senior"/>
    <n v="64"/>
    <x v="1"/>
    <n v="2"/>
    <n v="300"/>
    <n v="600"/>
    <n v="9"/>
    <n v="12"/>
  </r>
  <r>
    <n v="441"/>
    <n v="10"/>
    <n v="10"/>
    <n v="2023"/>
    <s v="Tuesday"/>
    <s v="October"/>
    <s v="2023"/>
    <d v="2023-10-10T00:00:00"/>
    <s v="CUST441"/>
    <x v="0"/>
    <s v="Senior"/>
    <n v="57"/>
    <x v="0"/>
    <n v="4"/>
    <n v="300"/>
    <n v="1200"/>
    <n v="18"/>
    <n v="24"/>
  </r>
  <r>
    <n v="442"/>
    <n v="17"/>
    <n v="3"/>
    <n v="2023"/>
    <s v="Friday"/>
    <s v="March"/>
    <s v="2023"/>
    <d v="2023-03-17T00:00:00"/>
    <s v="CUST442"/>
    <x v="1"/>
    <s v="Senior"/>
    <n v="60"/>
    <x v="1"/>
    <n v="4"/>
    <n v="25"/>
    <n v="100"/>
    <n v="1.5"/>
    <n v="2"/>
  </r>
  <r>
    <n v="443"/>
    <n v="9"/>
    <n v="8"/>
    <n v="2023"/>
    <s v="Wednesday"/>
    <s v="August"/>
    <s v="2023"/>
    <d v="2023-08-09T00:00:00"/>
    <s v="CUST443"/>
    <x v="0"/>
    <s v="Young Adult"/>
    <n v="29"/>
    <x v="1"/>
    <n v="2"/>
    <n v="300"/>
    <n v="600"/>
    <n v="9"/>
    <n v="12"/>
  </r>
  <r>
    <n v="444"/>
    <n v="7"/>
    <n v="3"/>
    <n v="2023"/>
    <s v="Tuesday"/>
    <s v="March"/>
    <s v="2023"/>
    <d v="2023-03-07T00:00:00"/>
    <s v="CUST444"/>
    <x v="1"/>
    <s v="Senior"/>
    <n v="61"/>
    <x v="1"/>
    <n v="3"/>
    <n v="30"/>
    <n v="90"/>
    <n v="1.3499999999999999"/>
    <n v="1.8"/>
  </r>
  <r>
    <n v="445"/>
    <n v="22"/>
    <n v="1"/>
    <n v="2023"/>
    <s v="Sunday"/>
    <s v="January"/>
    <s v="2023"/>
    <d v="2023-01-22T00:00:00"/>
    <s v="CUST445"/>
    <x v="1"/>
    <s v="Senior"/>
    <n v="53"/>
    <x v="2"/>
    <n v="1"/>
    <n v="300"/>
    <n v="300"/>
    <n v="4.5"/>
    <n v="6"/>
  </r>
  <r>
    <n v="446"/>
    <n v="7"/>
    <n v="6"/>
    <n v="2023"/>
    <s v="Wednesday"/>
    <s v="June"/>
    <s v="2023"/>
    <d v="2023-06-07T00:00:00"/>
    <s v="CUST446"/>
    <x v="0"/>
    <s v="Young Adult"/>
    <n v="21"/>
    <x v="2"/>
    <n v="1"/>
    <n v="50"/>
    <n v="50"/>
    <n v="0.75"/>
    <n v="1"/>
  </r>
  <r>
    <n v="447"/>
    <n v="6"/>
    <n v="7"/>
    <n v="2023"/>
    <s v="Thursday"/>
    <s v="July"/>
    <s v="2023"/>
    <d v="2023-07-06T00:00:00"/>
    <s v="CUST447"/>
    <x v="0"/>
    <s v="Young Adult"/>
    <n v="22"/>
    <x v="0"/>
    <n v="4"/>
    <n v="500"/>
    <n v="2000"/>
    <n v="30"/>
    <n v="40"/>
  </r>
  <r>
    <n v="448"/>
    <n v="21"/>
    <n v="1"/>
    <n v="2023"/>
    <s v="Saturday"/>
    <s v="January"/>
    <s v="2023"/>
    <d v="2023-01-21T00:00:00"/>
    <s v="CUST448"/>
    <x v="1"/>
    <s v="Senior"/>
    <n v="54"/>
    <x v="0"/>
    <n v="2"/>
    <n v="30"/>
    <n v="60"/>
    <n v="0.89999999999999991"/>
    <n v="1.2"/>
  </r>
  <r>
    <n v="449"/>
    <n v="3"/>
    <n v="7"/>
    <n v="2023"/>
    <s v="Monday"/>
    <s v="July"/>
    <s v="2023"/>
    <d v="2023-07-03T00:00:00"/>
    <s v="CUST449"/>
    <x v="0"/>
    <s v="Young Adult"/>
    <n v="25"/>
    <x v="2"/>
    <n v="4"/>
    <n v="50"/>
    <n v="200"/>
    <n v="3"/>
    <n v="4"/>
  </r>
  <r>
    <n v="450"/>
    <n v="18"/>
    <n v="4"/>
    <n v="2023"/>
    <s v="Tuesday"/>
    <s v="April"/>
    <s v="2023"/>
    <d v="2023-04-18T00:00:00"/>
    <s v="CUST450"/>
    <x v="1"/>
    <s v="Senior"/>
    <n v="59"/>
    <x v="0"/>
    <n v="2"/>
    <n v="25"/>
    <n v="50"/>
    <n v="0.75"/>
    <n v="1"/>
  </r>
  <r>
    <n v="451"/>
    <n v="16"/>
    <n v="12"/>
    <n v="2023"/>
    <s v="Saturday"/>
    <s v="December"/>
    <s v="2023"/>
    <d v="2023-12-16T00:00:00"/>
    <s v="CUST451"/>
    <x v="1"/>
    <s v="Adult"/>
    <n v="45"/>
    <x v="2"/>
    <n v="1"/>
    <n v="30"/>
    <n v="30"/>
    <n v="0.44999999999999996"/>
    <n v="0.6"/>
  </r>
  <r>
    <n v="452"/>
    <n v="8"/>
    <n v="5"/>
    <n v="2023"/>
    <s v="Monday"/>
    <s v="May"/>
    <s v="2023"/>
    <d v="2023-05-08T00:00:00"/>
    <s v="CUST452"/>
    <x v="1"/>
    <s v="Adult"/>
    <n v="48"/>
    <x v="1"/>
    <n v="3"/>
    <n v="500"/>
    <n v="1500"/>
    <n v="22.5"/>
    <n v="30"/>
  </r>
  <r>
    <n v="453"/>
    <n v="8"/>
    <n v="12"/>
    <n v="2023"/>
    <s v="Friday"/>
    <s v="December"/>
    <s v="2023"/>
    <d v="2023-12-08T00:00:00"/>
    <s v="CUST453"/>
    <x v="1"/>
    <s v="Young Adult"/>
    <n v="26"/>
    <x v="1"/>
    <n v="2"/>
    <n v="500"/>
    <n v="1000"/>
    <n v="15"/>
    <n v="20"/>
  </r>
  <r>
    <n v="454"/>
    <n v="22"/>
    <n v="2"/>
    <n v="2023"/>
    <s v="Wednesday"/>
    <s v="February"/>
    <s v="2023"/>
    <d v="2023-02-22T00:00:00"/>
    <s v="CUST454"/>
    <x v="1"/>
    <s v="Adult"/>
    <n v="46"/>
    <x v="0"/>
    <n v="1"/>
    <n v="25"/>
    <n v="25"/>
    <n v="0.375"/>
    <n v="0.5"/>
  </r>
  <r>
    <n v="455"/>
    <n v="1"/>
    <n v="7"/>
    <n v="2023"/>
    <s v="Saturday"/>
    <s v="July"/>
    <s v="2023"/>
    <d v="2023-07-01T00:00:00"/>
    <s v="CUST455"/>
    <x v="0"/>
    <s v="Adult"/>
    <n v="31"/>
    <x v="2"/>
    <n v="4"/>
    <n v="25"/>
    <n v="100"/>
    <n v="1.5"/>
    <n v="2"/>
  </r>
  <r>
    <n v="456"/>
    <n v="14"/>
    <n v="10"/>
    <n v="2023"/>
    <s v="Saturday"/>
    <s v="October"/>
    <s v="2023"/>
    <d v="2023-10-14T00:00:00"/>
    <s v="CUST456"/>
    <x v="0"/>
    <s v="Senior"/>
    <n v="57"/>
    <x v="2"/>
    <n v="2"/>
    <n v="30"/>
    <n v="60"/>
    <n v="0.89999999999999991"/>
    <n v="1.2"/>
  </r>
  <r>
    <n v="457"/>
    <n v="28"/>
    <n v="7"/>
    <n v="2023"/>
    <s v="Friday"/>
    <s v="July"/>
    <s v="2023"/>
    <d v="2023-07-28T00:00:00"/>
    <s v="CUST457"/>
    <x v="1"/>
    <s v="Senior"/>
    <n v="58"/>
    <x v="0"/>
    <n v="3"/>
    <n v="300"/>
    <n v="900"/>
    <n v="13.5"/>
    <n v="18"/>
  </r>
  <r>
    <n v="458"/>
    <n v="14"/>
    <n v="11"/>
    <n v="2023"/>
    <s v="Tuesday"/>
    <s v="November"/>
    <s v="2023"/>
    <d v="2023-11-14T00:00:00"/>
    <s v="CUST458"/>
    <x v="1"/>
    <s v="Adult"/>
    <n v="39"/>
    <x v="2"/>
    <n v="4"/>
    <n v="25"/>
    <n v="100"/>
    <n v="1.5"/>
    <n v="2"/>
  </r>
  <r>
    <n v="459"/>
    <n v="21"/>
    <n v="3"/>
    <n v="2023"/>
    <s v="Tuesday"/>
    <s v="March"/>
    <s v="2023"/>
    <d v="2023-03-21T00:00:00"/>
    <s v="CUST459"/>
    <x v="0"/>
    <s v="Young Adult"/>
    <n v="28"/>
    <x v="1"/>
    <n v="4"/>
    <n v="300"/>
    <n v="1200"/>
    <n v="18"/>
    <n v="24"/>
  </r>
  <r>
    <n v="460"/>
    <n v="2"/>
    <n v="5"/>
    <n v="2023"/>
    <s v="Tuesday"/>
    <s v="May"/>
    <s v="2023"/>
    <d v="2023-05-02T00:00:00"/>
    <s v="CUST460"/>
    <x v="0"/>
    <s v="Adult"/>
    <n v="40"/>
    <x v="0"/>
    <n v="1"/>
    <n v="50"/>
    <n v="50"/>
    <n v="0.75"/>
    <n v="1"/>
  </r>
  <r>
    <n v="461"/>
    <n v="25"/>
    <n v="3"/>
    <n v="2023"/>
    <s v="Saturday"/>
    <s v="March"/>
    <s v="2023"/>
    <d v="2023-03-25T00:00:00"/>
    <s v="CUST461"/>
    <x v="1"/>
    <s v="Young Adult"/>
    <n v="18"/>
    <x v="0"/>
    <n v="2"/>
    <n v="500"/>
    <n v="1000"/>
    <n v="15"/>
    <n v="20"/>
  </r>
  <r>
    <n v="462"/>
    <n v="1"/>
    <n v="4"/>
    <n v="2023"/>
    <s v="Saturday"/>
    <s v="April"/>
    <s v="2023"/>
    <d v="2023-04-01T00:00:00"/>
    <s v="CUST462"/>
    <x v="0"/>
    <s v="Senior"/>
    <n v="63"/>
    <x v="2"/>
    <n v="4"/>
    <n v="300"/>
    <n v="1200"/>
    <n v="18"/>
    <n v="24"/>
  </r>
  <r>
    <n v="463"/>
    <n v="31"/>
    <n v="7"/>
    <n v="2023"/>
    <s v="Monday"/>
    <s v="July"/>
    <s v="2023"/>
    <d v="2023-07-31T00:00:00"/>
    <s v="CUST463"/>
    <x v="1"/>
    <s v="Senior"/>
    <n v="54"/>
    <x v="0"/>
    <n v="3"/>
    <n v="500"/>
    <n v="1500"/>
    <n v="22.5"/>
    <n v="30"/>
  </r>
  <r>
    <n v="464"/>
    <n v="13"/>
    <n v="1"/>
    <n v="2023"/>
    <s v="Friday"/>
    <s v="January"/>
    <s v="2023"/>
    <d v="2023-01-13T00:00:00"/>
    <s v="CUST464"/>
    <x v="0"/>
    <s v="Adult"/>
    <n v="38"/>
    <x v="2"/>
    <n v="2"/>
    <n v="300"/>
    <n v="600"/>
    <n v="9"/>
    <n v="12"/>
  </r>
  <r>
    <n v="465"/>
    <n v="2"/>
    <n v="4"/>
    <n v="2023"/>
    <s v="Sunday"/>
    <s v="April"/>
    <s v="2023"/>
    <d v="2023-04-02T00:00:00"/>
    <s v="CUST465"/>
    <x v="1"/>
    <s v="Adult"/>
    <n v="43"/>
    <x v="2"/>
    <n v="3"/>
    <n v="50"/>
    <n v="150"/>
    <n v="2.25"/>
    <n v="3"/>
  </r>
  <r>
    <n v="466"/>
    <n v="20"/>
    <n v="6"/>
    <n v="2023"/>
    <s v="Tuesday"/>
    <s v="June"/>
    <s v="2023"/>
    <d v="2023-06-20T00:00:00"/>
    <s v="CUST466"/>
    <x v="0"/>
    <s v="Senior"/>
    <n v="63"/>
    <x v="2"/>
    <n v="4"/>
    <n v="25"/>
    <n v="100"/>
    <n v="1.5"/>
    <n v="2"/>
  </r>
  <r>
    <n v="467"/>
    <n v="30"/>
    <n v="7"/>
    <n v="2023"/>
    <s v="Sunday"/>
    <s v="July"/>
    <s v="2023"/>
    <d v="2023-07-30T00:00:00"/>
    <s v="CUST467"/>
    <x v="1"/>
    <s v="Senior"/>
    <n v="53"/>
    <x v="2"/>
    <n v="3"/>
    <n v="50"/>
    <n v="150"/>
    <n v="2.25"/>
    <n v="3"/>
  </r>
  <r>
    <n v="468"/>
    <n v="9"/>
    <n v="12"/>
    <n v="2023"/>
    <s v="Saturday"/>
    <s v="December"/>
    <s v="2023"/>
    <d v="2023-12-09T00:00:00"/>
    <s v="CUST468"/>
    <x v="0"/>
    <s v="Adult"/>
    <n v="40"/>
    <x v="2"/>
    <n v="1"/>
    <n v="25"/>
    <n v="25"/>
    <n v="0.375"/>
    <n v="0.5"/>
  </r>
  <r>
    <n v="469"/>
    <n v="8"/>
    <n v="5"/>
    <n v="2023"/>
    <s v="Monday"/>
    <s v="May"/>
    <s v="2023"/>
    <d v="2023-05-08T00:00:00"/>
    <s v="CUST469"/>
    <x v="0"/>
    <s v="Young Adult"/>
    <n v="18"/>
    <x v="0"/>
    <n v="3"/>
    <n v="25"/>
    <n v="75"/>
    <n v="1.125"/>
    <n v="1.5"/>
  </r>
  <r>
    <n v="470"/>
    <n v="17"/>
    <n v="5"/>
    <n v="2023"/>
    <s v="Wednesday"/>
    <s v="May"/>
    <s v="2023"/>
    <d v="2023-05-17T00:00:00"/>
    <s v="CUST470"/>
    <x v="1"/>
    <s v="Senior"/>
    <n v="57"/>
    <x v="1"/>
    <n v="2"/>
    <n v="500"/>
    <n v="1000"/>
    <n v="15"/>
    <n v="20"/>
  </r>
  <r>
    <n v="471"/>
    <n v="23"/>
    <n v="3"/>
    <n v="2023"/>
    <s v="Thursday"/>
    <s v="March"/>
    <s v="2023"/>
    <d v="2023-03-23T00:00:00"/>
    <s v="CUST471"/>
    <x v="0"/>
    <s v="Adult"/>
    <n v="32"/>
    <x v="1"/>
    <n v="3"/>
    <n v="50"/>
    <n v="150"/>
    <n v="2.25"/>
    <n v="3"/>
  </r>
  <r>
    <n v="472"/>
    <n v="26"/>
    <n v="12"/>
    <n v="2023"/>
    <s v="Tuesday"/>
    <s v="December"/>
    <s v="2023"/>
    <d v="2023-12-26T00:00:00"/>
    <s v="CUST472"/>
    <x v="1"/>
    <s v="Adult"/>
    <n v="38"/>
    <x v="0"/>
    <n v="3"/>
    <n v="300"/>
    <n v="900"/>
    <n v="13.5"/>
    <n v="18"/>
  </r>
  <r>
    <n v="473"/>
    <n v="25"/>
    <n v="2"/>
    <n v="2023"/>
    <s v="Saturday"/>
    <s v="February"/>
    <s v="2023"/>
    <d v="2023-02-25T00:00:00"/>
    <s v="CUST473"/>
    <x v="0"/>
    <s v="Senior"/>
    <n v="64"/>
    <x v="0"/>
    <n v="1"/>
    <n v="50"/>
    <n v="50"/>
    <n v="0.75"/>
    <n v="1"/>
  </r>
  <r>
    <n v="474"/>
    <n v="15"/>
    <n v="7"/>
    <n v="2023"/>
    <s v="Saturday"/>
    <s v="July"/>
    <s v="2023"/>
    <d v="2023-07-15T00:00:00"/>
    <s v="CUST474"/>
    <x v="1"/>
    <s v="Young Adult"/>
    <n v="26"/>
    <x v="1"/>
    <n v="3"/>
    <n v="500"/>
    <n v="1500"/>
    <n v="22.5"/>
    <n v="30"/>
  </r>
  <r>
    <n v="475"/>
    <n v="20"/>
    <n v="1"/>
    <n v="2023"/>
    <s v="Friday"/>
    <s v="January"/>
    <s v="2023"/>
    <d v="2023-01-20T00:00:00"/>
    <s v="CUST475"/>
    <x v="0"/>
    <s v="Young Adult"/>
    <n v="26"/>
    <x v="1"/>
    <n v="3"/>
    <n v="25"/>
    <n v="75"/>
    <n v="1.125"/>
    <n v="1.5"/>
  </r>
  <r>
    <n v="476"/>
    <n v="29"/>
    <n v="8"/>
    <n v="2023"/>
    <s v="Tuesday"/>
    <s v="August"/>
    <s v="2023"/>
    <d v="2023-08-29T00:00:00"/>
    <s v="CUST476"/>
    <x v="1"/>
    <s v="Young Adult"/>
    <n v="27"/>
    <x v="1"/>
    <n v="4"/>
    <n v="500"/>
    <n v="2000"/>
    <n v="30"/>
    <n v="40"/>
  </r>
  <r>
    <n v="477"/>
    <n v="24"/>
    <n v="4"/>
    <n v="2023"/>
    <s v="Monday"/>
    <s v="April"/>
    <s v="2023"/>
    <d v="2023-04-24T00:00:00"/>
    <s v="CUST477"/>
    <x v="0"/>
    <s v="Adult"/>
    <n v="43"/>
    <x v="1"/>
    <n v="4"/>
    <n v="30"/>
    <n v="120"/>
    <n v="1.7999999999999998"/>
    <n v="2.4"/>
  </r>
  <r>
    <n v="478"/>
    <n v="13"/>
    <n v="4"/>
    <n v="2023"/>
    <s v="Thursday"/>
    <s v="April"/>
    <s v="2023"/>
    <d v="2023-04-13T00:00:00"/>
    <s v="CUST478"/>
    <x v="1"/>
    <s v="Senior"/>
    <n v="58"/>
    <x v="1"/>
    <n v="2"/>
    <n v="30"/>
    <n v="60"/>
    <n v="0.89999999999999991"/>
    <n v="1.2"/>
  </r>
  <r>
    <n v="479"/>
    <n v="24"/>
    <n v="8"/>
    <n v="2023"/>
    <s v="Thursday"/>
    <s v="August"/>
    <s v="2023"/>
    <d v="2023-08-24T00:00:00"/>
    <s v="CUST479"/>
    <x v="0"/>
    <s v="Senior"/>
    <n v="52"/>
    <x v="2"/>
    <n v="4"/>
    <n v="300"/>
    <n v="1200"/>
    <n v="18"/>
    <n v="24"/>
  </r>
  <r>
    <n v="480"/>
    <n v="29"/>
    <n v="6"/>
    <n v="2023"/>
    <s v="Thursday"/>
    <s v="June"/>
    <s v="2023"/>
    <d v="2023-06-29T00:00:00"/>
    <s v="CUST480"/>
    <x v="1"/>
    <s v="Adult"/>
    <n v="42"/>
    <x v="0"/>
    <n v="4"/>
    <n v="500"/>
    <n v="2000"/>
    <n v="30"/>
    <n v="40"/>
  </r>
  <r>
    <n v="481"/>
    <n v="6"/>
    <n v="6"/>
    <n v="2023"/>
    <s v="Tuesday"/>
    <s v="June"/>
    <s v="2023"/>
    <d v="2023-06-06T00:00:00"/>
    <s v="CUST481"/>
    <x v="1"/>
    <s v="Adult"/>
    <n v="43"/>
    <x v="2"/>
    <n v="4"/>
    <n v="300"/>
    <n v="1200"/>
    <n v="18"/>
    <n v="24"/>
  </r>
  <r>
    <n v="482"/>
    <n v="27"/>
    <n v="4"/>
    <n v="2023"/>
    <s v="Thursday"/>
    <s v="April"/>
    <s v="2023"/>
    <d v="2023-04-27T00:00:00"/>
    <s v="CUST482"/>
    <x v="1"/>
    <s v="Young Adult"/>
    <n v="28"/>
    <x v="1"/>
    <n v="4"/>
    <n v="300"/>
    <n v="1200"/>
    <n v="18"/>
    <n v="24"/>
  </r>
  <r>
    <n v="483"/>
    <n v="25"/>
    <n v="4"/>
    <n v="2023"/>
    <s v="Tuesday"/>
    <s v="April"/>
    <s v="2023"/>
    <d v="2023-04-25T00:00:00"/>
    <s v="CUST483"/>
    <x v="0"/>
    <s v="Senior"/>
    <n v="55"/>
    <x v="1"/>
    <n v="1"/>
    <n v="30"/>
    <n v="30"/>
    <n v="0.44999999999999996"/>
    <n v="0.6"/>
  </r>
  <r>
    <n v="484"/>
    <n v="13"/>
    <n v="1"/>
    <n v="2023"/>
    <s v="Friday"/>
    <s v="January"/>
    <s v="2023"/>
    <d v="2023-01-13T00:00:00"/>
    <s v="CUST484"/>
    <x v="1"/>
    <s v="Young Adult"/>
    <n v="19"/>
    <x v="1"/>
    <n v="4"/>
    <n v="300"/>
    <n v="1200"/>
    <n v="18"/>
    <n v="24"/>
  </r>
  <r>
    <n v="485"/>
    <n v="4"/>
    <n v="12"/>
    <n v="2023"/>
    <s v="Monday"/>
    <s v="December"/>
    <s v="2023"/>
    <d v="2023-12-04T00:00:00"/>
    <s v="CUST485"/>
    <x v="0"/>
    <s v="Young Adult"/>
    <n v="24"/>
    <x v="2"/>
    <n v="1"/>
    <n v="30"/>
    <n v="30"/>
    <n v="0.44999999999999996"/>
    <n v="0.6"/>
  </r>
  <r>
    <n v="486"/>
    <n v="9"/>
    <n v="4"/>
    <n v="2023"/>
    <s v="Sunday"/>
    <s v="April"/>
    <s v="2023"/>
    <d v="2023-04-09T00:00:00"/>
    <s v="CUST486"/>
    <x v="1"/>
    <s v="Adult"/>
    <n v="35"/>
    <x v="2"/>
    <n v="1"/>
    <n v="25"/>
    <n v="25"/>
    <n v="0.375"/>
    <n v="0.5"/>
  </r>
  <r>
    <n v="487"/>
    <n v="24"/>
    <n v="7"/>
    <n v="2023"/>
    <s v="Monday"/>
    <s v="July"/>
    <s v="2023"/>
    <d v="2023-07-24T00:00:00"/>
    <s v="CUST487"/>
    <x v="0"/>
    <s v="Adult"/>
    <n v="44"/>
    <x v="1"/>
    <n v="4"/>
    <n v="500"/>
    <n v="2000"/>
    <n v="30"/>
    <n v="40"/>
  </r>
  <r>
    <n v="488"/>
    <n v="18"/>
    <n v="6"/>
    <n v="2023"/>
    <s v="Sunday"/>
    <s v="June"/>
    <s v="2023"/>
    <d v="2023-06-18T00:00:00"/>
    <s v="CUST488"/>
    <x v="1"/>
    <s v="Senior"/>
    <n v="51"/>
    <x v="2"/>
    <n v="3"/>
    <n v="300"/>
    <n v="900"/>
    <n v="13.5"/>
    <n v="18"/>
  </r>
  <r>
    <n v="489"/>
    <n v="23"/>
    <n v="5"/>
    <n v="2023"/>
    <s v="Tuesday"/>
    <s v="May"/>
    <s v="2023"/>
    <d v="2023-05-23T00:00:00"/>
    <s v="CUST489"/>
    <x v="0"/>
    <s v="Adult"/>
    <n v="44"/>
    <x v="2"/>
    <n v="1"/>
    <n v="30"/>
    <n v="30"/>
    <n v="0.44999999999999996"/>
    <n v="0.6"/>
  </r>
  <r>
    <n v="490"/>
    <n v="5"/>
    <n v="2"/>
    <n v="2023"/>
    <s v="Sunday"/>
    <s v="February"/>
    <s v="2023"/>
    <d v="2023-02-05T00:00:00"/>
    <s v="CUST490"/>
    <x v="0"/>
    <s v="Adult"/>
    <n v="34"/>
    <x v="1"/>
    <n v="3"/>
    <n v="50"/>
    <n v="150"/>
    <n v="2.25"/>
    <n v="3"/>
  </r>
  <r>
    <n v="491"/>
    <n v="23"/>
    <n v="5"/>
    <n v="2023"/>
    <s v="Tuesday"/>
    <s v="May"/>
    <s v="2023"/>
    <d v="2023-05-23T00:00:00"/>
    <s v="CUST491"/>
    <x v="1"/>
    <s v="Senior"/>
    <n v="60"/>
    <x v="2"/>
    <n v="3"/>
    <n v="300"/>
    <n v="900"/>
    <n v="13.5"/>
    <n v="18"/>
  </r>
  <r>
    <n v="492"/>
    <n v="29"/>
    <n v="6"/>
    <n v="2023"/>
    <s v="Thursday"/>
    <s v="June"/>
    <s v="2023"/>
    <d v="2023-06-29T00:00:00"/>
    <s v="CUST492"/>
    <x v="0"/>
    <s v="Senior"/>
    <n v="61"/>
    <x v="0"/>
    <n v="4"/>
    <n v="25"/>
    <n v="100"/>
    <n v="1.5"/>
    <n v="2"/>
  </r>
  <r>
    <n v="493"/>
    <n v="25"/>
    <n v="11"/>
    <n v="2023"/>
    <s v="Saturday"/>
    <s v="November"/>
    <s v="2023"/>
    <d v="2023-11-25T00:00:00"/>
    <s v="CUST493"/>
    <x v="0"/>
    <s v="Adult"/>
    <n v="41"/>
    <x v="0"/>
    <n v="2"/>
    <n v="25"/>
    <n v="50"/>
    <n v="0.75"/>
    <n v="1"/>
  </r>
  <r>
    <n v="494"/>
    <n v="18"/>
    <n v="9"/>
    <n v="2023"/>
    <s v="Monday"/>
    <s v="September"/>
    <s v="2023"/>
    <d v="2023-09-18T00:00:00"/>
    <s v="CUST494"/>
    <x v="1"/>
    <s v="Adult"/>
    <n v="42"/>
    <x v="0"/>
    <n v="4"/>
    <n v="50"/>
    <n v="200"/>
    <n v="3"/>
    <n v="4"/>
  </r>
  <r>
    <n v="495"/>
    <n v="24"/>
    <n v="7"/>
    <n v="2023"/>
    <s v="Monday"/>
    <s v="July"/>
    <s v="2023"/>
    <d v="2023-07-24T00:00:00"/>
    <s v="CUST495"/>
    <x v="0"/>
    <s v="Young Adult"/>
    <n v="24"/>
    <x v="0"/>
    <n v="2"/>
    <n v="30"/>
    <n v="60"/>
    <n v="0.89999999999999991"/>
    <n v="1.2"/>
  </r>
  <r>
    <n v="496"/>
    <n v="14"/>
    <n v="12"/>
    <n v="2023"/>
    <s v="Thursday"/>
    <s v="December"/>
    <s v="2023"/>
    <d v="2023-12-14T00:00:00"/>
    <s v="CUST496"/>
    <x v="0"/>
    <s v="Young Adult"/>
    <n v="23"/>
    <x v="1"/>
    <n v="2"/>
    <n v="300"/>
    <n v="600"/>
    <n v="9"/>
    <n v="12"/>
  </r>
  <r>
    <n v="497"/>
    <n v="2"/>
    <n v="10"/>
    <n v="2023"/>
    <s v="Monday"/>
    <s v="October"/>
    <s v="2023"/>
    <d v="2023-10-02T00:00:00"/>
    <s v="CUST497"/>
    <x v="0"/>
    <s v="Adult"/>
    <n v="41"/>
    <x v="1"/>
    <n v="4"/>
    <n v="30"/>
    <n v="120"/>
    <n v="1.7999999999999998"/>
    <n v="2.4"/>
  </r>
  <r>
    <n v="498"/>
    <n v="19"/>
    <n v="6"/>
    <n v="2023"/>
    <s v="Monday"/>
    <s v="June"/>
    <s v="2023"/>
    <d v="2023-06-19T00:00:00"/>
    <s v="CUST498"/>
    <x v="1"/>
    <s v="Adult"/>
    <n v="50"/>
    <x v="1"/>
    <n v="4"/>
    <n v="25"/>
    <n v="100"/>
    <n v="1.5"/>
    <n v="2"/>
  </r>
  <r>
    <n v="499"/>
    <n v="15"/>
    <n v="1"/>
    <n v="2023"/>
    <s v="Sunday"/>
    <s v="January"/>
    <s v="2023"/>
    <d v="2023-01-15T00:00:00"/>
    <s v="CUST499"/>
    <x v="0"/>
    <s v="Adult"/>
    <n v="46"/>
    <x v="0"/>
    <n v="2"/>
    <n v="30"/>
    <n v="60"/>
    <n v="0.89999999999999991"/>
    <n v="1.2"/>
  </r>
  <r>
    <n v="500"/>
    <n v="1"/>
    <n v="3"/>
    <n v="2023"/>
    <s v="Wednesday"/>
    <s v="March"/>
    <s v="2023"/>
    <d v="2023-03-01T00:00:00"/>
    <s v="CUST500"/>
    <x v="1"/>
    <s v="Senior"/>
    <n v="60"/>
    <x v="0"/>
    <n v="4"/>
    <n v="25"/>
    <n v="100"/>
    <n v="1.5"/>
    <n v="2"/>
  </r>
  <r>
    <n v="501"/>
    <n v="14"/>
    <n v="5"/>
    <n v="2023"/>
    <s v="Sunday"/>
    <s v="May"/>
    <s v="2023"/>
    <d v="2023-05-14T00:00:00"/>
    <s v="CUST501"/>
    <x v="0"/>
    <s v="Adult"/>
    <n v="39"/>
    <x v="2"/>
    <n v="2"/>
    <n v="30"/>
    <n v="60"/>
    <n v="0.89999999999999991"/>
    <n v="1.2"/>
  </r>
  <r>
    <n v="502"/>
    <n v="2"/>
    <n v="4"/>
    <n v="2023"/>
    <s v="Sunday"/>
    <s v="April"/>
    <s v="2023"/>
    <d v="2023-04-02T00:00:00"/>
    <s v="CUST502"/>
    <x v="0"/>
    <s v="Adult"/>
    <n v="43"/>
    <x v="2"/>
    <n v="3"/>
    <n v="50"/>
    <n v="150"/>
    <n v="2.25"/>
    <n v="3"/>
  </r>
  <r>
    <n v="503"/>
    <n v="25"/>
    <n v="10"/>
    <n v="2023"/>
    <s v="Wednesday"/>
    <s v="October"/>
    <s v="2023"/>
    <d v="2023-10-25T00:00:00"/>
    <s v="CUST503"/>
    <x v="0"/>
    <s v="Adult"/>
    <n v="45"/>
    <x v="0"/>
    <n v="4"/>
    <n v="500"/>
    <n v="2000"/>
    <n v="30"/>
    <n v="40"/>
  </r>
  <r>
    <n v="504"/>
    <n v="16"/>
    <n v="5"/>
    <n v="2023"/>
    <s v="Tuesday"/>
    <s v="May"/>
    <s v="2023"/>
    <d v="2023-05-16T00:00:00"/>
    <s v="CUST504"/>
    <x v="1"/>
    <s v="Adult"/>
    <n v="38"/>
    <x v="0"/>
    <n v="3"/>
    <n v="50"/>
    <n v="150"/>
    <n v="2.25"/>
    <n v="3"/>
  </r>
  <r>
    <n v="505"/>
    <n v="20"/>
    <n v="1"/>
    <n v="2023"/>
    <s v="Friday"/>
    <s v="January"/>
    <s v="2023"/>
    <d v="2023-01-20T00:00:00"/>
    <s v="CUST505"/>
    <x v="0"/>
    <s v="Young Adult"/>
    <n v="24"/>
    <x v="0"/>
    <n v="1"/>
    <n v="50"/>
    <n v="50"/>
    <n v="0.75"/>
    <n v="1"/>
  </r>
  <r>
    <n v="506"/>
    <n v="25"/>
    <n v="2"/>
    <n v="2023"/>
    <s v="Saturday"/>
    <s v="February"/>
    <s v="2023"/>
    <d v="2023-02-25T00:00:00"/>
    <s v="CUST506"/>
    <x v="0"/>
    <s v="Adult"/>
    <n v="34"/>
    <x v="0"/>
    <n v="3"/>
    <n v="500"/>
    <n v="1500"/>
    <n v="22.5"/>
    <n v="30"/>
  </r>
  <r>
    <n v="507"/>
    <n v="2"/>
    <n v="11"/>
    <n v="2023"/>
    <s v="Thursday"/>
    <s v="November"/>
    <s v="2023"/>
    <d v="2023-11-02T00:00:00"/>
    <s v="CUST507"/>
    <x v="1"/>
    <s v="Adult"/>
    <n v="37"/>
    <x v="2"/>
    <n v="3"/>
    <n v="500"/>
    <n v="1500"/>
    <n v="22.5"/>
    <n v="30"/>
  </r>
  <r>
    <n v="508"/>
    <n v="11"/>
    <n v="8"/>
    <n v="2023"/>
    <s v="Friday"/>
    <s v="August"/>
    <s v="2023"/>
    <d v="2023-08-11T00:00:00"/>
    <s v="CUST508"/>
    <x v="0"/>
    <s v="Senior"/>
    <n v="58"/>
    <x v="0"/>
    <n v="2"/>
    <n v="300"/>
    <n v="600"/>
    <n v="9"/>
    <n v="12"/>
  </r>
  <r>
    <n v="509"/>
    <n v="26"/>
    <n v="6"/>
    <n v="2023"/>
    <s v="Monday"/>
    <s v="June"/>
    <s v="2023"/>
    <d v="2023-06-26T00:00:00"/>
    <s v="CUST509"/>
    <x v="1"/>
    <s v="Adult"/>
    <n v="37"/>
    <x v="2"/>
    <n v="3"/>
    <n v="300"/>
    <n v="900"/>
    <n v="13.5"/>
    <n v="18"/>
  </r>
  <r>
    <n v="510"/>
    <n v="10"/>
    <n v="6"/>
    <n v="2023"/>
    <s v="Saturday"/>
    <s v="June"/>
    <s v="2023"/>
    <d v="2023-06-10T00:00:00"/>
    <s v="CUST510"/>
    <x v="1"/>
    <s v="Adult"/>
    <n v="39"/>
    <x v="0"/>
    <n v="4"/>
    <n v="50"/>
    <n v="200"/>
    <n v="3"/>
    <n v="4"/>
  </r>
  <r>
    <n v="511"/>
    <n v="12"/>
    <n v="8"/>
    <n v="2023"/>
    <s v="Saturday"/>
    <s v="August"/>
    <s v="2023"/>
    <d v="2023-08-12T00:00:00"/>
    <s v="CUST511"/>
    <x v="0"/>
    <s v="Adult"/>
    <n v="45"/>
    <x v="0"/>
    <n v="2"/>
    <n v="50"/>
    <n v="100"/>
    <n v="1.5"/>
    <n v="2"/>
  </r>
  <r>
    <n v="512"/>
    <n v="7"/>
    <n v="11"/>
    <n v="2023"/>
    <s v="Tuesday"/>
    <s v="November"/>
    <s v="2023"/>
    <d v="2023-11-07T00:00:00"/>
    <s v="CUST512"/>
    <x v="1"/>
    <s v="Senior"/>
    <n v="57"/>
    <x v="0"/>
    <n v="1"/>
    <n v="25"/>
    <n v="25"/>
    <n v="0.375"/>
    <n v="0.5"/>
  </r>
  <r>
    <n v="513"/>
    <n v="19"/>
    <n v="9"/>
    <n v="2023"/>
    <s v="Tuesday"/>
    <s v="September"/>
    <s v="2023"/>
    <d v="2023-09-19T00:00:00"/>
    <s v="CUST513"/>
    <x v="0"/>
    <s v="Young Adult"/>
    <n v="24"/>
    <x v="2"/>
    <n v="4"/>
    <n v="25"/>
    <n v="100"/>
    <n v="1.5"/>
    <n v="2"/>
  </r>
  <r>
    <n v="514"/>
    <n v="1"/>
    <n v="3"/>
    <n v="2023"/>
    <s v="Wednesday"/>
    <s v="March"/>
    <s v="2023"/>
    <d v="2023-03-01T00:00:00"/>
    <s v="CUST514"/>
    <x v="1"/>
    <s v="Young Adult"/>
    <n v="18"/>
    <x v="2"/>
    <n v="1"/>
    <n v="300"/>
    <n v="300"/>
    <n v="4.5"/>
    <n v="6"/>
  </r>
  <r>
    <n v="515"/>
    <n v="17"/>
    <n v="7"/>
    <n v="2023"/>
    <s v="Monday"/>
    <s v="July"/>
    <s v="2023"/>
    <d v="2023-07-17T00:00:00"/>
    <s v="CUST515"/>
    <x v="1"/>
    <s v="Adult"/>
    <n v="49"/>
    <x v="1"/>
    <n v="3"/>
    <n v="300"/>
    <n v="900"/>
    <n v="13.5"/>
    <n v="18"/>
  </r>
  <r>
    <n v="516"/>
    <n v="23"/>
    <n v="10"/>
    <n v="2023"/>
    <s v="Monday"/>
    <s v="October"/>
    <s v="2023"/>
    <d v="2023-10-23T00:00:00"/>
    <s v="CUST516"/>
    <x v="0"/>
    <s v="Adult"/>
    <n v="30"/>
    <x v="0"/>
    <n v="4"/>
    <n v="25"/>
    <n v="100"/>
    <n v="1.5"/>
    <n v="2"/>
  </r>
  <r>
    <n v="517"/>
    <n v="8"/>
    <n v="4"/>
    <n v="2023"/>
    <s v="Saturday"/>
    <s v="April"/>
    <s v="2023"/>
    <d v="2023-04-08T00:00:00"/>
    <s v="CUST517"/>
    <x v="1"/>
    <s v="Adult"/>
    <n v="47"/>
    <x v="1"/>
    <n v="4"/>
    <n v="25"/>
    <n v="100"/>
    <n v="1.5"/>
    <n v="2"/>
  </r>
  <r>
    <n v="518"/>
    <n v="11"/>
    <n v="5"/>
    <n v="2023"/>
    <s v="Thursday"/>
    <s v="May"/>
    <s v="2023"/>
    <d v="2023-05-11T00:00:00"/>
    <s v="CUST518"/>
    <x v="1"/>
    <s v="Adult"/>
    <n v="40"/>
    <x v="1"/>
    <n v="1"/>
    <n v="30"/>
    <n v="30"/>
    <n v="0.44999999999999996"/>
    <n v="0.6"/>
  </r>
  <r>
    <n v="519"/>
    <n v="23"/>
    <n v="1"/>
    <n v="2023"/>
    <s v="Monday"/>
    <s v="January"/>
    <s v="2023"/>
    <d v="2023-01-23T00:00:00"/>
    <s v="CUST519"/>
    <x v="1"/>
    <s v="Adult"/>
    <n v="36"/>
    <x v="2"/>
    <n v="4"/>
    <n v="30"/>
    <n v="120"/>
    <n v="1.7999999999999998"/>
    <n v="2.4"/>
  </r>
  <r>
    <n v="520"/>
    <n v="29"/>
    <n v="12"/>
    <n v="2023"/>
    <s v="Friday"/>
    <s v="December"/>
    <s v="2023"/>
    <d v="2023-12-29T00:00:00"/>
    <s v="CUST520"/>
    <x v="1"/>
    <s v="Adult"/>
    <n v="49"/>
    <x v="2"/>
    <n v="4"/>
    <n v="25"/>
    <n v="100"/>
    <e v="#REF!"/>
    <e v="#REF!"/>
  </r>
  <r>
    <n v="521"/>
    <n v="12"/>
    <n v="8"/>
    <n v="2023"/>
    <s v="Saturday"/>
    <s v="August"/>
    <s v="2023"/>
    <d v="2023-08-12T00:00:00"/>
    <s v="CUST521"/>
    <x v="1"/>
    <s v="Adult"/>
    <n v="47"/>
    <x v="1"/>
    <n v="4"/>
    <n v="30"/>
    <n v="120"/>
    <e v="#REF!"/>
    <e v="#REF!"/>
  </r>
  <r>
    <n v="522"/>
    <n v="1"/>
    <n v="1"/>
    <n v="2023"/>
    <s v="Sunday"/>
    <s v="January"/>
    <s v="2023"/>
    <d v="2023-01-01T00:00:00"/>
    <s v="CUST522"/>
    <x v="0"/>
    <s v="Adult"/>
    <n v="46"/>
    <x v="0"/>
    <n v="3"/>
    <n v="500"/>
    <n v="1500"/>
    <n v="22.5"/>
    <n v="30"/>
  </r>
  <r>
    <n v="523"/>
    <n v="24"/>
    <n v="9"/>
    <n v="2023"/>
    <s v="Sunday"/>
    <s v="September"/>
    <s v="2023"/>
    <d v="2023-09-24T00:00:00"/>
    <s v="CUST523"/>
    <x v="1"/>
    <s v="Senior"/>
    <n v="62"/>
    <x v="2"/>
    <n v="1"/>
    <n v="300"/>
    <n v="300"/>
    <e v="#REF!"/>
    <e v="#REF!"/>
  </r>
  <r>
    <n v="524"/>
    <n v="3"/>
    <n v="10"/>
    <n v="2023"/>
    <s v="Tuesday"/>
    <s v="October"/>
    <s v="2023"/>
    <d v="2023-10-03T00:00:00"/>
    <s v="CUST524"/>
    <x v="0"/>
    <s v="Adult"/>
    <n v="46"/>
    <x v="0"/>
    <n v="4"/>
    <n v="300"/>
    <n v="1200"/>
    <n v="18"/>
    <n v="24"/>
  </r>
  <r>
    <n v="525"/>
    <n v="18"/>
    <n v="12"/>
    <n v="2023"/>
    <s v="Monday"/>
    <s v="December"/>
    <s v="2023"/>
    <d v="2023-12-18T00:00:00"/>
    <s v="CUST525"/>
    <x v="1"/>
    <s v="Adult"/>
    <n v="47"/>
    <x v="0"/>
    <n v="2"/>
    <n v="25"/>
    <n v="50"/>
    <n v="0.75"/>
    <n v="1"/>
  </r>
  <r>
    <n v="526"/>
    <n v="10"/>
    <n v="12"/>
    <n v="2023"/>
    <s v="Sunday"/>
    <s v="December"/>
    <s v="2023"/>
    <d v="2023-12-10T00:00:00"/>
    <s v="CUST526"/>
    <x v="0"/>
    <s v="Adult"/>
    <n v="33"/>
    <x v="1"/>
    <n v="2"/>
    <n v="50"/>
    <n v="100"/>
    <e v="#REF!"/>
    <e v="#REF!"/>
  </r>
  <r>
    <n v="527"/>
    <n v="11"/>
    <n v="4"/>
    <n v="2023"/>
    <s v="Tuesday"/>
    <s v="April"/>
    <s v="2023"/>
    <d v="2023-04-11T00:00:00"/>
    <s v="CUST527"/>
    <x v="0"/>
    <s v="Senior"/>
    <n v="57"/>
    <x v="1"/>
    <n v="2"/>
    <n v="25"/>
    <n v="50"/>
    <e v="#REF!"/>
    <e v="#REF!"/>
  </r>
  <r>
    <n v="528"/>
    <n v="6"/>
    <n v="7"/>
    <n v="2023"/>
    <s v="Thursday"/>
    <s v="July"/>
    <s v="2023"/>
    <d v="2023-07-06T00:00:00"/>
    <s v="CUST528"/>
    <x v="1"/>
    <s v="Adult"/>
    <n v="36"/>
    <x v="1"/>
    <n v="2"/>
    <n v="30"/>
    <n v="60"/>
    <e v="#REF!"/>
    <e v="#REF!"/>
  </r>
  <r>
    <n v="529"/>
    <n v="9"/>
    <n v="8"/>
    <n v="2023"/>
    <s v="Wednesday"/>
    <s v="August"/>
    <s v="2023"/>
    <d v="2023-08-09T00:00:00"/>
    <s v="CUST529"/>
    <x v="1"/>
    <s v="Adult"/>
    <n v="35"/>
    <x v="1"/>
    <n v="3"/>
    <n v="50"/>
    <n v="150"/>
    <e v="#REF!"/>
    <e v="#REF!"/>
  </r>
  <r>
    <n v="530"/>
    <n v="5"/>
    <n v="2"/>
    <n v="2023"/>
    <s v="Sunday"/>
    <s v="February"/>
    <s v="2023"/>
    <d v="2023-02-05T00:00:00"/>
    <s v="CUST530"/>
    <x v="1"/>
    <s v="Young Adult"/>
    <n v="18"/>
    <x v="2"/>
    <n v="4"/>
    <n v="30"/>
    <n v="120"/>
    <e v="#REF!"/>
    <e v="#REF!"/>
  </r>
  <r>
    <n v="531"/>
    <n v="7"/>
    <n v="12"/>
    <n v="2023"/>
    <s v="Thursday"/>
    <s v="December"/>
    <s v="2023"/>
    <d v="2023-12-07T00:00:00"/>
    <s v="CUST531"/>
    <x v="0"/>
    <s v="Adult"/>
    <n v="31"/>
    <x v="2"/>
    <n v="1"/>
    <n v="500"/>
    <n v="500"/>
    <e v="#REF!"/>
    <e v="#REF!"/>
  </r>
  <r>
    <n v="532"/>
    <n v="19"/>
    <n v="6"/>
    <n v="2023"/>
    <s v="Monday"/>
    <s v="June"/>
    <s v="2023"/>
    <d v="2023-06-19T00:00:00"/>
    <s v="CUST532"/>
    <x v="1"/>
    <s v="Senior"/>
    <n v="64"/>
    <x v="1"/>
    <n v="4"/>
    <n v="30"/>
    <n v="120"/>
    <e v="#REF!"/>
    <e v="#REF!"/>
  </r>
  <r>
    <n v="533"/>
    <n v="16"/>
    <n v="11"/>
    <n v="2023"/>
    <s v="Thursday"/>
    <s v="November"/>
    <s v="2023"/>
    <d v="2023-11-16T00:00:00"/>
    <s v="CUST533"/>
    <x v="0"/>
    <s v="Young Adult"/>
    <n v="19"/>
    <x v="2"/>
    <n v="3"/>
    <n v="500"/>
    <n v="1500"/>
    <e v="#REF!"/>
    <e v="#REF!"/>
  </r>
  <r>
    <n v="534"/>
    <n v="10"/>
    <n v="6"/>
    <n v="2023"/>
    <s v="Saturday"/>
    <s v="June"/>
    <s v="2023"/>
    <d v="2023-06-10T00:00:00"/>
    <s v="CUST534"/>
    <x v="0"/>
    <s v="Adult"/>
    <n v="45"/>
    <x v="1"/>
    <n v="2"/>
    <n v="500"/>
    <n v="1000"/>
    <e v="#REF!"/>
    <e v="#REF!"/>
  </r>
  <r>
    <n v="535"/>
    <n v="6"/>
    <n v="12"/>
    <n v="2023"/>
    <s v="Wednesday"/>
    <s v="December"/>
    <s v="2023"/>
    <d v="2023-12-06T00:00:00"/>
    <s v="CUST535"/>
    <x v="0"/>
    <s v="Adult"/>
    <n v="47"/>
    <x v="0"/>
    <n v="3"/>
    <n v="30"/>
    <n v="90"/>
    <n v="1.3499999999999999"/>
    <n v="1.8"/>
  </r>
  <r>
    <n v="536"/>
    <n v="5"/>
    <n v="3"/>
    <n v="2023"/>
    <s v="Sunday"/>
    <s v="March"/>
    <s v="2023"/>
    <d v="2023-03-05T00:00:00"/>
    <s v="CUST536"/>
    <x v="1"/>
    <s v="Senior"/>
    <n v="55"/>
    <x v="0"/>
    <n v="4"/>
    <n v="30"/>
    <n v="120"/>
    <n v="1.7999999999999998"/>
    <n v="2.4"/>
  </r>
  <r>
    <n v="537"/>
    <n v="3"/>
    <n v="6"/>
    <n v="2023"/>
    <s v="Saturday"/>
    <s v="June"/>
    <s v="2023"/>
    <d v="2023-06-03T00:00:00"/>
    <s v="CUST537"/>
    <x v="1"/>
    <s v="Young Adult"/>
    <n v="21"/>
    <x v="0"/>
    <n v="1"/>
    <n v="500"/>
    <n v="500"/>
    <n v="7.5"/>
    <n v="10"/>
  </r>
  <r>
    <n v="538"/>
    <n v="17"/>
    <n v="9"/>
    <n v="2023"/>
    <s v="Sunday"/>
    <s v="September"/>
    <s v="2023"/>
    <d v="2023-09-17T00:00:00"/>
    <s v="CUST538"/>
    <x v="0"/>
    <s v="Young Adult"/>
    <n v="18"/>
    <x v="1"/>
    <n v="3"/>
    <n v="50"/>
    <n v="150"/>
    <e v="#REF!"/>
    <e v="#REF!"/>
  </r>
  <r>
    <n v="539"/>
    <n v="8"/>
    <n v="6"/>
    <n v="2023"/>
    <s v="Thursday"/>
    <s v="June"/>
    <s v="2023"/>
    <d v="2023-06-08T00:00:00"/>
    <s v="CUST539"/>
    <x v="0"/>
    <s v="Young Adult"/>
    <n v="25"/>
    <x v="0"/>
    <n v="1"/>
    <n v="500"/>
    <n v="500"/>
    <n v="7.5"/>
    <n v="10"/>
  </r>
  <r>
    <n v="540"/>
    <n v="8"/>
    <n v="12"/>
    <n v="2023"/>
    <s v="Friday"/>
    <s v="December"/>
    <s v="2023"/>
    <d v="2023-12-08T00:00:00"/>
    <s v="CUST540"/>
    <x v="1"/>
    <s v="Adult"/>
    <n v="46"/>
    <x v="2"/>
    <n v="3"/>
    <n v="300"/>
    <n v="900"/>
    <e v="#REF!"/>
    <e v="#REF!"/>
  </r>
  <r>
    <n v="541"/>
    <n v="29"/>
    <n v="7"/>
    <n v="2023"/>
    <s v="Saturday"/>
    <s v="July"/>
    <s v="2023"/>
    <d v="2023-07-29T00:00:00"/>
    <s v="CUST541"/>
    <x v="0"/>
    <s v="Senior"/>
    <n v="56"/>
    <x v="0"/>
    <n v="1"/>
    <n v="500"/>
    <n v="500"/>
    <n v="7.5"/>
    <n v="10"/>
  </r>
  <r>
    <n v="542"/>
    <n v="17"/>
    <n v="6"/>
    <n v="2023"/>
    <s v="Saturday"/>
    <s v="June"/>
    <s v="2023"/>
    <d v="2023-06-17T00:00:00"/>
    <s v="CUST542"/>
    <x v="1"/>
    <s v="Young Adult"/>
    <n v="20"/>
    <x v="0"/>
    <n v="1"/>
    <n v="50"/>
    <n v="50"/>
    <n v="0.75"/>
    <n v="1"/>
  </r>
  <r>
    <n v="543"/>
    <n v="26"/>
    <n v="7"/>
    <n v="2023"/>
    <s v="Wednesday"/>
    <s v="July"/>
    <s v="2023"/>
    <d v="2023-07-26T00:00:00"/>
    <s v="CUST543"/>
    <x v="0"/>
    <s v="Adult"/>
    <n v="49"/>
    <x v="0"/>
    <n v="2"/>
    <n v="300"/>
    <n v="600"/>
    <n v="9"/>
    <n v="12"/>
  </r>
  <r>
    <n v="544"/>
    <n v="23"/>
    <n v="12"/>
    <n v="2023"/>
    <s v="Saturday"/>
    <s v="December"/>
    <s v="2023"/>
    <d v="2023-12-23T00:00:00"/>
    <s v="CUST544"/>
    <x v="1"/>
    <s v="Young Adult"/>
    <n v="27"/>
    <x v="2"/>
    <n v="1"/>
    <n v="25"/>
    <n v="25"/>
    <e v="#REF!"/>
    <e v="#REF!"/>
  </r>
  <r>
    <n v="545"/>
    <n v="1"/>
    <n v="6"/>
    <n v="2023"/>
    <s v="Thursday"/>
    <s v="June"/>
    <s v="2023"/>
    <d v="2023-06-01T00:00:00"/>
    <s v="CUST545"/>
    <x v="0"/>
    <s v="Young Adult"/>
    <n v="27"/>
    <x v="1"/>
    <n v="2"/>
    <n v="25"/>
    <n v="50"/>
    <e v="#REF!"/>
    <e v="#REF!"/>
  </r>
  <r>
    <n v="546"/>
    <n v="11"/>
    <n v="10"/>
    <n v="2023"/>
    <s v="Wednesday"/>
    <s v="October"/>
    <s v="2023"/>
    <d v="2023-10-11T00:00:00"/>
    <s v="CUST546"/>
    <x v="1"/>
    <s v="Adult"/>
    <n v="36"/>
    <x v="2"/>
    <n v="4"/>
    <n v="50"/>
    <n v="200"/>
    <e v="#REF!"/>
    <e v="#REF!"/>
  </r>
  <r>
    <n v="547"/>
    <n v="7"/>
    <n v="3"/>
    <n v="2023"/>
    <s v="Tuesday"/>
    <s v="March"/>
    <s v="2023"/>
    <d v="2023-03-07T00:00:00"/>
    <s v="CUST547"/>
    <x v="0"/>
    <s v="Senior"/>
    <n v="63"/>
    <x v="1"/>
    <n v="4"/>
    <n v="500"/>
    <n v="2000"/>
    <e v="#REF!"/>
    <e v="#REF!"/>
  </r>
  <r>
    <n v="548"/>
    <n v="9"/>
    <n v="4"/>
    <n v="2023"/>
    <s v="Sunday"/>
    <s v="April"/>
    <s v="2023"/>
    <d v="2023-04-09T00:00:00"/>
    <s v="CUST548"/>
    <x v="1"/>
    <s v="Senior"/>
    <n v="51"/>
    <x v="1"/>
    <n v="2"/>
    <n v="30"/>
    <n v="60"/>
    <e v="#REF!"/>
    <e v="#REF!"/>
  </r>
  <r>
    <n v="549"/>
    <n v="4"/>
    <n v="8"/>
    <n v="2023"/>
    <s v="Friday"/>
    <s v="August"/>
    <s v="2023"/>
    <d v="2023-08-04T00:00:00"/>
    <s v="CUST549"/>
    <x v="1"/>
    <s v="Adult"/>
    <n v="50"/>
    <x v="0"/>
    <n v="2"/>
    <n v="50"/>
    <n v="100"/>
    <n v="1.5"/>
    <n v="2"/>
  </r>
  <r>
    <n v="550"/>
    <n v="7"/>
    <n v="12"/>
    <n v="2023"/>
    <s v="Thursday"/>
    <s v="December"/>
    <s v="2023"/>
    <d v="2023-12-07T00:00:00"/>
    <s v="CUST550"/>
    <x v="0"/>
    <s v="Adult"/>
    <n v="40"/>
    <x v="1"/>
    <n v="3"/>
    <n v="300"/>
    <n v="900"/>
    <e v="#REF!"/>
    <e v="#REF!"/>
  </r>
  <r>
    <n v="551"/>
    <n v="14"/>
    <n v="7"/>
    <n v="2023"/>
    <s v="Friday"/>
    <s v="July"/>
    <s v="2023"/>
    <d v="2023-07-14T00:00:00"/>
    <s v="CUST551"/>
    <x v="0"/>
    <s v="Adult"/>
    <n v="45"/>
    <x v="2"/>
    <n v="3"/>
    <n v="300"/>
    <n v="900"/>
    <e v="#REF!"/>
    <e v="#REF!"/>
  </r>
  <r>
    <n v="552"/>
    <n v="13"/>
    <n v="12"/>
    <n v="2023"/>
    <s v="Wednesday"/>
    <s v="December"/>
    <s v="2023"/>
    <d v="2023-12-13T00:00:00"/>
    <s v="CUST552"/>
    <x v="1"/>
    <s v="Adult"/>
    <n v="49"/>
    <x v="2"/>
    <n v="3"/>
    <n v="25"/>
    <n v="75"/>
    <e v="#REF!"/>
    <e v="#REF!"/>
  </r>
  <r>
    <n v="553"/>
    <n v="31"/>
    <n v="3"/>
    <n v="2023"/>
    <s v="Friday"/>
    <s v="March"/>
    <s v="2023"/>
    <d v="2023-03-31T00:00:00"/>
    <s v="CUST553"/>
    <x v="0"/>
    <s v="Young Adult"/>
    <n v="24"/>
    <x v="1"/>
    <n v="4"/>
    <n v="300"/>
    <n v="1200"/>
    <e v="#REF!"/>
    <e v="#REF!"/>
  </r>
  <r>
    <n v="554"/>
    <n v="12"/>
    <n v="11"/>
    <n v="2023"/>
    <s v="Sunday"/>
    <s v="November"/>
    <s v="2023"/>
    <d v="2023-11-12T00:00:00"/>
    <s v="CUST554"/>
    <x v="1"/>
    <s v="Adult"/>
    <n v="46"/>
    <x v="0"/>
    <n v="3"/>
    <n v="50"/>
    <n v="150"/>
    <n v="2.25"/>
    <n v="3"/>
  </r>
  <r>
    <n v="555"/>
    <n v="19"/>
    <n v="10"/>
    <n v="2023"/>
    <s v="Thursday"/>
    <s v="October"/>
    <s v="2023"/>
    <d v="2023-10-19T00:00:00"/>
    <s v="CUST555"/>
    <x v="0"/>
    <s v="Young Adult"/>
    <n v="25"/>
    <x v="0"/>
    <n v="1"/>
    <n v="300"/>
    <n v="300"/>
    <n v="4.5"/>
    <n v="6"/>
  </r>
  <r>
    <n v="556"/>
    <n v="4"/>
    <n v="6"/>
    <n v="2023"/>
    <s v="Sunday"/>
    <s v="June"/>
    <s v="2023"/>
    <d v="2023-06-04T00:00:00"/>
    <s v="CUST556"/>
    <x v="1"/>
    <s v="Young Adult"/>
    <n v="18"/>
    <x v="2"/>
    <n v="1"/>
    <n v="50"/>
    <n v="50"/>
    <e v="#REF!"/>
    <e v="#REF!"/>
  </r>
  <r>
    <n v="557"/>
    <n v="27"/>
    <n v="7"/>
    <n v="2023"/>
    <s v="Thursday"/>
    <s v="July"/>
    <s v="2023"/>
    <d v="2023-07-27T00:00:00"/>
    <s v="CUST557"/>
    <x v="1"/>
    <s v="Young Adult"/>
    <n v="20"/>
    <x v="0"/>
    <n v="3"/>
    <n v="30"/>
    <n v="90"/>
    <n v="1.3499999999999999"/>
    <n v="1.8"/>
  </r>
  <r>
    <n v="558"/>
    <n v="8"/>
    <n v="10"/>
    <n v="2023"/>
    <s v="Sunday"/>
    <s v="October"/>
    <s v="2023"/>
    <d v="2023-10-08T00:00:00"/>
    <s v="CUST558"/>
    <x v="1"/>
    <s v="Adult"/>
    <n v="41"/>
    <x v="1"/>
    <n v="1"/>
    <n v="25"/>
    <n v="25"/>
    <e v="#REF!"/>
    <e v="#REF!"/>
  </r>
  <r>
    <n v="559"/>
    <n v="1"/>
    <n v="1"/>
    <n v="2023"/>
    <s v="Sunday"/>
    <s v="January"/>
    <s v="2023"/>
    <d v="2023-01-01T00:00:00"/>
    <s v="CUST559"/>
    <x v="1"/>
    <s v="Adult"/>
    <n v="40"/>
    <x v="1"/>
    <n v="4"/>
    <n v="300"/>
    <n v="1200"/>
    <e v="#REF!"/>
    <e v="#REF!"/>
  </r>
  <r>
    <n v="560"/>
    <n v="5"/>
    <n v="6"/>
    <n v="2023"/>
    <s v="Monday"/>
    <s v="June"/>
    <s v="2023"/>
    <d v="2023-06-05T00:00:00"/>
    <s v="CUST560"/>
    <x v="1"/>
    <s v="Young Adult"/>
    <n v="25"/>
    <x v="2"/>
    <n v="1"/>
    <n v="50"/>
    <n v="50"/>
    <e v="#REF!"/>
    <e v="#REF!"/>
  </r>
  <r>
    <n v="561"/>
    <n v="27"/>
    <n v="5"/>
    <n v="2023"/>
    <s v="Saturday"/>
    <s v="May"/>
    <s v="2023"/>
    <d v="2023-05-27T00:00:00"/>
    <s v="CUST561"/>
    <x v="1"/>
    <s v="Senior"/>
    <n v="64"/>
    <x v="1"/>
    <n v="4"/>
    <n v="500"/>
    <n v="2000"/>
    <e v="#REF!"/>
    <e v="#REF!"/>
  </r>
  <r>
    <n v="562"/>
    <n v="18"/>
    <n v="4"/>
    <n v="2023"/>
    <s v="Tuesday"/>
    <s v="April"/>
    <s v="2023"/>
    <d v="2023-04-18T00:00:00"/>
    <s v="CUST562"/>
    <x v="0"/>
    <s v="Senior"/>
    <n v="54"/>
    <x v="2"/>
    <n v="2"/>
    <n v="25"/>
    <n v="50"/>
    <e v="#REF!"/>
    <e v="#REF!"/>
  </r>
  <r>
    <n v="563"/>
    <n v="9"/>
    <n v="8"/>
    <n v="2023"/>
    <s v="Wednesday"/>
    <s v="August"/>
    <s v="2023"/>
    <d v="2023-08-09T00:00:00"/>
    <s v="CUST563"/>
    <x v="0"/>
    <s v="Young Adult"/>
    <n v="20"/>
    <x v="1"/>
    <n v="2"/>
    <n v="30"/>
    <n v="60"/>
    <e v="#REF!"/>
    <e v="#REF!"/>
  </r>
  <r>
    <n v="564"/>
    <n v="24"/>
    <n v="10"/>
    <n v="2023"/>
    <s v="Tuesday"/>
    <s v="October"/>
    <s v="2023"/>
    <d v="2023-10-24T00:00:00"/>
    <s v="CUST564"/>
    <x v="0"/>
    <s v="Adult"/>
    <n v="50"/>
    <x v="2"/>
    <n v="2"/>
    <n v="50"/>
    <n v="100"/>
    <e v="#REF!"/>
    <e v="#REF!"/>
  </r>
  <r>
    <n v="565"/>
    <n v="7"/>
    <n v="11"/>
    <n v="2023"/>
    <s v="Tuesday"/>
    <s v="November"/>
    <s v="2023"/>
    <d v="2023-11-07T00:00:00"/>
    <s v="CUST565"/>
    <x v="1"/>
    <s v="Adult"/>
    <n v="45"/>
    <x v="0"/>
    <n v="2"/>
    <n v="30"/>
    <n v="60"/>
    <n v="0.89999999999999991"/>
    <n v="1.2"/>
  </r>
  <r>
    <n v="566"/>
    <n v="2"/>
    <n v="12"/>
    <n v="2023"/>
    <s v="Saturday"/>
    <s v="December"/>
    <s v="2023"/>
    <d v="2023-12-02T00:00:00"/>
    <s v="CUST566"/>
    <x v="1"/>
    <s v="Senior"/>
    <n v="64"/>
    <x v="1"/>
    <n v="1"/>
    <n v="30"/>
    <n v="30"/>
    <e v="#REF!"/>
    <e v="#REF!"/>
  </r>
  <r>
    <n v="567"/>
    <n v="14"/>
    <n v="6"/>
    <n v="2023"/>
    <s v="Wednesday"/>
    <s v="June"/>
    <s v="2023"/>
    <d v="2023-06-14T00:00:00"/>
    <s v="CUST567"/>
    <x v="1"/>
    <s v="Young Adult"/>
    <n v="25"/>
    <x v="1"/>
    <n v="3"/>
    <n v="300"/>
    <n v="900"/>
    <e v="#REF!"/>
    <e v="#REF!"/>
  </r>
  <r>
    <n v="568"/>
    <n v="27"/>
    <n v="8"/>
    <n v="2023"/>
    <s v="Sunday"/>
    <s v="August"/>
    <s v="2023"/>
    <d v="2023-08-27T00:00:00"/>
    <s v="CUST568"/>
    <x v="1"/>
    <s v="Senior"/>
    <n v="51"/>
    <x v="2"/>
    <n v="1"/>
    <n v="300"/>
    <n v="300"/>
    <e v="#REF!"/>
    <e v="#REF!"/>
  </r>
  <r>
    <n v="569"/>
    <n v="15"/>
    <n v="8"/>
    <n v="2023"/>
    <s v="Tuesday"/>
    <s v="August"/>
    <s v="2023"/>
    <d v="2023-08-15T00:00:00"/>
    <s v="CUST569"/>
    <x v="0"/>
    <s v="Senior"/>
    <n v="52"/>
    <x v="2"/>
    <n v="4"/>
    <n v="50"/>
    <n v="200"/>
    <e v="#REF!"/>
    <e v="#REF!"/>
  </r>
  <r>
    <n v="570"/>
    <n v="15"/>
    <n v="8"/>
    <n v="2023"/>
    <s v="Tuesday"/>
    <s v="August"/>
    <s v="2023"/>
    <d v="2023-08-15T00:00:00"/>
    <s v="CUST570"/>
    <x v="0"/>
    <s v="Adult"/>
    <n v="49"/>
    <x v="1"/>
    <n v="1"/>
    <n v="500"/>
    <n v="500"/>
    <e v="#REF!"/>
    <e v="#REF!"/>
  </r>
  <r>
    <n v="571"/>
    <n v="12"/>
    <n v="12"/>
    <n v="2023"/>
    <s v="Tuesday"/>
    <s v="December"/>
    <s v="2023"/>
    <d v="2023-12-12T00:00:00"/>
    <s v="CUST571"/>
    <x v="1"/>
    <s v="Adult"/>
    <n v="41"/>
    <x v="2"/>
    <n v="1"/>
    <n v="50"/>
    <n v="50"/>
    <e v="#REF!"/>
    <e v="#REF!"/>
  </r>
  <r>
    <n v="572"/>
    <n v="20"/>
    <n v="4"/>
    <n v="2023"/>
    <s v="Thursday"/>
    <s v="April"/>
    <s v="2023"/>
    <d v="2023-04-20T00:00:00"/>
    <s v="CUST572"/>
    <x v="0"/>
    <s v="Adult"/>
    <n v="31"/>
    <x v="1"/>
    <n v="4"/>
    <n v="500"/>
    <n v="2000"/>
    <e v="#REF!"/>
    <e v="#REF!"/>
  </r>
  <r>
    <n v="573"/>
    <n v="19"/>
    <n v="9"/>
    <n v="2023"/>
    <s v="Tuesday"/>
    <s v="September"/>
    <s v="2023"/>
    <d v="2023-09-19T00:00:00"/>
    <s v="CUST573"/>
    <x v="0"/>
    <s v="Adult"/>
    <n v="49"/>
    <x v="0"/>
    <n v="2"/>
    <n v="30"/>
    <n v="60"/>
    <n v="0.89999999999999991"/>
    <n v="1.2"/>
  </r>
  <r>
    <n v="574"/>
    <n v="31"/>
    <n v="8"/>
    <n v="2023"/>
    <s v="Thursday"/>
    <s v="August"/>
    <s v="2023"/>
    <d v="2023-08-31T00:00:00"/>
    <s v="CUST574"/>
    <x v="1"/>
    <s v="Senior"/>
    <n v="63"/>
    <x v="2"/>
    <n v="2"/>
    <n v="25"/>
    <n v="50"/>
    <e v="#REF!"/>
    <e v="#REF!"/>
  </r>
  <r>
    <n v="575"/>
    <n v="28"/>
    <n v="3"/>
    <n v="2023"/>
    <s v="Tuesday"/>
    <s v="March"/>
    <s v="2023"/>
    <d v="2023-03-28T00:00:00"/>
    <s v="CUST575"/>
    <x v="0"/>
    <s v="Senior"/>
    <n v="60"/>
    <x v="1"/>
    <n v="2"/>
    <n v="50"/>
    <n v="100"/>
    <e v="#REF!"/>
    <e v="#REF!"/>
  </r>
  <r>
    <n v="576"/>
    <n v="4"/>
    <n v="12"/>
    <n v="2023"/>
    <s v="Monday"/>
    <s v="December"/>
    <s v="2023"/>
    <d v="2023-12-04T00:00:00"/>
    <s v="CUST576"/>
    <x v="1"/>
    <s v="Adult"/>
    <n v="33"/>
    <x v="0"/>
    <n v="3"/>
    <n v="50"/>
    <n v="150"/>
    <n v="2.25"/>
    <n v="3"/>
  </r>
  <r>
    <n v="577"/>
    <n v="13"/>
    <n v="2"/>
    <n v="2023"/>
    <s v="Monday"/>
    <s v="February"/>
    <s v="2023"/>
    <d v="2023-02-13T00:00:00"/>
    <s v="CUST577"/>
    <x v="0"/>
    <s v="Young Adult"/>
    <n v="21"/>
    <x v="0"/>
    <n v="4"/>
    <n v="500"/>
    <n v="2000"/>
    <n v="30"/>
    <n v="40"/>
  </r>
  <r>
    <n v="578"/>
    <n v="26"/>
    <n v="5"/>
    <n v="2023"/>
    <s v="Friday"/>
    <s v="May"/>
    <s v="2023"/>
    <d v="2023-05-26T00:00:00"/>
    <s v="CUST578"/>
    <x v="1"/>
    <s v="Senior"/>
    <n v="54"/>
    <x v="1"/>
    <n v="4"/>
    <n v="30"/>
    <n v="120"/>
    <e v="#REF!"/>
    <e v="#REF!"/>
  </r>
  <r>
    <n v="579"/>
    <n v="21"/>
    <n v="9"/>
    <n v="2023"/>
    <s v="Thursday"/>
    <s v="September"/>
    <s v="2023"/>
    <d v="2023-09-21T00:00:00"/>
    <s v="CUST579"/>
    <x v="1"/>
    <s v="Adult"/>
    <n v="38"/>
    <x v="2"/>
    <n v="1"/>
    <n v="30"/>
    <n v="30"/>
    <e v="#REF!"/>
    <e v="#REF!"/>
  </r>
  <r>
    <n v="580"/>
    <n v="6"/>
    <n v="12"/>
    <n v="2023"/>
    <s v="Wednesday"/>
    <s v="December"/>
    <s v="2023"/>
    <d v="2023-12-06T00:00:00"/>
    <s v="CUST580"/>
    <x v="1"/>
    <s v="Adult"/>
    <n v="31"/>
    <x v="1"/>
    <n v="3"/>
    <n v="500"/>
    <n v="1500"/>
    <e v="#REF!"/>
    <e v="#REF!"/>
  </r>
  <r>
    <n v="581"/>
    <n v="21"/>
    <n v="11"/>
    <n v="2023"/>
    <s v="Tuesday"/>
    <s v="November"/>
    <s v="2023"/>
    <d v="2023-11-21T00:00:00"/>
    <s v="CUST581"/>
    <x v="1"/>
    <s v="Adult"/>
    <n v="48"/>
    <x v="0"/>
    <n v="2"/>
    <n v="30"/>
    <n v="60"/>
    <n v="0.89999999999999991"/>
    <n v="1.2"/>
  </r>
  <r>
    <n v="582"/>
    <n v="14"/>
    <n v="11"/>
    <n v="2023"/>
    <s v="Tuesday"/>
    <s v="November"/>
    <s v="2023"/>
    <d v="2023-11-14T00:00:00"/>
    <s v="CUST582"/>
    <x v="0"/>
    <s v="Adult"/>
    <n v="35"/>
    <x v="1"/>
    <n v="3"/>
    <n v="300"/>
    <n v="900"/>
    <e v="#REF!"/>
    <e v="#REF!"/>
  </r>
  <r>
    <n v="583"/>
    <n v="21"/>
    <n v="6"/>
    <n v="2023"/>
    <s v="Wednesday"/>
    <s v="June"/>
    <s v="2023"/>
    <d v="2023-06-21T00:00:00"/>
    <s v="CUST583"/>
    <x v="1"/>
    <s v="Young Adult"/>
    <n v="24"/>
    <x v="2"/>
    <n v="4"/>
    <n v="25"/>
    <n v="100"/>
    <e v="#REF!"/>
    <e v="#REF!"/>
  </r>
  <r>
    <n v="584"/>
    <n v="17"/>
    <n v="2"/>
    <n v="2023"/>
    <s v="Friday"/>
    <s v="February"/>
    <s v="2023"/>
    <d v="2023-02-17T00:00:00"/>
    <s v="CUST584"/>
    <x v="1"/>
    <s v="Young Adult"/>
    <n v="27"/>
    <x v="0"/>
    <n v="4"/>
    <n v="50"/>
    <n v="200"/>
    <n v="3"/>
    <n v="4"/>
  </r>
  <r>
    <n v="585"/>
    <n v="1"/>
    <n v="5"/>
    <n v="2023"/>
    <s v="Monday"/>
    <s v="May"/>
    <s v="2023"/>
    <d v="2023-05-01T00:00:00"/>
    <s v="CUST585"/>
    <x v="1"/>
    <s v="Young Adult"/>
    <n v="24"/>
    <x v="1"/>
    <n v="1"/>
    <n v="25"/>
    <n v="25"/>
    <e v="#REF!"/>
    <e v="#REF!"/>
  </r>
  <r>
    <n v="586"/>
    <n v="11"/>
    <n v="12"/>
    <n v="2023"/>
    <s v="Monday"/>
    <s v="December"/>
    <s v="2023"/>
    <d v="2023-12-11T00:00:00"/>
    <s v="CUST586"/>
    <x v="0"/>
    <s v="Adult"/>
    <n v="50"/>
    <x v="2"/>
    <n v="1"/>
    <n v="50"/>
    <n v="50"/>
    <e v="#REF!"/>
    <e v="#REF!"/>
  </r>
  <r>
    <n v="587"/>
    <n v="8"/>
    <n v="6"/>
    <n v="2023"/>
    <s v="Thursday"/>
    <s v="June"/>
    <s v="2023"/>
    <d v="2023-06-08T00:00:00"/>
    <s v="CUST587"/>
    <x v="1"/>
    <s v="Adult"/>
    <n v="40"/>
    <x v="0"/>
    <n v="4"/>
    <n v="300"/>
    <n v="1200"/>
    <n v="18"/>
    <n v="24"/>
  </r>
  <r>
    <n v="588"/>
    <n v="26"/>
    <n v="4"/>
    <n v="2023"/>
    <s v="Wednesday"/>
    <s v="April"/>
    <s v="2023"/>
    <d v="2023-04-26T00:00:00"/>
    <s v="CUST588"/>
    <x v="0"/>
    <s v="Adult"/>
    <n v="38"/>
    <x v="2"/>
    <n v="2"/>
    <n v="30"/>
    <n v="60"/>
    <e v="#REF!"/>
    <e v="#REF!"/>
  </r>
  <r>
    <n v="589"/>
    <n v="12"/>
    <n v="4"/>
    <n v="2023"/>
    <s v="Wednesday"/>
    <s v="April"/>
    <s v="2023"/>
    <d v="2023-04-12T00:00:00"/>
    <s v="CUST589"/>
    <x v="1"/>
    <s v="Adult"/>
    <n v="36"/>
    <x v="0"/>
    <n v="2"/>
    <n v="500"/>
    <n v="1000"/>
    <n v="15"/>
    <n v="20"/>
  </r>
  <r>
    <n v="590"/>
    <n v="17"/>
    <n v="3"/>
    <n v="2023"/>
    <s v="Friday"/>
    <s v="March"/>
    <s v="2023"/>
    <d v="2023-03-17T00:00:00"/>
    <s v="CUST590"/>
    <x v="0"/>
    <s v="Adult"/>
    <n v="36"/>
    <x v="1"/>
    <n v="3"/>
    <n v="300"/>
    <n v="900"/>
    <e v="#REF!"/>
    <e v="#REF!"/>
  </r>
  <r>
    <n v="591"/>
    <n v="13"/>
    <n v="1"/>
    <n v="2023"/>
    <s v="Friday"/>
    <s v="January"/>
    <s v="2023"/>
    <d v="2023-01-13T00:00:00"/>
    <s v="CUST591"/>
    <x v="0"/>
    <s v="Senior"/>
    <n v="53"/>
    <x v="2"/>
    <n v="4"/>
    <n v="25"/>
    <n v="100"/>
    <e v="#REF!"/>
    <e v="#REF!"/>
  </r>
  <r>
    <n v="592"/>
    <n v="24"/>
    <n v="1"/>
    <n v="2023"/>
    <s v="Tuesday"/>
    <s v="January"/>
    <s v="2023"/>
    <d v="2023-01-24T00:00:00"/>
    <s v="CUST592"/>
    <x v="1"/>
    <s v="Adult"/>
    <n v="46"/>
    <x v="0"/>
    <n v="4"/>
    <n v="500"/>
    <n v="2000"/>
    <n v="30"/>
    <n v="40"/>
  </r>
  <r>
    <n v="593"/>
    <n v="6"/>
    <n v="5"/>
    <n v="2023"/>
    <s v="Saturday"/>
    <s v="May"/>
    <s v="2023"/>
    <d v="2023-05-06T00:00:00"/>
    <s v="CUST593"/>
    <x v="0"/>
    <s v="Adult"/>
    <n v="35"/>
    <x v="2"/>
    <n v="2"/>
    <n v="30"/>
    <n v="60"/>
    <e v="#REF!"/>
    <e v="#REF!"/>
  </r>
  <r>
    <n v="594"/>
    <n v="1"/>
    <n v="9"/>
    <n v="2023"/>
    <s v="Friday"/>
    <s v="September"/>
    <s v="2023"/>
    <d v="2023-09-01T00:00:00"/>
    <s v="CUST594"/>
    <x v="1"/>
    <s v="Young Adult"/>
    <n v="19"/>
    <x v="2"/>
    <n v="2"/>
    <n v="300"/>
    <n v="600"/>
    <e v="#REF!"/>
    <e v="#REF!"/>
  </r>
  <r>
    <n v="595"/>
    <n v="9"/>
    <n v="11"/>
    <n v="2023"/>
    <s v="Thursday"/>
    <s v="November"/>
    <s v="2023"/>
    <d v="2023-11-09T00:00:00"/>
    <s v="CUST595"/>
    <x v="1"/>
    <s v="Young Adult"/>
    <n v="18"/>
    <x v="1"/>
    <n v="4"/>
    <n v="500"/>
    <n v="2000"/>
    <e v="#REF!"/>
    <e v="#REF!"/>
  </r>
  <r>
    <n v="596"/>
    <n v="7"/>
    <n v="2"/>
    <n v="2023"/>
    <s v="Tuesday"/>
    <s v="February"/>
    <s v="2023"/>
    <d v="2023-02-07T00:00:00"/>
    <s v="CUST596"/>
    <x v="1"/>
    <s v="Senior"/>
    <n v="64"/>
    <x v="2"/>
    <n v="1"/>
    <n v="300"/>
    <n v="300"/>
    <e v="#REF!"/>
    <e v="#REF!"/>
  </r>
  <r>
    <n v="597"/>
    <n v="22"/>
    <n v="8"/>
    <n v="2023"/>
    <s v="Tuesday"/>
    <s v="August"/>
    <s v="2023"/>
    <d v="2023-08-22T00:00:00"/>
    <s v="CUST597"/>
    <x v="0"/>
    <s v="Young Adult"/>
    <n v="22"/>
    <x v="0"/>
    <n v="4"/>
    <n v="300"/>
    <n v="1200"/>
    <n v="18"/>
    <n v="24"/>
  </r>
  <r>
    <n v="598"/>
    <n v="1"/>
    <n v="8"/>
    <n v="2023"/>
    <s v="Tuesday"/>
    <s v="August"/>
    <s v="2023"/>
    <d v="2023-08-01T00:00:00"/>
    <s v="CUST598"/>
    <x v="0"/>
    <s v="Adult"/>
    <n v="37"/>
    <x v="0"/>
    <n v="4"/>
    <n v="30"/>
    <n v="120"/>
    <n v="1.7999999999999998"/>
    <n v="2.4"/>
  </r>
  <r>
    <n v="599"/>
    <n v="19"/>
    <n v="11"/>
    <n v="2023"/>
    <s v="Sunday"/>
    <s v="November"/>
    <s v="2023"/>
    <d v="2023-11-19T00:00:00"/>
    <s v="CUST599"/>
    <x v="1"/>
    <s v="Young Adult"/>
    <n v="28"/>
    <x v="0"/>
    <n v="2"/>
    <n v="50"/>
    <n v="100"/>
    <n v="1.5"/>
    <n v="2"/>
  </r>
  <r>
    <n v="600"/>
    <n v="22"/>
    <n v="10"/>
    <n v="2023"/>
    <s v="Sunday"/>
    <s v="October"/>
    <s v="2023"/>
    <d v="2023-10-22T00:00:00"/>
    <s v="CUST600"/>
    <x v="1"/>
    <s v="Senior"/>
    <n v="59"/>
    <x v="0"/>
    <n v="2"/>
    <n v="500"/>
    <n v="1000"/>
    <n v="15"/>
    <n v="20"/>
  </r>
  <r>
    <n v="601"/>
    <n v="10"/>
    <n v="4"/>
    <n v="2023"/>
    <s v="Monday"/>
    <s v="April"/>
    <s v="2023"/>
    <d v="2023-04-10T00:00:00"/>
    <s v="CUST601"/>
    <x v="0"/>
    <s v="Young Adult"/>
    <n v="19"/>
    <x v="1"/>
    <n v="1"/>
    <n v="30"/>
    <n v="30"/>
    <e v="#REF!"/>
    <e v="#REF!"/>
  </r>
  <r>
    <n v="602"/>
    <n v="23"/>
    <n v="12"/>
    <n v="2023"/>
    <s v="Saturday"/>
    <s v="December"/>
    <s v="2023"/>
    <d v="2023-12-23T00:00:00"/>
    <s v="CUST602"/>
    <x v="1"/>
    <s v="Young Adult"/>
    <n v="20"/>
    <x v="2"/>
    <n v="1"/>
    <n v="300"/>
    <n v="300"/>
    <e v="#REF!"/>
    <e v="#REF!"/>
  </r>
  <r>
    <n v="603"/>
    <n v="16"/>
    <n v="7"/>
    <n v="2023"/>
    <s v="Sunday"/>
    <s v="July"/>
    <s v="2023"/>
    <d v="2023-07-16T00:00:00"/>
    <s v="CUST603"/>
    <x v="1"/>
    <s v="Adult"/>
    <n v="40"/>
    <x v="1"/>
    <n v="3"/>
    <n v="30"/>
    <n v="90"/>
    <e v="#REF!"/>
    <e v="#REF!"/>
  </r>
  <r>
    <n v="604"/>
    <n v="11"/>
    <n v="9"/>
    <n v="2023"/>
    <s v="Monday"/>
    <s v="September"/>
    <s v="2023"/>
    <d v="2023-09-11T00:00:00"/>
    <s v="CUST604"/>
    <x v="1"/>
    <s v="Young Adult"/>
    <n v="29"/>
    <x v="2"/>
    <n v="4"/>
    <n v="50"/>
    <n v="200"/>
    <e v="#REF!"/>
    <e v="#REF!"/>
  </r>
  <r>
    <n v="605"/>
    <n v="24"/>
    <n v="7"/>
    <n v="2023"/>
    <s v="Monday"/>
    <s v="July"/>
    <s v="2023"/>
    <d v="2023-07-24T00:00:00"/>
    <s v="CUST605"/>
    <x v="0"/>
    <s v="Adult"/>
    <n v="37"/>
    <x v="2"/>
    <n v="2"/>
    <n v="500"/>
    <n v="1000"/>
    <e v="#REF!"/>
    <e v="#REF!"/>
  </r>
  <r>
    <n v="606"/>
    <n v="5"/>
    <n v="5"/>
    <n v="2023"/>
    <s v="Friday"/>
    <s v="May"/>
    <s v="2023"/>
    <d v="2023-05-05T00:00:00"/>
    <s v="CUST606"/>
    <x v="0"/>
    <s v="Young Adult"/>
    <n v="22"/>
    <x v="2"/>
    <n v="1"/>
    <n v="50"/>
    <n v="50"/>
    <e v="#REF!"/>
    <e v="#REF!"/>
  </r>
  <r>
    <n v="607"/>
    <n v="17"/>
    <n v="3"/>
    <n v="2023"/>
    <s v="Friday"/>
    <s v="March"/>
    <s v="2023"/>
    <d v="2023-03-17T00:00:00"/>
    <s v="CUST607"/>
    <x v="0"/>
    <s v="Senior"/>
    <n v="54"/>
    <x v="1"/>
    <n v="3"/>
    <n v="25"/>
    <n v="75"/>
    <e v="#REF!"/>
    <e v="#REF!"/>
  </r>
  <r>
    <n v="608"/>
    <n v="2"/>
    <n v="12"/>
    <n v="2023"/>
    <s v="Saturday"/>
    <s v="December"/>
    <s v="2023"/>
    <d v="2023-12-02T00:00:00"/>
    <s v="CUST608"/>
    <x v="1"/>
    <s v="Senior"/>
    <n v="55"/>
    <x v="2"/>
    <n v="3"/>
    <n v="500"/>
    <n v="1500"/>
    <e v="#REF!"/>
    <e v="#REF!"/>
  </r>
  <r>
    <n v="609"/>
    <n v="19"/>
    <n v="12"/>
    <n v="2023"/>
    <s v="Tuesday"/>
    <s v="December"/>
    <s v="2023"/>
    <d v="2023-12-19T00:00:00"/>
    <s v="CUST609"/>
    <x v="1"/>
    <s v="Adult"/>
    <n v="47"/>
    <x v="1"/>
    <n v="2"/>
    <n v="50"/>
    <n v="100"/>
    <e v="#REF!"/>
    <e v="#REF!"/>
  </r>
  <r>
    <n v="610"/>
    <n v="3"/>
    <n v="1"/>
    <n v="2023"/>
    <s v="Tuesday"/>
    <s v="January"/>
    <s v="2023"/>
    <d v="2023-01-03T00:00:00"/>
    <s v="CUST610"/>
    <x v="1"/>
    <s v="Young Adult"/>
    <n v="26"/>
    <x v="0"/>
    <n v="2"/>
    <n v="300"/>
    <n v="600"/>
    <n v="9"/>
    <n v="12"/>
  </r>
  <r>
    <n v="611"/>
    <n v="24"/>
    <n v="2"/>
    <n v="2023"/>
    <s v="Friday"/>
    <s v="February"/>
    <s v="2023"/>
    <d v="2023-02-24T00:00:00"/>
    <s v="CUST611"/>
    <x v="0"/>
    <s v="Senior"/>
    <n v="51"/>
    <x v="0"/>
    <n v="3"/>
    <n v="500"/>
    <n v="1500"/>
    <n v="22.5"/>
    <n v="30"/>
  </r>
  <r>
    <n v="612"/>
    <n v="6"/>
    <n v="8"/>
    <n v="2023"/>
    <s v="Sunday"/>
    <s v="August"/>
    <s v="2023"/>
    <d v="2023-08-06T00:00:00"/>
    <s v="CUST612"/>
    <x v="1"/>
    <s v="Senior"/>
    <n v="61"/>
    <x v="2"/>
    <n v="1"/>
    <n v="500"/>
    <n v="500"/>
    <e v="#REF!"/>
    <e v="#REF!"/>
  </r>
  <r>
    <n v="613"/>
    <n v="23"/>
    <n v="4"/>
    <n v="2023"/>
    <s v="Sunday"/>
    <s v="April"/>
    <s v="2023"/>
    <d v="2023-04-23T00:00:00"/>
    <s v="CUST613"/>
    <x v="1"/>
    <s v="Senior"/>
    <n v="52"/>
    <x v="1"/>
    <n v="3"/>
    <n v="30"/>
    <n v="90"/>
    <e v="#REF!"/>
    <e v="#REF!"/>
  </r>
  <r>
    <n v="614"/>
    <n v="1"/>
    <n v="4"/>
    <n v="2023"/>
    <s v="Saturday"/>
    <s v="April"/>
    <s v="2023"/>
    <d v="2023-04-01T00:00:00"/>
    <s v="CUST614"/>
    <x v="1"/>
    <s v="Adult"/>
    <n v="39"/>
    <x v="0"/>
    <n v="4"/>
    <n v="300"/>
    <n v="1200"/>
    <n v="18"/>
    <n v="24"/>
  </r>
  <r>
    <n v="615"/>
    <n v="23"/>
    <n v="12"/>
    <n v="2023"/>
    <s v="Saturday"/>
    <s v="December"/>
    <s v="2023"/>
    <d v="2023-12-23T00:00:00"/>
    <s v="CUST615"/>
    <x v="1"/>
    <s v="Senior"/>
    <n v="61"/>
    <x v="1"/>
    <n v="4"/>
    <n v="25"/>
    <n v="100"/>
    <e v="#REF!"/>
    <e v="#REF!"/>
  </r>
  <r>
    <n v="616"/>
    <n v="23"/>
    <n v="9"/>
    <n v="2023"/>
    <s v="Saturday"/>
    <s v="September"/>
    <s v="2023"/>
    <d v="2023-09-23T00:00:00"/>
    <s v="CUST616"/>
    <x v="0"/>
    <s v="Adult"/>
    <n v="41"/>
    <x v="1"/>
    <n v="2"/>
    <n v="50"/>
    <n v="100"/>
    <e v="#REF!"/>
    <e v="#REF!"/>
  </r>
  <r>
    <n v="617"/>
    <n v="26"/>
    <n v="8"/>
    <n v="2023"/>
    <s v="Saturday"/>
    <s v="August"/>
    <s v="2023"/>
    <d v="2023-08-26T00:00:00"/>
    <s v="CUST617"/>
    <x v="0"/>
    <s v="Adult"/>
    <n v="34"/>
    <x v="2"/>
    <n v="1"/>
    <n v="30"/>
    <n v="30"/>
    <e v="#REF!"/>
    <e v="#REF!"/>
  </r>
  <r>
    <n v="618"/>
    <n v="26"/>
    <n v="1"/>
    <n v="2023"/>
    <s v="Thursday"/>
    <s v="January"/>
    <s v="2023"/>
    <d v="2023-01-26T00:00:00"/>
    <s v="CUST618"/>
    <x v="1"/>
    <s v="Young Adult"/>
    <n v="27"/>
    <x v="0"/>
    <n v="1"/>
    <n v="50"/>
    <n v="50"/>
    <n v="0.75"/>
    <n v="1"/>
  </r>
  <r>
    <n v="619"/>
    <n v="13"/>
    <n v="10"/>
    <n v="2023"/>
    <s v="Friday"/>
    <s v="October"/>
    <s v="2023"/>
    <d v="2023-10-13T00:00:00"/>
    <s v="CUST619"/>
    <x v="0"/>
    <s v="Adult"/>
    <n v="47"/>
    <x v="2"/>
    <n v="4"/>
    <n v="25"/>
    <n v="100"/>
    <e v="#REF!"/>
    <e v="#REF!"/>
  </r>
  <r>
    <n v="620"/>
    <n v="8"/>
    <n v="5"/>
    <n v="2023"/>
    <s v="Monday"/>
    <s v="May"/>
    <s v="2023"/>
    <d v="2023-05-08T00:00:00"/>
    <s v="CUST620"/>
    <x v="0"/>
    <s v="Senior"/>
    <n v="63"/>
    <x v="2"/>
    <n v="3"/>
    <n v="25"/>
    <n v="75"/>
    <e v="#REF!"/>
    <e v="#REF!"/>
  </r>
  <r>
    <n v="621"/>
    <n v="4"/>
    <n v="3"/>
    <n v="2023"/>
    <s v="Saturday"/>
    <s v="March"/>
    <s v="2023"/>
    <d v="2023-03-04T00:00:00"/>
    <s v="CUST621"/>
    <x v="1"/>
    <s v="Adult"/>
    <n v="40"/>
    <x v="0"/>
    <n v="2"/>
    <n v="500"/>
    <n v="1000"/>
    <n v="15"/>
    <n v="20"/>
  </r>
  <r>
    <n v="622"/>
    <n v="22"/>
    <n v="8"/>
    <n v="2023"/>
    <s v="Tuesday"/>
    <s v="August"/>
    <s v="2023"/>
    <d v="2023-08-22T00:00:00"/>
    <s v="CUST622"/>
    <x v="1"/>
    <s v="Adult"/>
    <n v="49"/>
    <x v="0"/>
    <n v="3"/>
    <n v="25"/>
    <n v="75"/>
    <n v="1.125"/>
    <n v="1.5"/>
  </r>
  <r>
    <n v="623"/>
    <n v="10"/>
    <n v="3"/>
    <n v="2023"/>
    <s v="Friday"/>
    <s v="March"/>
    <s v="2023"/>
    <d v="2023-03-10T00:00:00"/>
    <s v="CUST623"/>
    <x v="0"/>
    <s v="Adult"/>
    <n v="34"/>
    <x v="1"/>
    <n v="3"/>
    <n v="50"/>
    <n v="150"/>
    <e v="#REF!"/>
    <e v="#REF!"/>
  </r>
  <r>
    <n v="624"/>
    <n v="26"/>
    <n v="8"/>
    <n v="2023"/>
    <s v="Saturday"/>
    <s v="August"/>
    <s v="2023"/>
    <d v="2023-08-26T00:00:00"/>
    <s v="CUST624"/>
    <x v="1"/>
    <s v="Adult"/>
    <n v="34"/>
    <x v="0"/>
    <n v="3"/>
    <n v="300"/>
    <n v="900"/>
    <n v="13.5"/>
    <n v="18"/>
  </r>
  <r>
    <n v="625"/>
    <n v="8"/>
    <n v="12"/>
    <n v="2023"/>
    <s v="Friday"/>
    <s v="December"/>
    <s v="2023"/>
    <d v="2023-12-08T00:00:00"/>
    <s v="CUST625"/>
    <x v="0"/>
    <s v="Adult"/>
    <n v="31"/>
    <x v="1"/>
    <n v="1"/>
    <n v="300"/>
    <n v="300"/>
    <e v="#REF!"/>
    <e v="#REF!"/>
  </r>
  <r>
    <n v="626"/>
    <n v="29"/>
    <n v="9"/>
    <n v="2023"/>
    <s v="Friday"/>
    <s v="September"/>
    <s v="2023"/>
    <d v="2023-09-29T00:00:00"/>
    <s v="CUST626"/>
    <x v="1"/>
    <s v="Young Adult"/>
    <n v="26"/>
    <x v="1"/>
    <n v="4"/>
    <n v="500"/>
    <n v="2000"/>
    <e v="#REF!"/>
    <e v="#REF!"/>
  </r>
  <r>
    <n v="627"/>
    <n v="14"/>
    <n v="10"/>
    <n v="2023"/>
    <s v="Saturday"/>
    <s v="October"/>
    <s v="2023"/>
    <d v="2023-10-14T00:00:00"/>
    <s v="CUST627"/>
    <x v="0"/>
    <s v="Senior"/>
    <n v="57"/>
    <x v="1"/>
    <n v="1"/>
    <n v="50"/>
    <n v="50"/>
    <e v="#REF!"/>
    <e v="#REF!"/>
  </r>
  <r>
    <n v="628"/>
    <n v="1"/>
    <n v="11"/>
    <n v="2023"/>
    <s v="Wednesday"/>
    <s v="November"/>
    <s v="2023"/>
    <d v="2023-11-01T00:00:00"/>
    <s v="CUST628"/>
    <x v="1"/>
    <s v="Young Adult"/>
    <n v="19"/>
    <x v="0"/>
    <n v="4"/>
    <n v="50"/>
    <n v="200"/>
    <n v="3"/>
    <n v="4"/>
  </r>
  <r>
    <n v="629"/>
    <n v="12"/>
    <n v="6"/>
    <n v="2023"/>
    <s v="Monday"/>
    <s v="June"/>
    <s v="2023"/>
    <d v="2023-06-12T00:00:00"/>
    <s v="CUST629"/>
    <x v="0"/>
    <s v="Senior"/>
    <n v="62"/>
    <x v="2"/>
    <n v="2"/>
    <n v="25"/>
    <n v="50"/>
    <e v="#REF!"/>
    <e v="#REF!"/>
  </r>
  <r>
    <n v="630"/>
    <n v="15"/>
    <n v="8"/>
    <n v="2023"/>
    <s v="Tuesday"/>
    <s v="August"/>
    <s v="2023"/>
    <d v="2023-08-15T00:00:00"/>
    <s v="CUST630"/>
    <x v="0"/>
    <s v="Adult"/>
    <n v="42"/>
    <x v="1"/>
    <n v="2"/>
    <n v="50"/>
    <n v="100"/>
    <e v="#REF!"/>
    <e v="#REF!"/>
  </r>
  <r>
    <n v="631"/>
    <n v="10"/>
    <n v="11"/>
    <n v="2023"/>
    <s v="Friday"/>
    <s v="November"/>
    <s v="2023"/>
    <d v="2023-11-10T00:00:00"/>
    <s v="CUST631"/>
    <x v="0"/>
    <s v="Senior"/>
    <n v="56"/>
    <x v="2"/>
    <n v="3"/>
    <n v="30"/>
    <n v="90"/>
    <e v="#REF!"/>
    <e v="#REF!"/>
  </r>
  <r>
    <n v="632"/>
    <n v="16"/>
    <n v="9"/>
    <n v="2023"/>
    <s v="Saturday"/>
    <s v="September"/>
    <s v="2023"/>
    <d v="2023-09-16T00:00:00"/>
    <s v="CUST632"/>
    <x v="1"/>
    <s v="Young Adult"/>
    <n v="26"/>
    <x v="2"/>
    <n v="4"/>
    <n v="25"/>
    <n v="100"/>
    <e v="#REF!"/>
    <e v="#REF!"/>
  </r>
  <r>
    <n v="633"/>
    <n v="7"/>
    <n v="8"/>
    <n v="2023"/>
    <s v="Monday"/>
    <s v="August"/>
    <s v="2023"/>
    <d v="2023-08-07T00:00:00"/>
    <s v="CUST633"/>
    <x v="0"/>
    <s v="Adult"/>
    <n v="39"/>
    <x v="0"/>
    <n v="4"/>
    <n v="30"/>
    <n v="120"/>
    <n v="1.7999999999999998"/>
    <n v="2.4"/>
  </r>
  <r>
    <n v="634"/>
    <n v="8"/>
    <n v="10"/>
    <n v="2023"/>
    <s v="Sunday"/>
    <s v="October"/>
    <s v="2023"/>
    <d v="2023-10-08T00:00:00"/>
    <s v="CUST634"/>
    <x v="0"/>
    <s v="Senior"/>
    <n v="60"/>
    <x v="2"/>
    <n v="4"/>
    <n v="500"/>
    <n v="2000"/>
    <e v="#REF!"/>
    <e v="#REF!"/>
  </r>
  <r>
    <n v="635"/>
    <n v="17"/>
    <n v="8"/>
    <n v="2023"/>
    <s v="Thursday"/>
    <s v="August"/>
    <s v="2023"/>
    <d v="2023-08-17T00:00:00"/>
    <s v="CUST635"/>
    <x v="1"/>
    <s v="Senior"/>
    <n v="63"/>
    <x v="2"/>
    <n v="3"/>
    <n v="300"/>
    <n v="900"/>
    <e v="#REF!"/>
    <e v="#REF!"/>
  </r>
  <r>
    <n v="636"/>
    <n v="23"/>
    <n v="3"/>
    <n v="2023"/>
    <s v="Thursday"/>
    <s v="March"/>
    <s v="2023"/>
    <d v="2023-03-23T00:00:00"/>
    <s v="CUST636"/>
    <x v="1"/>
    <s v="Young Adult"/>
    <n v="21"/>
    <x v="0"/>
    <n v="3"/>
    <n v="500"/>
    <n v="1500"/>
    <n v="22.5"/>
    <n v="30"/>
  </r>
  <r>
    <n v="637"/>
    <n v="1"/>
    <n v="9"/>
    <n v="2023"/>
    <s v="Friday"/>
    <s v="September"/>
    <s v="2023"/>
    <d v="2023-09-01T00:00:00"/>
    <s v="CUST637"/>
    <x v="0"/>
    <s v="Adult"/>
    <n v="43"/>
    <x v="1"/>
    <n v="2"/>
    <n v="300"/>
    <n v="600"/>
    <e v="#REF!"/>
    <e v="#REF!"/>
  </r>
  <r>
    <n v="638"/>
    <n v="19"/>
    <n v="8"/>
    <n v="2023"/>
    <s v="Saturday"/>
    <s v="August"/>
    <s v="2023"/>
    <d v="2023-08-19T00:00:00"/>
    <s v="CUST638"/>
    <x v="0"/>
    <s v="Adult"/>
    <n v="46"/>
    <x v="2"/>
    <n v="1"/>
    <n v="500"/>
    <n v="500"/>
    <e v="#REF!"/>
    <e v="#REF!"/>
  </r>
  <r>
    <n v="639"/>
    <n v="13"/>
    <n v="5"/>
    <n v="2023"/>
    <s v="Saturday"/>
    <s v="May"/>
    <s v="2023"/>
    <d v="2023-05-13T00:00:00"/>
    <s v="CUST639"/>
    <x v="1"/>
    <s v="Senior"/>
    <n v="62"/>
    <x v="0"/>
    <n v="4"/>
    <n v="50"/>
    <n v="200"/>
    <n v="3"/>
    <n v="4"/>
  </r>
  <r>
    <n v="640"/>
    <n v="7"/>
    <n v="5"/>
    <n v="2023"/>
    <s v="Sunday"/>
    <s v="May"/>
    <s v="2023"/>
    <d v="2023-05-07T00:00:00"/>
    <s v="CUST640"/>
    <x v="1"/>
    <s v="Senior"/>
    <n v="51"/>
    <x v="2"/>
    <n v="4"/>
    <n v="30"/>
    <n v="120"/>
    <e v="#REF!"/>
    <e v="#REF!"/>
  </r>
  <r>
    <n v="641"/>
    <n v="23"/>
    <n v="11"/>
    <n v="2023"/>
    <s v="Thursday"/>
    <s v="November"/>
    <s v="2023"/>
    <d v="2023-11-23T00:00:00"/>
    <s v="CUST641"/>
    <x v="1"/>
    <s v="Adult"/>
    <n v="40"/>
    <x v="2"/>
    <n v="1"/>
    <n v="300"/>
    <n v="300"/>
    <e v="#REF!"/>
    <e v="#REF!"/>
  </r>
  <r>
    <n v="642"/>
    <n v="22"/>
    <n v="5"/>
    <n v="2023"/>
    <s v="Monday"/>
    <s v="May"/>
    <s v="2023"/>
    <d v="2023-05-22T00:00:00"/>
    <s v="CUST642"/>
    <x v="1"/>
    <s v="Senior"/>
    <n v="54"/>
    <x v="1"/>
    <n v="4"/>
    <n v="25"/>
    <n v="100"/>
    <e v="#REF!"/>
    <e v="#REF!"/>
  </r>
  <r>
    <n v="643"/>
    <n v="24"/>
    <n v="9"/>
    <n v="2023"/>
    <s v="Sunday"/>
    <s v="September"/>
    <s v="2023"/>
    <d v="2023-09-24T00:00:00"/>
    <s v="CUST643"/>
    <x v="1"/>
    <s v="Young Adult"/>
    <n v="28"/>
    <x v="2"/>
    <n v="3"/>
    <n v="30"/>
    <n v="90"/>
    <e v="#REF!"/>
    <e v="#REF!"/>
  </r>
  <r>
    <n v="644"/>
    <n v="6"/>
    <n v="9"/>
    <n v="2023"/>
    <s v="Wednesday"/>
    <s v="September"/>
    <s v="2023"/>
    <d v="2023-09-06T00:00:00"/>
    <s v="CUST644"/>
    <x v="0"/>
    <s v="Young Adult"/>
    <n v="23"/>
    <x v="0"/>
    <n v="3"/>
    <n v="25"/>
    <n v="75"/>
    <n v="1.125"/>
    <n v="1.5"/>
  </r>
  <r>
    <n v="645"/>
    <n v="17"/>
    <n v="11"/>
    <n v="2023"/>
    <s v="Friday"/>
    <s v="November"/>
    <s v="2023"/>
    <d v="2023-11-17T00:00:00"/>
    <s v="CUST645"/>
    <x v="1"/>
    <s v="Adult"/>
    <n v="35"/>
    <x v="2"/>
    <n v="4"/>
    <n v="30"/>
    <n v="120"/>
    <e v="#REF!"/>
    <e v="#REF!"/>
  </r>
  <r>
    <n v="646"/>
    <n v="3"/>
    <n v="5"/>
    <n v="2023"/>
    <s v="Wednesday"/>
    <s v="May"/>
    <s v="2023"/>
    <d v="2023-05-03T00:00:00"/>
    <s v="CUST646"/>
    <x v="0"/>
    <s v="Adult"/>
    <n v="38"/>
    <x v="1"/>
    <n v="3"/>
    <n v="30"/>
    <n v="90"/>
    <e v="#REF!"/>
    <e v="#REF!"/>
  </r>
  <r>
    <n v="647"/>
    <n v="21"/>
    <n v="5"/>
    <n v="2023"/>
    <s v="Sunday"/>
    <s v="May"/>
    <s v="2023"/>
    <d v="2023-05-21T00:00:00"/>
    <s v="CUST647"/>
    <x v="0"/>
    <s v="Senior"/>
    <n v="59"/>
    <x v="1"/>
    <n v="3"/>
    <n v="500"/>
    <n v="1500"/>
    <e v="#REF!"/>
    <e v="#REF!"/>
  </r>
  <r>
    <n v="648"/>
    <n v="14"/>
    <n v="8"/>
    <n v="2023"/>
    <s v="Monday"/>
    <s v="August"/>
    <s v="2023"/>
    <d v="2023-08-14T00:00:00"/>
    <s v="CUST648"/>
    <x v="0"/>
    <s v="Senior"/>
    <n v="53"/>
    <x v="0"/>
    <n v="4"/>
    <n v="300"/>
    <n v="1200"/>
    <n v="18"/>
    <n v="24"/>
  </r>
  <r>
    <n v="649"/>
    <n v="9"/>
    <n v="2"/>
    <n v="2023"/>
    <s v="Thursday"/>
    <s v="February"/>
    <s v="2023"/>
    <d v="2023-02-09T00:00:00"/>
    <s v="CUST649"/>
    <x v="1"/>
    <s v="Senior"/>
    <n v="58"/>
    <x v="1"/>
    <n v="2"/>
    <n v="300"/>
    <n v="600"/>
    <e v="#REF!"/>
    <e v="#REF!"/>
  </r>
  <r>
    <n v="650"/>
    <n v="1"/>
    <n v="1"/>
    <n v="2024"/>
    <s v="Monday"/>
    <s v="January"/>
    <s v="2024"/>
    <d v="2024-01-01T00:00:00"/>
    <s v="CUST650"/>
    <x v="0"/>
    <s v="Senior"/>
    <n v="55"/>
    <x v="2"/>
    <n v="1"/>
    <n v="30"/>
    <n v="30"/>
    <e v="#REF!"/>
    <e v="#REF!"/>
  </r>
  <r>
    <n v="651"/>
    <n v="27"/>
    <n v="5"/>
    <n v="2023"/>
    <s v="Saturday"/>
    <s v="May"/>
    <s v="2023"/>
    <d v="2023-05-27T00:00:00"/>
    <s v="CUST651"/>
    <x v="0"/>
    <s v="Senior"/>
    <n v="51"/>
    <x v="1"/>
    <n v="3"/>
    <n v="50"/>
    <n v="150"/>
    <e v="#REF!"/>
    <e v="#REF!"/>
  </r>
  <r>
    <n v="652"/>
    <n v="1"/>
    <n v="5"/>
    <n v="2023"/>
    <s v="Monday"/>
    <s v="May"/>
    <s v="2023"/>
    <d v="2023-05-01T00:00:00"/>
    <s v="CUST652"/>
    <x v="1"/>
    <s v="Adult"/>
    <n v="34"/>
    <x v="0"/>
    <n v="2"/>
    <n v="50"/>
    <n v="100"/>
    <n v="1.5"/>
    <n v="2"/>
  </r>
  <r>
    <n v="653"/>
    <n v="20"/>
    <n v="5"/>
    <n v="2023"/>
    <s v="Saturday"/>
    <s v="May"/>
    <s v="2023"/>
    <d v="2023-05-20T00:00:00"/>
    <s v="CUST653"/>
    <x v="0"/>
    <s v="Senior"/>
    <n v="54"/>
    <x v="1"/>
    <n v="3"/>
    <n v="25"/>
    <n v="75"/>
    <e v="#REF!"/>
    <e v="#REF!"/>
  </r>
  <r>
    <n v="654"/>
    <n v="21"/>
    <n v="6"/>
    <n v="2023"/>
    <s v="Wednesday"/>
    <s v="June"/>
    <s v="2023"/>
    <d v="2023-06-21T00:00:00"/>
    <s v="CUST654"/>
    <x v="0"/>
    <s v="Adult"/>
    <n v="42"/>
    <x v="1"/>
    <n v="3"/>
    <n v="25"/>
    <n v="75"/>
    <e v="#REF!"/>
    <e v="#REF!"/>
  </r>
  <r>
    <n v="655"/>
    <n v="13"/>
    <n v="6"/>
    <n v="2023"/>
    <s v="Tuesday"/>
    <s v="June"/>
    <s v="2023"/>
    <d v="2023-06-13T00:00:00"/>
    <s v="CUST655"/>
    <x v="1"/>
    <s v="Senior"/>
    <n v="55"/>
    <x v="1"/>
    <n v="1"/>
    <n v="500"/>
    <n v="500"/>
    <e v="#REF!"/>
    <e v="#REF!"/>
  </r>
  <r>
    <n v="656"/>
    <n v="4"/>
    <n v="10"/>
    <n v="2023"/>
    <s v="Wednesday"/>
    <s v="October"/>
    <s v="2023"/>
    <d v="2023-10-04T00:00:00"/>
    <s v="CUST656"/>
    <x v="0"/>
    <s v="Young Adult"/>
    <n v="29"/>
    <x v="0"/>
    <n v="3"/>
    <n v="30"/>
    <n v="90"/>
    <n v="1.3499999999999999"/>
    <n v="1.8"/>
  </r>
  <r>
    <n v="657"/>
    <n v="11"/>
    <n v="2"/>
    <n v="2023"/>
    <s v="Saturday"/>
    <s v="February"/>
    <s v="2023"/>
    <d v="2023-02-11T00:00:00"/>
    <s v="CUST657"/>
    <x v="0"/>
    <s v="Adult"/>
    <n v="40"/>
    <x v="1"/>
    <n v="1"/>
    <n v="25"/>
    <n v="25"/>
    <e v="#REF!"/>
    <e v="#REF!"/>
  </r>
  <r>
    <n v="658"/>
    <n v="12"/>
    <n v="3"/>
    <n v="2023"/>
    <s v="Sunday"/>
    <s v="March"/>
    <s v="2023"/>
    <d v="2023-03-12T00:00:00"/>
    <s v="CUST658"/>
    <x v="0"/>
    <s v="Senior"/>
    <n v="59"/>
    <x v="1"/>
    <n v="1"/>
    <n v="25"/>
    <n v="25"/>
    <e v="#REF!"/>
    <e v="#REF!"/>
  </r>
  <r>
    <n v="659"/>
    <n v="19"/>
    <n v="3"/>
    <n v="2023"/>
    <s v="Sunday"/>
    <s v="March"/>
    <s v="2023"/>
    <d v="2023-03-19T00:00:00"/>
    <s v="CUST659"/>
    <x v="1"/>
    <s v="Adult"/>
    <n v="39"/>
    <x v="2"/>
    <n v="1"/>
    <n v="30"/>
    <n v="30"/>
    <e v="#REF!"/>
    <e v="#REF!"/>
  </r>
  <r>
    <n v="660"/>
    <n v="29"/>
    <n v="4"/>
    <n v="2023"/>
    <s v="Saturday"/>
    <s v="April"/>
    <s v="2023"/>
    <d v="2023-04-29T00:00:00"/>
    <s v="CUST660"/>
    <x v="1"/>
    <s v="Adult"/>
    <n v="38"/>
    <x v="0"/>
    <n v="2"/>
    <n v="500"/>
    <n v="1000"/>
    <n v="15"/>
    <n v="20"/>
  </r>
  <r>
    <n v="661"/>
    <n v="16"/>
    <n v="7"/>
    <n v="2023"/>
    <s v="Sunday"/>
    <s v="July"/>
    <s v="2023"/>
    <d v="2023-07-16T00:00:00"/>
    <s v="CUST661"/>
    <x v="1"/>
    <s v="Adult"/>
    <n v="44"/>
    <x v="1"/>
    <n v="4"/>
    <n v="25"/>
    <n v="100"/>
    <e v="#REF!"/>
    <e v="#REF!"/>
  </r>
  <r>
    <n v="662"/>
    <n v="22"/>
    <n v="12"/>
    <n v="2023"/>
    <s v="Friday"/>
    <s v="December"/>
    <s v="2023"/>
    <d v="2023-12-22T00:00:00"/>
    <s v="CUST662"/>
    <x v="0"/>
    <s v="Adult"/>
    <n v="48"/>
    <x v="0"/>
    <n v="2"/>
    <n v="500"/>
    <n v="1000"/>
    <n v="15"/>
    <n v="20"/>
  </r>
  <r>
    <n v="663"/>
    <n v="20"/>
    <n v="3"/>
    <n v="2023"/>
    <s v="Monday"/>
    <s v="March"/>
    <s v="2023"/>
    <d v="2023-03-20T00:00:00"/>
    <s v="CUST663"/>
    <x v="0"/>
    <s v="Young Adult"/>
    <n v="23"/>
    <x v="1"/>
    <n v="4"/>
    <n v="300"/>
    <n v="1200"/>
    <e v="#REF!"/>
    <e v="#REF!"/>
  </r>
  <r>
    <n v="664"/>
    <n v="28"/>
    <n v="12"/>
    <n v="2023"/>
    <s v="Thursday"/>
    <s v="December"/>
    <s v="2023"/>
    <d v="2023-12-28T00:00:00"/>
    <s v="CUST664"/>
    <x v="1"/>
    <s v="Adult"/>
    <n v="44"/>
    <x v="1"/>
    <n v="4"/>
    <n v="500"/>
    <n v="2000"/>
    <e v="#REF!"/>
    <e v="#REF!"/>
  </r>
  <r>
    <n v="665"/>
    <n v="20"/>
    <n v="4"/>
    <n v="2023"/>
    <s v="Thursday"/>
    <s v="April"/>
    <s v="2023"/>
    <d v="2023-04-20T00:00:00"/>
    <s v="CUST665"/>
    <x v="0"/>
    <s v="Senior"/>
    <n v="57"/>
    <x v="1"/>
    <n v="1"/>
    <n v="50"/>
    <n v="50"/>
    <e v="#REF!"/>
    <e v="#REF!"/>
  </r>
  <r>
    <n v="666"/>
    <n v="2"/>
    <n v="2"/>
    <n v="2023"/>
    <s v="Thursday"/>
    <s v="February"/>
    <s v="2023"/>
    <d v="2023-02-02T00:00:00"/>
    <s v="CUST666"/>
    <x v="0"/>
    <s v="Senior"/>
    <n v="51"/>
    <x v="2"/>
    <n v="3"/>
    <n v="50"/>
    <n v="150"/>
    <e v="#REF!"/>
    <e v="#REF!"/>
  </r>
  <r>
    <n v="667"/>
    <n v="1"/>
    <n v="8"/>
    <n v="2023"/>
    <s v="Tuesday"/>
    <s v="August"/>
    <s v="2023"/>
    <d v="2023-08-01T00:00:00"/>
    <s v="CUST667"/>
    <x v="1"/>
    <s v="Young Adult"/>
    <n v="29"/>
    <x v="2"/>
    <n v="1"/>
    <n v="500"/>
    <n v="500"/>
    <e v="#REF!"/>
    <e v="#REF!"/>
  </r>
  <r>
    <n v="668"/>
    <n v="28"/>
    <n v="7"/>
    <n v="2023"/>
    <s v="Friday"/>
    <s v="July"/>
    <s v="2023"/>
    <d v="2023-07-28T00:00:00"/>
    <s v="CUST668"/>
    <x v="1"/>
    <s v="Senior"/>
    <n v="62"/>
    <x v="2"/>
    <n v="3"/>
    <n v="50"/>
    <n v="150"/>
    <e v="#REF!"/>
    <e v="#REF!"/>
  </r>
  <r>
    <n v="669"/>
    <n v="19"/>
    <n v="6"/>
    <n v="2023"/>
    <s v="Monday"/>
    <s v="June"/>
    <s v="2023"/>
    <d v="2023-06-19T00:00:00"/>
    <s v="CUST669"/>
    <x v="0"/>
    <s v="Young Adult"/>
    <n v="24"/>
    <x v="0"/>
    <n v="4"/>
    <n v="300"/>
    <n v="1200"/>
    <n v="18"/>
    <n v="24"/>
  </r>
  <r>
    <n v="670"/>
    <n v="5"/>
    <n v="10"/>
    <n v="2023"/>
    <s v="Thursday"/>
    <s v="October"/>
    <s v="2023"/>
    <d v="2023-10-05T00:00:00"/>
    <s v="CUST670"/>
    <x v="0"/>
    <s v="Young Adult"/>
    <n v="27"/>
    <x v="0"/>
    <n v="1"/>
    <n v="30"/>
    <n v="30"/>
    <n v="0.44999999999999996"/>
    <n v="0.6"/>
  </r>
  <r>
    <n v="671"/>
    <n v="27"/>
    <n v="8"/>
    <n v="2023"/>
    <s v="Sunday"/>
    <s v="August"/>
    <s v="2023"/>
    <d v="2023-08-27T00:00:00"/>
    <s v="CUST671"/>
    <x v="0"/>
    <s v="Senior"/>
    <n v="62"/>
    <x v="2"/>
    <n v="3"/>
    <n v="50"/>
    <n v="150"/>
    <e v="#REF!"/>
    <e v="#REF!"/>
  </r>
  <r>
    <n v="672"/>
    <n v="1"/>
    <n v="8"/>
    <n v="2023"/>
    <s v="Tuesday"/>
    <s v="August"/>
    <s v="2023"/>
    <d v="2023-08-01T00:00:00"/>
    <s v="CUST672"/>
    <x v="1"/>
    <s v="Adult"/>
    <n v="34"/>
    <x v="0"/>
    <n v="2"/>
    <n v="50"/>
    <n v="100"/>
    <n v="1.5"/>
    <n v="2"/>
  </r>
  <r>
    <n v="673"/>
    <n v="1"/>
    <n v="2"/>
    <n v="2023"/>
    <s v="Wednesday"/>
    <s v="February"/>
    <s v="2023"/>
    <d v="2023-02-01T00:00:00"/>
    <s v="CUST673"/>
    <x v="1"/>
    <s v="Adult"/>
    <n v="43"/>
    <x v="1"/>
    <n v="3"/>
    <n v="500"/>
    <n v="1500"/>
    <e v="#REF!"/>
    <e v="#REF!"/>
  </r>
  <r>
    <n v="674"/>
    <n v="16"/>
    <n v="4"/>
    <n v="2023"/>
    <s v="Sunday"/>
    <s v="April"/>
    <s v="2023"/>
    <d v="2023-04-16T00:00:00"/>
    <s v="CUST674"/>
    <x v="1"/>
    <s v="Adult"/>
    <n v="38"/>
    <x v="1"/>
    <n v="1"/>
    <n v="300"/>
    <n v="300"/>
    <e v="#REF!"/>
    <e v="#REF!"/>
  </r>
  <r>
    <n v="675"/>
    <n v="4"/>
    <n v="8"/>
    <n v="2023"/>
    <s v="Friday"/>
    <s v="August"/>
    <s v="2023"/>
    <d v="2023-08-04T00:00:00"/>
    <s v="CUST675"/>
    <x v="1"/>
    <s v="Adult"/>
    <n v="45"/>
    <x v="1"/>
    <n v="2"/>
    <n v="30"/>
    <n v="60"/>
    <e v="#REF!"/>
    <e v="#REF!"/>
  </r>
  <r>
    <n v="676"/>
    <n v="19"/>
    <n v="7"/>
    <n v="2023"/>
    <s v="Wednesday"/>
    <s v="July"/>
    <s v="2023"/>
    <d v="2023-07-19T00:00:00"/>
    <s v="CUST676"/>
    <x v="0"/>
    <s v="Senior"/>
    <n v="63"/>
    <x v="2"/>
    <n v="3"/>
    <n v="500"/>
    <n v="1500"/>
    <e v="#REF!"/>
    <e v="#REF!"/>
  </r>
  <r>
    <n v="677"/>
    <n v="27"/>
    <n v="10"/>
    <n v="2023"/>
    <s v="Friday"/>
    <s v="October"/>
    <s v="2023"/>
    <d v="2023-10-27T00:00:00"/>
    <s v="CUST677"/>
    <x v="1"/>
    <s v="Young Adult"/>
    <n v="19"/>
    <x v="0"/>
    <n v="3"/>
    <n v="500"/>
    <n v="1500"/>
    <n v="22.5"/>
    <n v="30"/>
  </r>
  <r>
    <n v="678"/>
    <n v="23"/>
    <n v="12"/>
    <n v="2023"/>
    <s v="Saturday"/>
    <s v="December"/>
    <s v="2023"/>
    <d v="2023-12-23T00:00:00"/>
    <s v="CUST678"/>
    <x v="1"/>
    <s v="Senior"/>
    <n v="60"/>
    <x v="2"/>
    <n v="3"/>
    <n v="300"/>
    <n v="900"/>
    <e v="#REF!"/>
    <e v="#REF!"/>
  </r>
  <r>
    <n v="679"/>
    <n v="11"/>
    <n v="1"/>
    <n v="2023"/>
    <s v="Wednesday"/>
    <s v="January"/>
    <s v="2023"/>
    <d v="2023-01-11T00:00:00"/>
    <s v="CUST679"/>
    <x v="1"/>
    <s v="Young Adult"/>
    <n v="18"/>
    <x v="0"/>
    <n v="3"/>
    <n v="30"/>
    <n v="90"/>
    <n v="1.3499999999999999"/>
    <n v="1.8"/>
  </r>
  <r>
    <n v="680"/>
    <n v="22"/>
    <n v="10"/>
    <n v="2023"/>
    <s v="Sunday"/>
    <s v="October"/>
    <s v="2023"/>
    <d v="2023-10-22T00:00:00"/>
    <s v="CUST680"/>
    <x v="1"/>
    <s v="Senior"/>
    <n v="53"/>
    <x v="1"/>
    <n v="3"/>
    <n v="300"/>
    <n v="900"/>
    <e v="#REF!"/>
    <e v="#REF!"/>
  </r>
  <r>
    <n v="681"/>
    <n v="14"/>
    <n v="7"/>
    <n v="2023"/>
    <s v="Friday"/>
    <s v="July"/>
    <s v="2023"/>
    <d v="2023-07-14T00:00:00"/>
    <s v="CUST681"/>
    <x v="1"/>
    <s v="Adult"/>
    <n v="43"/>
    <x v="2"/>
    <n v="2"/>
    <n v="30"/>
    <n v="60"/>
    <e v="#REF!"/>
    <e v="#REF!"/>
  </r>
  <r>
    <n v="682"/>
    <n v="2"/>
    <n v="9"/>
    <n v="2023"/>
    <s v="Saturday"/>
    <s v="September"/>
    <s v="2023"/>
    <d v="2023-09-02T00:00:00"/>
    <s v="CUST682"/>
    <x v="0"/>
    <s v="Adult"/>
    <n v="46"/>
    <x v="0"/>
    <n v="4"/>
    <n v="300"/>
    <n v="1200"/>
    <n v="18"/>
    <n v="24"/>
  </r>
  <r>
    <n v="683"/>
    <n v="4"/>
    <n v="1"/>
    <n v="2023"/>
    <s v="Wednesday"/>
    <s v="January"/>
    <s v="2023"/>
    <d v="2023-01-04T00:00:00"/>
    <s v="CUST683"/>
    <x v="0"/>
    <s v="Adult"/>
    <n v="38"/>
    <x v="0"/>
    <n v="2"/>
    <n v="500"/>
    <n v="1000"/>
    <n v="15"/>
    <n v="20"/>
  </r>
  <r>
    <n v="684"/>
    <n v="30"/>
    <n v="6"/>
    <n v="2023"/>
    <s v="Friday"/>
    <s v="June"/>
    <s v="2023"/>
    <d v="2023-06-30T00:00:00"/>
    <s v="CUST684"/>
    <x v="1"/>
    <s v="Young Adult"/>
    <n v="28"/>
    <x v="1"/>
    <n v="2"/>
    <n v="500"/>
    <n v="1000"/>
    <e v="#REF!"/>
    <e v="#REF!"/>
  </r>
  <r>
    <n v="685"/>
    <n v="2"/>
    <n v="6"/>
    <n v="2023"/>
    <s v="Friday"/>
    <s v="June"/>
    <s v="2023"/>
    <d v="2023-06-02T00:00:00"/>
    <s v="CUST685"/>
    <x v="0"/>
    <s v="Senior"/>
    <n v="57"/>
    <x v="2"/>
    <n v="2"/>
    <n v="25"/>
    <n v="50"/>
    <e v="#REF!"/>
    <e v="#REF!"/>
  </r>
  <r>
    <n v="686"/>
    <n v="19"/>
    <n v="7"/>
    <n v="2023"/>
    <s v="Wednesday"/>
    <s v="July"/>
    <s v="2023"/>
    <d v="2023-07-19T00:00:00"/>
    <s v="CUST686"/>
    <x v="1"/>
    <s v="Young Adult"/>
    <n v="28"/>
    <x v="2"/>
    <n v="4"/>
    <n v="50"/>
    <n v="200"/>
    <e v="#REF!"/>
    <e v="#REF!"/>
  </r>
  <r>
    <n v="687"/>
    <n v="3"/>
    <n v="8"/>
    <n v="2023"/>
    <s v="Thursday"/>
    <s v="August"/>
    <s v="2023"/>
    <d v="2023-08-03T00:00:00"/>
    <s v="CUST687"/>
    <x v="1"/>
    <s v="Senior"/>
    <n v="53"/>
    <x v="2"/>
    <n v="1"/>
    <n v="300"/>
    <n v="300"/>
    <e v="#REF!"/>
    <e v="#REF!"/>
  </r>
  <r>
    <n v="688"/>
    <n v="3"/>
    <n v="10"/>
    <n v="2023"/>
    <s v="Tuesday"/>
    <s v="October"/>
    <s v="2023"/>
    <d v="2023-10-03T00:00:00"/>
    <s v="CUST688"/>
    <x v="0"/>
    <s v="Senior"/>
    <n v="56"/>
    <x v="1"/>
    <n v="4"/>
    <n v="25"/>
    <n v="100"/>
    <e v="#REF!"/>
    <e v="#REF!"/>
  </r>
  <r>
    <n v="689"/>
    <n v="7"/>
    <n v="10"/>
    <n v="2023"/>
    <s v="Saturday"/>
    <s v="October"/>
    <s v="2023"/>
    <d v="2023-10-07T00:00:00"/>
    <s v="CUST689"/>
    <x v="0"/>
    <s v="Senior"/>
    <n v="57"/>
    <x v="2"/>
    <n v="2"/>
    <n v="50"/>
    <n v="100"/>
    <e v="#REF!"/>
    <e v="#REF!"/>
  </r>
  <r>
    <n v="690"/>
    <n v="5"/>
    <n v="11"/>
    <n v="2023"/>
    <s v="Sunday"/>
    <s v="November"/>
    <s v="2023"/>
    <d v="2023-11-05T00:00:00"/>
    <s v="CUST690"/>
    <x v="1"/>
    <s v="Senior"/>
    <n v="52"/>
    <x v="1"/>
    <n v="3"/>
    <n v="300"/>
    <n v="900"/>
    <e v="#REF!"/>
    <e v="#REF!"/>
  </r>
  <r>
    <n v="691"/>
    <n v="23"/>
    <n v="4"/>
    <n v="2023"/>
    <s v="Sunday"/>
    <s v="April"/>
    <s v="2023"/>
    <d v="2023-04-23T00:00:00"/>
    <s v="CUST691"/>
    <x v="1"/>
    <s v="Senior"/>
    <n v="51"/>
    <x v="1"/>
    <n v="3"/>
    <n v="30"/>
    <n v="90"/>
    <e v="#REF!"/>
    <e v="#REF!"/>
  </r>
  <r>
    <n v="692"/>
    <n v="7"/>
    <n v="9"/>
    <n v="2023"/>
    <s v="Thursday"/>
    <s v="September"/>
    <s v="2023"/>
    <d v="2023-09-07T00:00:00"/>
    <s v="CUST692"/>
    <x v="1"/>
    <s v="Senior"/>
    <n v="64"/>
    <x v="1"/>
    <n v="2"/>
    <n v="50"/>
    <n v="100"/>
    <e v="#REF!"/>
    <e v="#REF!"/>
  </r>
  <r>
    <n v="693"/>
    <n v="23"/>
    <n v="4"/>
    <n v="2023"/>
    <s v="Sunday"/>
    <s v="April"/>
    <s v="2023"/>
    <d v="2023-04-23T00:00:00"/>
    <s v="CUST693"/>
    <x v="0"/>
    <s v="Adult"/>
    <n v="41"/>
    <x v="0"/>
    <n v="3"/>
    <n v="500"/>
    <n v="1500"/>
    <n v="22.5"/>
    <n v="30"/>
  </r>
  <r>
    <n v="694"/>
    <n v="20"/>
    <n v="5"/>
    <n v="2023"/>
    <s v="Saturday"/>
    <s v="May"/>
    <s v="2023"/>
    <d v="2023-05-20T00:00:00"/>
    <s v="CUST694"/>
    <x v="1"/>
    <s v="Adult"/>
    <n v="39"/>
    <x v="2"/>
    <n v="2"/>
    <n v="25"/>
    <n v="50"/>
    <e v="#REF!"/>
    <e v="#REF!"/>
  </r>
  <r>
    <n v="695"/>
    <n v="12"/>
    <n v="8"/>
    <n v="2023"/>
    <s v="Saturday"/>
    <s v="August"/>
    <s v="2023"/>
    <d v="2023-08-12T00:00:00"/>
    <s v="CUST695"/>
    <x v="1"/>
    <s v="Young Adult"/>
    <n v="22"/>
    <x v="2"/>
    <n v="3"/>
    <n v="50"/>
    <n v="150"/>
    <e v="#REF!"/>
    <e v="#REF!"/>
  </r>
  <r>
    <n v="696"/>
    <n v="6"/>
    <n v="9"/>
    <n v="2023"/>
    <s v="Wednesday"/>
    <s v="September"/>
    <s v="2023"/>
    <d v="2023-09-06T00:00:00"/>
    <s v="CUST696"/>
    <x v="1"/>
    <s v="Adult"/>
    <n v="50"/>
    <x v="1"/>
    <n v="4"/>
    <n v="50"/>
    <n v="200"/>
    <e v="#REF!"/>
    <e v="#REF!"/>
  </r>
  <r>
    <n v="697"/>
    <n v="15"/>
    <n v="1"/>
    <n v="2023"/>
    <s v="Sunday"/>
    <s v="January"/>
    <s v="2023"/>
    <d v="2023-01-15T00:00:00"/>
    <s v="CUST697"/>
    <x v="0"/>
    <s v="Senior"/>
    <n v="53"/>
    <x v="1"/>
    <n v="1"/>
    <n v="500"/>
    <n v="500"/>
    <e v="#REF!"/>
    <e v="#REF!"/>
  </r>
  <r>
    <n v="698"/>
    <n v="19"/>
    <n v="7"/>
    <n v="2023"/>
    <s v="Wednesday"/>
    <s v="July"/>
    <s v="2023"/>
    <d v="2023-07-19T00:00:00"/>
    <s v="CUST698"/>
    <x v="1"/>
    <s v="Senior"/>
    <n v="64"/>
    <x v="2"/>
    <n v="1"/>
    <n v="300"/>
    <n v="300"/>
    <e v="#REF!"/>
    <e v="#REF!"/>
  </r>
  <r>
    <n v="699"/>
    <n v="22"/>
    <n v="6"/>
    <n v="2023"/>
    <s v="Thursday"/>
    <s v="June"/>
    <s v="2023"/>
    <d v="2023-06-22T00:00:00"/>
    <s v="CUST699"/>
    <x v="1"/>
    <s v="Adult"/>
    <n v="37"/>
    <x v="1"/>
    <n v="4"/>
    <n v="30"/>
    <n v="120"/>
    <e v="#REF!"/>
    <e v="#REF!"/>
  </r>
  <r>
    <n v="700"/>
    <n v="9"/>
    <n v="12"/>
    <n v="2023"/>
    <s v="Saturday"/>
    <s v="December"/>
    <s v="2023"/>
    <d v="2023-12-09T00:00:00"/>
    <s v="CUST700"/>
    <x v="0"/>
    <s v="Adult"/>
    <n v="36"/>
    <x v="2"/>
    <n v="4"/>
    <n v="500"/>
    <n v="2000"/>
    <e v="#REF!"/>
    <e v="#REF!"/>
  </r>
  <r>
    <n v="701"/>
    <n v="14"/>
    <n v="12"/>
    <n v="2023"/>
    <s v="Thursday"/>
    <s v="December"/>
    <s v="2023"/>
    <d v="2023-12-14T00:00:00"/>
    <s v="CUST701"/>
    <x v="1"/>
    <s v="Senior"/>
    <n v="52"/>
    <x v="0"/>
    <n v="2"/>
    <n v="30"/>
    <n v="60"/>
    <n v="0.89999999999999991"/>
    <n v="1.2"/>
  </r>
  <r>
    <n v="702"/>
    <n v="27"/>
    <n v="7"/>
    <n v="2023"/>
    <s v="Thursday"/>
    <s v="July"/>
    <s v="2023"/>
    <d v="2023-07-27T00:00:00"/>
    <s v="CUST702"/>
    <x v="1"/>
    <s v="Senior"/>
    <n v="60"/>
    <x v="1"/>
    <n v="2"/>
    <n v="300"/>
    <n v="600"/>
    <e v="#REF!"/>
    <e v="#REF!"/>
  </r>
  <r>
    <n v="703"/>
    <n v="26"/>
    <n v="3"/>
    <n v="2023"/>
    <s v="Sunday"/>
    <s v="March"/>
    <s v="2023"/>
    <d v="2023-03-26T00:00:00"/>
    <s v="CUST703"/>
    <x v="0"/>
    <s v="Adult"/>
    <n v="34"/>
    <x v="2"/>
    <n v="2"/>
    <n v="50"/>
    <n v="100"/>
    <e v="#REF!"/>
    <e v="#REF!"/>
  </r>
  <r>
    <n v="704"/>
    <n v="28"/>
    <n v="8"/>
    <n v="2023"/>
    <s v="Monday"/>
    <s v="August"/>
    <s v="2023"/>
    <d v="2023-08-28T00:00:00"/>
    <s v="CUST704"/>
    <x v="1"/>
    <s v="Senior"/>
    <n v="62"/>
    <x v="1"/>
    <n v="3"/>
    <n v="30"/>
    <n v="90"/>
    <e v="#REF!"/>
    <e v="#REF!"/>
  </r>
  <r>
    <n v="705"/>
    <n v="7"/>
    <n v="3"/>
    <n v="2023"/>
    <s v="Tuesday"/>
    <s v="March"/>
    <s v="2023"/>
    <d v="2023-03-07T00:00:00"/>
    <s v="CUST705"/>
    <x v="0"/>
    <s v="Senior"/>
    <n v="60"/>
    <x v="2"/>
    <n v="2"/>
    <n v="25"/>
    <n v="50"/>
    <e v="#REF!"/>
    <e v="#REF!"/>
  </r>
  <r>
    <n v="706"/>
    <n v="15"/>
    <n v="11"/>
    <n v="2023"/>
    <s v="Wednesday"/>
    <s v="November"/>
    <s v="2023"/>
    <d v="2023-11-15T00:00:00"/>
    <s v="CUST706"/>
    <x v="0"/>
    <s v="Senior"/>
    <n v="51"/>
    <x v="2"/>
    <n v="4"/>
    <n v="25"/>
    <n v="100"/>
    <e v="#REF!"/>
    <e v="#REF!"/>
  </r>
  <r>
    <n v="707"/>
    <n v="1"/>
    <n v="10"/>
    <n v="2023"/>
    <s v="Sunday"/>
    <s v="October"/>
    <s v="2023"/>
    <d v="2023-10-01T00:00:00"/>
    <s v="CUST707"/>
    <x v="1"/>
    <s v="Young Adult"/>
    <n v="26"/>
    <x v="1"/>
    <n v="1"/>
    <n v="500"/>
    <n v="500"/>
    <e v="#REF!"/>
    <e v="#REF!"/>
  </r>
  <r>
    <n v="708"/>
    <n v="14"/>
    <n v="1"/>
    <n v="2023"/>
    <s v="Saturday"/>
    <s v="January"/>
    <s v="2023"/>
    <d v="2023-01-14T00:00:00"/>
    <s v="CUST708"/>
    <x v="1"/>
    <s v="Adult"/>
    <n v="43"/>
    <x v="0"/>
    <n v="3"/>
    <n v="300"/>
    <n v="900"/>
    <n v="13.5"/>
    <n v="18"/>
  </r>
  <r>
    <n v="709"/>
    <n v="21"/>
    <n v="7"/>
    <n v="2023"/>
    <s v="Friday"/>
    <s v="July"/>
    <s v="2023"/>
    <d v="2023-07-21T00:00:00"/>
    <s v="CUST709"/>
    <x v="1"/>
    <s v="Young Adult"/>
    <n v="19"/>
    <x v="2"/>
    <n v="2"/>
    <n v="500"/>
    <n v="1000"/>
    <e v="#REF!"/>
    <e v="#REF!"/>
  </r>
  <r>
    <n v="710"/>
    <n v="31"/>
    <n v="10"/>
    <n v="2023"/>
    <s v="Tuesday"/>
    <s v="October"/>
    <s v="2023"/>
    <d v="2023-10-31T00:00:00"/>
    <s v="CUST710"/>
    <x v="1"/>
    <s v="Young Adult"/>
    <n v="26"/>
    <x v="2"/>
    <n v="3"/>
    <n v="500"/>
    <n v="1500"/>
    <e v="#REF!"/>
    <e v="#REF!"/>
  </r>
  <r>
    <n v="711"/>
    <n v="16"/>
    <n v="10"/>
    <n v="2023"/>
    <s v="Monday"/>
    <s v="October"/>
    <s v="2023"/>
    <d v="2023-10-16T00:00:00"/>
    <s v="CUST711"/>
    <x v="0"/>
    <s v="Young Adult"/>
    <n v="26"/>
    <x v="2"/>
    <n v="3"/>
    <n v="500"/>
    <n v="1500"/>
    <e v="#REF!"/>
    <e v="#REF!"/>
  </r>
  <r>
    <n v="712"/>
    <n v="6"/>
    <n v="12"/>
    <n v="2023"/>
    <s v="Wednesday"/>
    <s v="December"/>
    <s v="2023"/>
    <d v="2023-12-06T00:00:00"/>
    <s v="CUST712"/>
    <x v="1"/>
    <s v="Senior"/>
    <n v="57"/>
    <x v="0"/>
    <n v="2"/>
    <n v="25"/>
    <n v="50"/>
    <n v="0.75"/>
    <n v="1"/>
  </r>
  <r>
    <n v="713"/>
    <n v="14"/>
    <n v="1"/>
    <n v="2023"/>
    <s v="Saturday"/>
    <s v="January"/>
    <s v="2023"/>
    <d v="2023-01-14T00:00:00"/>
    <s v="CUST713"/>
    <x v="0"/>
    <s v="Adult"/>
    <n v="34"/>
    <x v="0"/>
    <n v="3"/>
    <n v="25"/>
    <n v="75"/>
    <n v="1.125"/>
    <n v="1.5"/>
  </r>
  <r>
    <n v="714"/>
    <n v="12"/>
    <n v="2"/>
    <n v="2023"/>
    <s v="Sunday"/>
    <s v="February"/>
    <s v="2023"/>
    <d v="2023-02-12T00:00:00"/>
    <s v="CUST714"/>
    <x v="1"/>
    <s v="Young Adult"/>
    <n v="18"/>
    <x v="1"/>
    <n v="1"/>
    <n v="500"/>
    <n v="500"/>
    <e v="#REF!"/>
    <e v="#REF!"/>
  </r>
  <r>
    <n v="715"/>
    <n v="26"/>
    <n v="11"/>
    <n v="2023"/>
    <s v="Sunday"/>
    <s v="November"/>
    <s v="2023"/>
    <d v="2023-11-26T00:00:00"/>
    <s v="CUST715"/>
    <x v="1"/>
    <s v="Adult"/>
    <n v="42"/>
    <x v="0"/>
    <n v="4"/>
    <n v="25"/>
    <n v="100"/>
    <n v="1.5"/>
    <n v="2"/>
  </r>
  <r>
    <n v="716"/>
    <n v="8"/>
    <n v="8"/>
    <n v="2023"/>
    <s v="Tuesday"/>
    <s v="August"/>
    <s v="2023"/>
    <d v="2023-08-08T00:00:00"/>
    <s v="CUST716"/>
    <x v="1"/>
    <s v="Senior"/>
    <n v="60"/>
    <x v="1"/>
    <n v="4"/>
    <n v="300"/>
    <n v="1200"/>
    <e v="#REF!"/>
    <e v="#REF!"/>
  </r>
  <r>
    <n v="717"/>
    <n v="11"/>
    <n v="3"/>
    <n v="2023"/>
    <s v="Saturday"/>
    <s v="March"/>
    <s v="2023"/>
    <d v="2023-03-11T00:00:00"/>
    <s v="CUST717"/>
    <x v="0"/>
    <s v="Senior"/>
    <n v="57"/>
    <x v="1"/>
    <n v="1"/>
    <n v="500"/>
    <n v="500"/>
    <e v="#REF!"/>
    <e v="#REF!"/>
  </r>
  <r>
    <n v="718"/>
    <n v="25"/>
    <n v="8"/>
    <n v="2023"/>
    <s v="Friday"/>
    <s v="August"/>
    <s v="2023"/>
    <d v="2023-08-25T00:00:00"/>
    <s v="CUST718"/>
    <x v="1"/>
    <s v="Senior"/>
    <n v="59"/>
    <x v="0"/>
    <n v="3"/>
    <n v="25"/>
    <n v="75"/>
    <n v="1.125"/>
    <n v="1.5"/>
  </r>
  <r>
    <n v="719"/>
    <n v="4"/>
    <n v="4"/>
    <n v="2023"/>
    <s v="Tuesday"/>
    <s v="April"/>
    <s v="2023"/>
    <d v="2023-04-04T00:00:00"/>
    <s v="CUST719"/>
    <x v="1"/>
    <s v="Adult"/>
    <n v="42"/>
    <x v="1"/>
    <n v="2"/>
    <n v="30"/>
    <n v="60"/>
    <e v="#REF!"/>
    <e v="#REF!"/>
  </r>
  <r>
    <n v="720"/>
    <n v="26"/>
    <n v="1"/>
    <n v="2023"/>
    <s v="Thursday"/>
    <s v="January"/>
    <s v="2023"/>
    <d v="2023-01-26T00:00:00"/>
    <s v="CUST720"/>
    <x v="1"/>
    <s v="Senior"/>
    <n v="56"/>
    <x v="0"/>
    <n v="3"/>
    <n v="500"/>
    <n v="1500"/>
    <n v="22.5"/>
    <n v="30"/>
  </r>
  <r>
    <n v="721"/>
    <n v="14"/>
    <n v="5"/>
    <n v="2023"/>
    <s v="Sunday"/>
    <s v="May"/>
    <s v="2023"/>
    <d v="2023-05-14T00:00:00"/>
    <s v="CUST721"/>
    <x v="1"/>
    <s v="Senior"/>
    <n v="52"/>
    <x v="1"/>
    <n v="1"/>
    <n v="500"/>
    <n v="500"/>
    <e v="#REF!"/>
    <e v="#REF!"/>
  </r>
  <r>
    <n v="722"/>
    <n v="14"/>
    <n v="7"/>
    <n v="2023"/>
    <s v="Friday"/>
    <s v="July"/>
    <s v="2023"/>
    <d v="2023-07-14T00:00:00"/>
    <s v="CUST722"/>
    <x v="0"/>
    <s v="Young Adult"/>
    <n v="20"/>
    <x v="0"/>
    <n v="3"/>
    <n v="300"/>
    <n v="900"/>
    <n v="13.5"/>
    <n v="18"/>
  </r>
  <r>
    <n v="723"/>
    <n v="17"/>
    <n v="6"/>
    <n v="2023"/>
    <s v="Saturday"/>
    <s v="June"/>
    <s v="2023"/>
    <d v="2023-06-17T00:00:00"/>
    <s v="CUST723"/>
    <x v="1"/>
    <s v="Senior"/>
    <n v="54"/>
    <x v="0"/>
    <n v="4"/>
    <n v="50"/>
    <n v="200"/>
    <n v="3"/>
    <n v="4"/>
  </r>
  <r>
    <n v="724"/>
    <n v="19"/>
    <n v="4"/>
    <n v="2023"/>
    <s v="Wednesday"/>
    <s v="April"/>
    <s v="2023"/>
    <d v="2023-04-19T00:00:00"/>
    <s v="CUST724"/>
    <x v="0"/>
    <s v="Senior"/>
    <n v="61"/>
    <x v="1"/>
    <n v="3"/>
    <n v="50"/>
    <n v="150"/>
    <e v="#REF!"/>
    <e v="#REF!"/>
  </r>
  <r>
    <n v="725"/>
    <n v="21"/>
    <n v="8"/>
    <n v="2023"/>
    <s v="Monday"/>
    <s v="August"/>
    <s v="2023"/>
    <d v="2023-08-21T00:00:00"/>
    <s v="CUST725"/>
    <x v="0"/>
    <s v="Senior"/>
    <n v="61"/>
    <x v="2"/>
    <n v="1"/>
    <n v="300"/>
    <n v="300"/>
    <e v="#REF!"/>
    <e v="#REF!"/>
  </r>
  <r>
    <n v="726"/>
    <n v="17"/>
    <n v="6"/>
    <n v="2023"/>
    <s v="Saturday"/>
    <s v="June"/>
    <s v="2023"/>
    <d v="2023-06-17T00:00:00"/>
    <s v="CUST726"/>
    <x v="0"/>
    <s v="Adult"/>
    <n v="47"/>
    <x v="1"/>
    <n v="4"/>
    <n v="300"/>
    <n v="1200"/>
    <e v="#REF!"/>
    <e v="#REF!"/>
  </r>
  <r>
    <n v="727"/>
    <n v="22"/>
    <n v="6"/>
    <n v="2023"/>
    <s v="Thursday"/>
    <s v="June"/>
    <s v="2023"/>
    <d v="2023-06-22T00:00:00"/>
    <s v="CUST727"/>
    <x v="0"/>
    <s v="Senior"/>
    <n v="55"/>
    <x v="0"/>
    <n v="3"/>
    <n v="300"/>
    <n v="900"/>
    <n v="13.5"/>
    <n v="18"/>
  </r>
  <r>
    <n v="728"/>
    <n v="14"/>
    <n v="7"/>
    <n v="2023"/>
    <s v="Friday"/>
    <s v="July"/>
    <s v="2023"/>
    <d v="2023-07-14T00:00:00"/>
    <s v="CUST728"/>
    <x v="0"/>
    <s v="Senior"/>
    <n v="51"/>
    <x v="2"/>
    <n v="3"/>
    <n v="50"/>
    <n v="150"/>
    <e v="#REF!"/>
    <e v="#REF!"/>
  </r>
  <r>
    <n v="729"/>
    <n v="23"/>
    <n v="5"/>
    <n v="2023"/>
    <s v="Tuesday"/>
    <s v="May"/>
    <s v="2023"/>
    <d v="2023-05-23T00:00:00"/>
    <s v="CUST729"/>
    <x v="0"/>
    <s v="Young Adult"/>
    <n v="29"/>
    <x v="1"/>
    <n v="4"/>
    <n v="300"/>
    <n v="1200"/>
    <e v="#REF!"/>
    <e v="#REF!"/>
  </r>
  <r>
    <n v="730"/>
    <n v="4"/>
    <n v="8"/>
    <n v="2023"/>
    <s v="Friday"/>
    <s v="August"/>
    <s v="2023"/>
    <d v="2023-08-04T00:00:00"/>
    <s v="CUST730"/>
    <x v="1"/>
    <s v="Adult"/>
    <n v="36"/>
    <x v="1"/>
    <n v="2"/>
    <n v="25"/>
    <n v="50"/>
    <e v="#REF!"/>
    <e v="#REF!"/>
  </r>
  <r>
    <n v="731"/>
    <n v="10"/>
    <n v="5"/>
    <n v="2023"/>
    <s v="Wednesday"/>
    <s v="May"/>
    <s v="2023"/>
    <d v="2023-05-10T00:00:00"/>
    <s v="CUST731"/>
    <x v="0"/>
    <s v="Senior"/>
    <n v="54"/>
    <x v="1"/>
    <n v="4"/>
    <n v="500"/>
    <n v="2000"/>
    <e v="#REF!"/>
    <e v="#REF!"/>
  </r>
  <r>
    <n v="732"/>
    <n v="11"/>
    <n v="2"/>
    <n v="2023"/>
    <s v="Saturday"/>
    <s v="February"/>
    <s v="2023"/>
    <d v="2023-02-11T00:00:00"/>
    <s v="CUST732"/>
    <x v="0"/>
    <s v="Senior"/>
    <n v="61"/>
    <x v="2"/>
    <n v="2"/>
    <n v="500"/>
    <n v="1000"/>
    <e v="#REF!"/>
    <e v="#REF!"/>
  </r>
  <r>
    <n v="733"/>
    <n v="29"/>
    <n v="8"/>
    <n v="2023"/>
    <s v="Tuesday"/>
    <s v="August"/>
    <s v="2023"/>
    <d v="2023-08-29T00:00:00"/>
    <s v="CUST733"/>
    <x v="0"/>
    <s v="Adult"/>
    <n v="34"/>
    <x v="0"/>
    <n v="1"/>
    <n v="30"/>
    <n v="30"/>
    <n v="0.44999999999999996"/>
    <n v="0.6"/>
  </r>
  <r>
    <n v="734"/>
    <n v="10"/>
    <n v="1"/>
    <n v="2023"/>
    <s v="Tuesday"/>
    <s v="January"/>
    <s v="2023"/>
    <d v="2023-01-10T00:00:00"/>
    <s v="CUST734"/>
    <x v="1"/>
    <s v="Young Adult"/>
    <n v="27"/>
    <x v="1"/>
    <n v="1"/>
    <n v="30"/>
    <n v="30"/>
    <e v="#REF!"/>
    <e v="#REF!"/>
  </r>
  <r>
    <n v="735"/>
    <n v="4"/>
    <n v="10"/>
    <n v="2023"/>
    <s v="Wednesday"/>
    <s v="October"/>
    <s v="2023"/>
    <d v="2023-10-04T00:00:00"/>
    <s v="CUST735"/>
    <x v="1"/>
    <s v="Senior"/>
    <n v="64"/>
    <x v="1"/>
    <n v="4"/>
    <n v="500"/>
    <n v="2000"/>
    <e v="#REF!"/>
    <e v="#REF!"/>
  </r>
  <r>
    <n v="736"/>
    <n v="27"/>
    <n v="1"/>
    <n v="2023"/>
    <s v="Friday"/>
    <s v="January"/>
    <s v="2023"/>
    <d v="2023-01-27T00:00:00"/>
    <s v="CUST736"/>
    <x v="0"/>
    <s v="Young Adult"/>
    <n v="29"/>
    <x v="1"/>
    <n v="4"/>
    <n v="25"/>
    <n v="100"/>
    <e v="#REF!"/>
    <e v="#REF!"/>
  </r>
  <r>
    <n v="737"/>
    <n v="29"/>
    <n v="6"/>
    <n v="2023"/>
    <s v="Thursday"/>
    <s v="June"/>
    <s v="2023"/>
    <d v="2023-06-29T00:00:00"/>
    <s v="CUST737"/>
    <x v="1"/>
    <s v="Adult"/>
    <n v="33"/>
    <x v="1"/>
    <n v="1"/>
    <n v="50"/>
    <n v="50"/>
    <e v="#REF!"/>
    <e v="#REF!"/>
  </r>
  <r>
    <n v="738"/>
    <n v="25"/>
    <n v="4"/>
    <n v="2023"/>
    <s v="Tuesday"/>
    <s v="April"/>
    <s v="2023"/>
    <d v="2023-04-25T00:00:00"/>
    <s v="CUST738"/>
    <x v="0"/>
    <s v="Adult"/>
    <n v="41"/>
    <x v="1"/>
    <n v="2"/>
    <n v="50"/>
    <n v="100"/>
    <e v="#REF!"/>
    <e v="#REF!"/>
  </r>
  <r>
    <n v="739"/>
    <n v="29"/>
    <n v="11"/>
    <n v="2023"/>
    <s v="Wednesday"/>
    <s v="November"/>
    <s v="2023"/>
    <d v="2023-11-29T00:00:00"/>
    <s v="CUST739"/>
    <x v="0"/>
    <s v="Adult"/>
    <n v="36"/>
    <x v="0"/>
    <n v="1"/>
    <n v="25"/>
    <n v="25"/>
    <n v="0.375"/>
    <n v="0.5"/>
  </r>
  <r>
    <n v="740"/>
    <n v="5"/>
    <n v="2"/>
    <n v="2023"/>
    <s v="Sunday"/>
    <s v="February"/>
    <s v="2023"/>
    <d v="2023-02-05T00:00:00"/>
    <s v="CUST740"/>
    <x v="1"/>
    <s v="Young Adult"/>
    <n v="25"/>
    <x v="0"/>
    <n v="4"/>
    <n v="50"/>
    <n v="200"/>
    <n v="3"/>
    <n v="4"/>
  </r>
  <r>
    <n v="741"/>
    <n v="30"/>
    <n v="11"/>
    <n v="2023"/>
    <s v="Thursday"/>
    <s v="November"/>
    <s v="2023"/>
    <d v="2023-11-30T00:00:00"/>
    <s v="CUST741"/>
    <x v="0"/>
    <s v="Adult"/>
    <n v="48"/>
    <x v="1"/>
    <n v="1"/>
    <n v="300"/>
    <n v="300"/>
    <e v="#REF!"/>
    <e v="#REF!"/>
  </r>
  <r>
    <n v="742"/>
    <n v="21"/>
    <n v="1"/>
    <n v="2023"/>
    <s v="Saturday"/>
    <s v="January"/>
    <s v="2023"/>
    <d v="2023-01-21T00:00:00"/>
    <s v="CUST742"/>
    <x v="1"/>
    <s v="Adult"/>
    <n v="38"/>
    <x v="2"/>
    <n v="4"/>
    <n v="500"/>
    <n v="2000"/>
    <e v="#REF!"/>
    <e v="#REF!"/>
  </r>
  <r>
    <n v="743"/>
    <n v="16"/>
    <n v="1"/>
    <n v="2023"/>
    <s v="Monday"/>
    <s v="January"/>
    <s v="2023"/>
    <d v="2023-01-16T00:00:00"/>
    <s v="CUST743"/>
    <x v="1"/>
    <s v="Adult"/>
    <n v="34"/>
    <x v="0"/>
    <n v="4"/>
    <n v="500"/>
    <n v="2000"/>
    <n v="30"/>
    <n v="40"/>
  </r>
  <r>
    <n v="744"/>
    <n v="7"/>
    <n v="5"/>
    <n v="2023"/>
    <s v="Sunday"/>
    <s v="May"/>
    <s v="2023"/>
    <d v="2023-05-07T00:00:00"/>
    <s v="CUST744"/>
    <x v="0"/>
    <s v="Adult"/>
    <n v="40"/>
    <x v="2"/>
    <n v="1"/>
    <n v="25"/>
    <n v="25"/>
    <e v="#REF!"/>
    <e v="#REF!"/>
  </r>
  <r>
    <n v="745"/>
    <n v="13"/>
    <n v="4"/>
    <n v="2023"/>
    <s v="Thursday"/>
    <s v="April"/>
    <s v="2023"/>
    <d v="2023-04-13T00:00:00"/>
    <s v="CUST745"/>
    <x v="0"/>
    <s v="Senior"/>
    <n v="54"/>
    <x v="0"/>
    <n v="2"/>
    <n v="50"/>
    <n v="100"/>
    <n v="1.5"/>
    <n v="2"/>
  </r>
  <r>
    <n v="746"/>
    <n v="11"/>
    <n v="1"/>
    <n v="2023"/>
    <s v="Wednesday"/>
    <s v="January"/>
    <s v="2023"/>
    <d v="2023-01-11T00:00:00"/>
    <s v="CUST746"/>
    <x v="1"/>
    <s v="Adult"/>
    <n v="33"/>
    <x v="1"/>
    <n v="3"/>
    <n v="30"/>
    <n v="90"/>
    <e v="#REF!"/>
    <e v="#REF!"/>
  </r>
  <r>
    <n v="747"/>
    <n v="15"/>
    <n v="11"/>
    <n v="2023"/>
    <s v="Wednesday"/>
    <s v="November"/>
    <s v="2023"/>
    <d v="2023-11-15T00:00:00"/>
    <s v="CUST747"/>
    <x v="0"/>
    <s v="Young Adult"/>
    <n v="23"/>
    <x v="0"/>
    <n v="1"/>
    <n v="30"/>
    <n v="30"/>
    <n v="0.44999999999999996"/>
    <n v="0.6"/>
  </r>
  <r>
    <n v="748"/>
    <n v="20"/>
    <n v="3"/>
    <n v="2023"/>
    <s v="Monday"/>
    <s v="March"/>
    <s v="2023"/>
    <d v="2023-03-20T00:00:00"/>
    <s v="CUST748"/>
    <x v="0"/>
    <s v="Young Adult"/>
    <n v="25"/>
    <x v="1"/>
    <n v="3"/>
    <n v="50"/>
    <n v="150"/>
    <e v="#REF!"/>
    <e v="#REF!"/>
  </r>
  <r>
    <n v="749"/>
    <n v="3"/>
    <n v="5"/>
    <n v="2023"/>
    <s v="Wednesday"/>
    <s v="May"/>
    <s v="2023"/>
    <d v="2023-05-03T00:00:00"/>
    <s v="CUST749"/>
    <x v="0"/>
    <s v="Adult"/>
    <n v="42"/>
    <x v="0"/>
    <n v="1"/>
    <n v="30"/>
    <n v="30"/>
    <n v="0.44999999999999996"/>
    <n v="0.6"/>
  </r>
  <r>
    <n v="750"/>
    <n v="6"/>
    <n v="3"/>
    <n v="2023"/>
    <s v="Monday"/>
    <s v="March"/>
    <s v="2023"/>
    <d v="2023-03-06T00:00:00"/>
    <s v="CUST750"/>
    <x v="1"/>
    <s v="Adult"/>
    <n v="35"/>
    <x v="1"/>
    <n v="3"/>
    <n v="25"/>
    <n v="75"/>
    <e v="#REF!"/>
    <e v="#REF!"/>
  </r>
  <r>
    <n v="751"/>
    <n v="31"/>
    <n v="8"/>
    <n v="2023"/>
    <s v="Thursday"/>
    <s v="August"/>
    <s v="2023"/>
    <d v="2023-08-31T00:00:00"/>
    <s v="CUST751"/>
    <x v="1"/>
    <s v="Adult"/>
    <n v="42"/>
    <x v="1"/>
    <n v="2"/>
    <n v="25"/>
    <n v="50"/>
    <e v="#REF!"/>
    <e v="#REF!"/>
  </r>
  <r>
    <n v="752"/>
    <n v="9"/>
    <n v="12"/>
    <n v="2023"/>
    <s v="Saturday"/>
    <s v="December"/>
    <s v="2023"/>
    <d v="2023-12-09T00:00:00"/>
    <s v="CUST752"/>
    <x v="0"/>
    <s v="Young Adult"/>
    <n v="29"/>
    <x v="1"/>
    <n v="2"/>
    <n v="50"/>
    <n v="100"/>
    <e v="#REF!"/>
    <e v="#REF!"/>
  </r>
  <r>
    <n v="753"/>
    <n v="28"/>
    <n v="2"/>
    <n v="2023"/>
    <s v="Tuesday"/>
    <s v="February"/>
    <s v="2023"/>
    <d v="2023-02-28T00:00:00"/>
    <s v="CUST753"/>
    <x v="1"/>
    <s v="Adult"/>
    <n v="32"/>
    <x v="1"/>
    <n v="1"/>
    <n v="30"/>
    <n v="30"/>
    <e v="#REF!"/>
    <e v="#REF!"/>
  </r>
  <r>
    <n v="754"/>
    <n v="16"/>
    <n v="10"/>
    <n v="2023"/>
    <s v="Monday"/>
    <s v="October"/>
    <s v="2023"/>
    <d v="2023-10-16T00:00:00"/>
    <s v="CUST754"/>
    <x v="1"/>
    <s v="Adult"/>
    <n v="43"/>
    <x v="2"/>
    <n v="4"/>
    <n v="25"/>
    <n v="100"/>
    <e v="#REF!"/>
    <e v="#REF!"/>
  </r>
  <r>
    <n v="755"/>
    <n v="22"/>
    <n v="4"/>
    <n v="2023"/>
    <s v="Saturday"/>
    <s v="April"/>
    <s v="2023"/>
    <d v="2023-04-22T00:00:00"/>
    <s v="CUST755"/>
    <x v="1"/>
    <s v="Senior"/>
    <n v="58"/>
    <x v="1"/>
    <n v="3"/>
    <n v="25"/>
    <n v="75"/>
    <e v="#REF!"/>
    <e v="#REF!"/>
  </r>
  <r>
    <n v="756"/>
    <n v="27"/>
    <n v="8"/>
    <n v="2023"/>
    <s v="Sunday"/>
    <s v="August"/>
    <s v="2023"/>
    <d v="2023-08-27T00:00:00"/>
    <s v="CUST756"/>
    <x v="1"/>
    <s v="Senior"/>
    <n v="62"/>
    <x v="2"/>
    <n v="4"/>
    <n v="300"/>
    <n v="1200"/>
    <e v="#REF!"/>
    <e v="#REF!"/>
  </r>
  <r>
    <n v="757"/>
    <n v="25"/>
    <n v="12"/>
    <n v="2023"/>
    <s v="Monday"/>
    <s v="December"/>
    <s v="2023"/>
    <d v="2023-12-25T00:00:00"/>
    <s v="CUST757"/>
    <x v="1"/>
    <s v="Adult"/>
    <n v="43"/>
    <x v="2"/>
    <n v="4"/>
    <n v="300"/>
    <n v="1200"/>
    <e v="#REF!"/>
    <e v="#REF!"/>
  </r>
  <r>
    <n v="758"/>
    <n v="12"/>
    <n v="5"/>
    <n v="2023"/>
    <s v="Friday"/>
    <s v="May"/>
    <s v="2023"/>
    <d v="2023-05-12T00:00:00"/>
    <s v="CUST758"/>
    <x v="0"/>
    <s v="Senior"/>
    <n v="64"/>
    <x v="1"/>
    <n v="4"/>
    <n v="25"/>
    <n v="100"/>
    <e v="#REF!"/>
    <e v="#REF!"/>
  </r>
  <r>
    <n v="759"/>
    <n v="8"/>
    <n v="7"/>
    <n v="2023"/>
    <s v="Saturday"/>
    <s v="July"/>
    <s v="2023"/>
    <d v="2023-07-08T00:00:00"/>
    <s v="CUST759"/>
    <x v="0"/>
    <s v="Adult"/>
    <n v="49"/>
    <x v="2"/>
    <n v="2"/>
    <n v="50"/>
    <n v="100"/>
    <e v="#REF!"/>
    <e v="#REF!"/>
  </r>
  <r>
    <n v="760"/>
    <n v="27"/>
    <n v="3"/>
    <n v="2023"/>
    <s v="Monday"/>
    <s v="March"/>
    <s v="2023"/>
    <d v="2023-03-27T00:00:00"/>
    <s v="CUST760"/>
    <x v="0"/>
    <s v="Young Adult"/>
    <n v="27"/>
    <x v="0"/>
    <n v="1"/>
    <n v="500"/>
    <n v="500"/>
    <n v="7.5"/>
    <n v="10"/>
  </r>
  <r>
    <n v="761"/>
    <n v="7"/>
    <n v="11"/>
    <n v="2023"/>
    <s v="Tuesday"/>
    <s v="November"/>
    <s v="2023"/>
    <d v="2023-11-07T00:00:00"/>
    <s v="CUST761"/>
    <x v="1"/>
    <s v="Adult"/>
    <n v="33"/>
    <x v="1"/>
    <n v="1"/>
    <n v="500"/>
    <n v="500"/>
    <e v="#REF!"/>
    <e v="#REF!"/>
  </r>
  <r>
    <n v="762"/>
    <n v="7"/>
    <n v="11"/>
    <n v="2023"/>
    <s v="Tuesday"/>
    <s v="November"/>
    <s v="2023"/>
    <d v="2023-11-07T00:00:00"/>
    <s v="CUST762"/>
    <x v="1"/>
    <s v="Young Adult"/>
    <n v="24"/>
    <x v="2"/>
    <n v="2"/>
    <n v="25"/>
    <n v="50"/>
    <e v="#REF!"/>
    <e v="#REF!"/>
  </r>
  <r>
    <n v="763"/>
    <n v="28"/>
    <n v="2"/>
    <n v="2023"/>
    <s v="Tuesday"/>
    <s v="February"/>
    <s v="2023"/>
    <d v="2023-02-28T00:00:00"/>
    <s v="CUST763"/>
    <x v="0"/>
    <s v="Adult"/>
    <n v="34"/>
    <x v="1"/>
    <n v="2"/>
    <n v="25"/>
    <n v="50"/>
    <e v="#REF!"/>
    <e v="#REF!"/>
  </r>
  <r>
    <n v="764"/>
    <n v="25"/>
    <n v="3"/>
    <n v="2023"/>
    <s v="Saturday"/>
    <s v="March"/>
    <s v="2023"/>
    <d v="2023-03-25T00:00:00"/>
    <s v="CUST764"/>
    <x v="1"/>
    <s v="Adult"/>
    <n v="40"/>
    <x v="1"/>
    <n v="1"/>
    <n v="25"/>
    <n v="25"/>
    <e v="#REF!"/>
    <e v="#REF!"/>
  </r>
  <r>
    <n v="765"/>
    <n v="9"/>
    <n v="6"/>
    <n v="2023"/>
    <s v="Friday"/>
    <s v="June"/>
    <s v="2023"/>
    <d v="2023-06-09T00:00:00"/>
    <s v="CUST765"/>
    <x v="0"/>
    <s v="Adult"/>
    <n v="43"/>
    <x v="1"/>
    <n v="4"/>
    <n v="50"/>
    <n v="200"/>
    <e v="#REF!"/>
    <e v="#REF!"/>
  </r>
  <r>
    <n v="766"/>
    <n v="25"/>
    <n v="2"/>
    <n v="2023"/>
    <s v="Saturday"/>
    <s v="February"/>
    <s v="2023"/>
    <d v="2023-02-25T00:00:00"/>
    <s v="CUST766"/>
    <x v="0"/>
    <s v="Adult"/>
    <n v="38"/>
    <x v="2"/>
    <n v="3"/>
    <n v="300"/>
    <n v="900"/>
    <e v="#REF!"/>
    <e v="#REF!"/>
  </r>
  <r>
    <n v="767"/>
    <n v="24"/>
    <n v="10"/>
    <n v="2023"/>
    <s v="Tuesday"/>
    <s v="October"/>
    <s v="2023"/>
    <d v="2023-10-24T00:00:00"/>
    <s v="CUST767"/>
    <x v="0"/>
    <s v="Adult"/>
    <n v="39"/>
    <x v="0"/>
    <n v="3"/>
    <n v="25"/>
    <n v="75"/>
    <n v="1.125"/>
    <n v="1.5"/>
  </r>
  <r>
    <n v="768"/>
    <n v="14"/>
    <n v="1"/>
    <n v="2023"/>
    <s v="Saturday"/>
    <s v="January"/>
    <s v="2023"/>
    <d v="2023-01-14T00:00:00"/>
    <s v="CUST768"/>
    <x v="1"/>
    <s v="Young Adult"/>
    <n v="24"/>
    <x v="0"/>
    <n v="3"/>
    <n v="25"/>
    <n v="75"/>
    <n v="1.125"/>
    <n v="1.5"/>
  </r>
  <r>
    <n v="769"/>
    <n v="9"/>
    <n v="6"/>
    <n v="2023"/>
    <s v="Friday"/>
    <s v="June"/>
    <s v="2023"/>
    <d v="2023-06-09T00:00:00"/>
    <s v="CUST769"/>
    <x v="1"/>
    <s v="Adult"/>
    <n v="31"/>
    <x v="2"/>
    <n v="4"/>
    <n v="30"/>
    <n v="120"/>
    <e v="#REF!"/>
    <e v="#REF!"/>
  </r>
  <r>
    <n v="770"/>
    <n v="22"/>
    <n v="10"/>
    <n v="2023"/>
    <s v="Sunday"/>
    <s v="October"/>
    <s v="2023"/>
    <d v="2023-10-22T00:00:00"/>
    <s v="CUST770"/>
    <x v="0"/>
    <s v="Adult"/>
    <n v="32"/>
    <x v="1"/>
    <n v="1"/>
    <n v="50"/>
    <n v="50"/>
    <e v="#REF!"/>
    <e v="#REF!"/>
  </r>
  <r>
    <n v="771"/>
    <n v="13"/>
    <n v="12"/>
    <n v="2023"/>
    <s v="Wednesday"/>
    <s v="December"/>
    <s v="2023"/>
    <d v="2023-12-13T00:00:00"/>
    <s v="CUST771"/>
    <x v="0"/>
    <s v="Young Adult"/>
    <n v="24"/>
    <x v="2"/>
    <n v="2"/>
    <n v="25"/>
    <n v="50"/>
    <e v="#REF!"/>
    <e v="#REF!"/>
  </r>
  <r>
    <n v="772"/>
    <n v="12"/>
    <n v="7"/>
    <n v="2023"/>
    <s v="Wednesday"/>
    <s v="July"/>
    <s v="2023"/>
    <d v="2023-07-12T00:00:00"/>
    <s v="CUST772"/>
    <x v="0"/>
    <s v="Young Adult"/>
    <n v="26"/>
    <x v="2"/>
    <n v="1"/>
    <n v="30"/>
    <n v="30"/>
    <e v="#REF!"/>
    <e v="#REF!"/>
  </r>
  <r>
    <n v="773"/>
    <n v="23"/>
    <n v="7"/>
    <n v="2023"/>
    <s v="Sunday"/>
    <s v="July"/>
    <s v="2023"/>
    <d v="2023-07-23T00:00:00"/>
    <s v="CUST773"/>
    <x v="0"/>
    <s v="Young Adult"/>
    <n v="25"/>
    <x v="2"/>
    <n v="4"/>
    <n v="500"/>
    <n v="2000"/>
    <e v="#REF!"/>
    <e v="#REF!"/>
  </r>
  <r>
    <n v="774"/>
    <n v="12"/>
    <n v="4"/>
    <n v="2023"/>
    <s v="Wednesday"/>
    <s v="April"/>
    <s v="2023"/>
    <d v="2023-04-12T00:00:00"/>
    <s v="CUST774"/>
    <x v="1"/>
    <s v="Adult"/>
    <n v="40"/>
    <x v="1"/>
    <n v="2"/>
    <n v="25"/>
    <n v="50"/>
    <e v="#REF!"/>
    <e v="#REF!"/>
  </r>
  <r>
    <n v="775"/>
    <n v="8"/>
    <n v="2"/>
    <n v="2023"/>
    <s v="Wednesday"/>
    <s v="February"/>
    <s v="2023"/>
    <d v="2023-02-08T00:00:00"/>
    <s v="CUST775"/>
    <x v="1"/>
    <s v="Adult"/>
    <n v="46"/>
    <x v="2"/>
    <n v="4"/>
    <n v="25"/>
    <n v="100"/>
    <e v="#REF!"/>
    <e v="#REF!"/>
  </r>
  <r>
    <n v="776"/>
    <n v="31"/>
    <n v="10"/>
    <n v="2023"/>
    <s v="Tuesday"/>
    <s v="October"/>
    <s v="2023"/>
    <d v="2023-10-31T00:00:00"/>
    <s v="CUST776"/>
    <x v="0"/>
    <s v="Adult"/>
    <n v="35"/>
    <x v="1"/>
    <n v="3"/>
    <n v="30"/>
    <n v="90"/>
    <e v="#REF!"/>
    <e v="#REF!"/>
  </r>
  <r>
    <n v="777"/>
    <n v="20"/>
    <n v="12"/>
    <n v="2023"/>
    <s v="Wednesday"/>
    <s v="December"/>
    <s v="2023"/>
    <d v="2023-12-20T00:00:00"/>
    <s v="CUST777"/>
    <x v="0"/>
    <s v="Adult"/>
    <n v="48"/>
    <x v="2"/>
    <n v="3"/>
    <n v="50"/>
    <n v="150"/>
    <e v="#REF!"/>
    <e v="#REF!"/>
  </r>
  <r>
    <n v="778"/>
    <n v="18"/>
    <n v="11"/>
    <n v="2023"/>
    <s v="Saturday"/>
    <s v="November"/>
    <s v="2023"/>
    <d v="2023-11-18T00:00:00"/>
    <s v="CUST778"/>
    <x v="1"/>
    <s v="Adult"/>
    <n v="47"/>
    <x v="0"/>
    <n v="4"/>
    <n v="25"/>
    <n v="100"/>
    <n v="1.5"/>
    <n v="2"/>
  </r>
  <r>
    <n v="779"/>
    <n v="5"/>
    <n v="5"/>
    <n v="2023"/>
    <s v="Friday"/>
    <s v="May"/>
    <s v="2023"/>
    <d v="2023-05-05T00:00:00"/>
    <s v="CUST779"/>
    <x v="1"/>
    <s v="Senior"/>
    <n v="56"/>
    <x v="2"/>
    <n v="2"/>
    <n v="500"/>
    <n v="1000"/>
    <e v="#REF!"/>
    <e v="#REF!"/>
  </r>
  <r>
    <n v="780"/>
    <n v="22"/>
    <n v="2"/>
    <n v="2023"/>
    <s v="Wednesday"/>
    <s v="February"/>
    <s v="2023"/>
    <d v="2023-02-22T00:00:00"/>
    <s v="CUST780"/>
    <x v="0"/>
    <s v="Senior"/>
    <n v="52"/>
    <x v="2"/>
    <n v="2"/>
    <n v="25"/>
    <n v="50"/>
    <e v="#REF!"/>
    <e v="#REF!"/>
  </r>
  <r>
    <n v="781"/>
    <n v="23"/>
    <n v="12"/>
    <n v="2023"/>
    <s v="Saturday"/>
    <s v="December"/>
    <s v="2023"/>
    <d v="2023-12-23T00:00:00"/>
    <s v="CUST781"/>
    <x v="0"/>
    <s v="Adult"/>
    <n v="35"/>
    <x v="0"/>
    <n v="1"/>
    <n v="500"/>
    <n v="500"/>
    <n v="7.5"/>
    <n v="10"/>
  </r>
  <r>
    <n v="782"/>
    <n v="4"/>
    <n v="6"/>
    <n v="2023"/>
    <s v="Sunday"/>
    <s v="June"/>
    <s v="2023"/>
    <d v="2023-06-04T00:00:00"/>
    <s v="CUST782"/>
    <x v="0"/>
    <s v="Senior"/>
    <n v="59"/>
    <x v="1"/>
    <n v="3"/>
    <n v="300"/>
    <n v="900"/>
    <e v="#REF!"/>
    <e v="#REF!"/>
  </r>
  <r>
    <n v="783"/>
    <n v="17"/>
    <n v="12"/>
    <n v="2023"/>
    <s v="Sunday"/>
    <s v="December"/>
    <s v="2023"/>
    <d v="2023-12-17T00:00:00"/>
    <s v="CUST783"/>
    <x v="1"/>
    <s v="Senior"/>
    <n v="56"/>
    <x v="1"/>
    <n v="1"/>
    <n v="300"/>
    <n v="300"/>
    <e v="#REF!"/>
    <e v="#REF!"/>
  </r>
  <r>
    <n v="784"/>
    <n v="4"/>
    <n v="11"/>
    <n v="2023"/>
    <s v="Saturday"/>
    <s v="November"/>
    <s v="2023"/>
    <d v="2023-11-04T00:00:00"/>
    <s v="CUST784"/>
    <x v="1"/>
    <s v="Adult"/>
    <n v="34"/>
    <x v="2"/>
    <n v="1"/>
    <n v="500"/>
    <n v="500"/>
    <e v="#REF!"/>
    <e v="#REF!"/>
  </r>
  <r>
    <n v="785"/>
    <n v="3"/>
    <n v="3"/>
    <n v="2023"/>
    <s v="Friday"/>
    <s v="March"/>
    <s v="2023"/>
    <d v="2023-03-03T00:00:00"/>
    <s v="CUST785"/>
    <x v="1"/>
    <s v="Adult"/>
    <n v="31"/>
    <x v="0"/>
    <n v="4"/>
    <n v="50"/>
    <n v="200"/>
    <n v="3"/>
    <n v="4"/>
  </r>
  <r>
    <n v="786"/>
    <n v="17"/>
    <n v="10"/>
    <n v="2023"/>
    <s v="Tuesday"/>
    <s v="October"/>
    <s v="2023"/>
    <d v="2023-10-17T00:00:00"/>
    <s v="CUST786"/>
    <x v="0"/>
    <s v="Adult"/>
    <n v="48"/>
    <x v="1"/>
    <n v="4"/>
    <n v="25"/>
    <n v="100"/>
    <e v="#REF!"/>
    <e v="#REF!"/>
  </r>
  <r>
    <n v="787"/>
    <n v="22"/>
    <n v="1"/>
    <n v="2023"/>
    <s v="Sunday"/>
    <s v="January"/>
    <s v="2023"/>
    <d v="2023-01-22T00:00:00"/>
    <s v="CUST787"/>
    <x v="0"/>
    <s v="Adult"/>
    <n v="41"/>
    <x v="2"/>
    <n v="1"/>
    <n v="25"/>
    <n v="25"/>
    <e v="#REF!"/>
    <e v="#REF!"/>
  </r>
  <r>
    <n v="788"/>
    <n v="27"/>
    <n v="6"/>
    <n v="2023"/>
    <s v="Tuesday"/>
    <s v="June"/>
    <s v="2023"/>
    <d v="2023-06-27T00:00:00"/>
    <s v="CUST788"/>
    <x v="1"/>
    <s v="Senior"/>
    <n v="52"/>
    <x v="0"/>
    <n v="3"/>
    <n v="300"/>
    <n v="900"/>
    <n v="13.5"/>
    <n v="18"/>
  </r>
  <r>
    <n v="789"/>
    <n v="30"/>
    <n v="9"/>
    <n v="2023"/>
    <s v="Saturday"/>
    <s v="September"/>
    <s v="2023"/>
    <d v="2023-09-30T00:00:00"/>
    <s v="CUST789"/>
    <x v="1"/>
    <s v="Senior"/>
    <n v="61"/>
    <x v="1"/>
    <n v="4"/>
    <n v="500"/>
    <n v="2000"/>
    <e v="#REF!"/>
    <e v="#REF!"/>
  </r>
  <r>
    <n v="790"/>
    <n v="8"/>
    <n v="8"/>
    <n v="2023"/>
    <s v="Tuesday"/>
    <s v="August"/>
    <s v="2023"/>
    <d v="2023-08-08T00:00:00"/>
    <s v="CUST790"/>
    <x v="0"/>
    <s v="Senior"/>
    <n v="62"/>
    <x v="1"/>
    <n v="1"/>
    <n v="25"/>
    <n v="25"/>
    <e v="#REF!"/>
    <e v="#REF!"/>
  </r>
  <r>
    <n v="791"/>
    <n v="5"/>
    <n v="12"/>
    <n v="2023"/>
    <s v="Tuesday"/>
    <s v="December"/>
    <s v="2023"/>
    <d v="2023-12-05T00:00:00"/>
    <s v="CUST791"/>
    <x v="1"/>
    <s v="Senior"/>
    <n v="51"/>
    <x v="0"/>
    <n v="1"/>
    <n v="25"/>
    <n v="25"/>
    <n v="0.375"/>
    <n v="0.5"/>
  </r>
  <r>
    <n v="792"/>
    <n v="9"/>
    <n v="7"/>
    <n v="2023"/>
    <s v="Sunday"/>
    <s v="July"/>
    <s v="2023"/>
    <d v="2023-07-09T00:00:00"/>
    <s v="CUST792"/>
    <x v="1"/>
    <s v="Young Adult"/>
    <n v="20"/>
    <x v="0"/>
    <n v="1"/>
    <n v="50"/>
    <n v="50"/>
    <n v="0.75"/>
    <n v="1"/>
  </r>
  <r>
    <n v="793"/>
    <n v="5"/>
    <n v="2"/>
    <n v="2023"/>
    <s v="Sunday"/>
    <s v="February"/>
    <s v="2023"/>
    <d v="2023-02-05T00:00:00"/>
    <s v="CUST793"/>
    <x v="0"/>
    <s v="Senior"/>
    <n v="54"/>
    <x v="0"/>
    <n v="1"/>
    <n v="30"/>
    <n v="30"/>
    <n v="0.44999999999999996"/>
    <n v="0.6"/>
  </r>
  <r>
    <n v="794"/>
    <n v="17"/>
    <n v="9"/>
    <n v="2023"/>
    <s v="Sunday"/>
    <s v="September"/>
    <s v="2023"/>
    <d v="2023-09-17T00:00:00"/>
    <s v="CUST794"/>
    <x v="1"/>
    <s v="Senior"/>
    <n v="60"/>
    <x v="0"/>
    <n v="1"/>
    <n v="300"/>
    <n v="300"/>
    <n v="4.5"/>
    <n v="6"/>
  </r>
  <r>
    <n v="795"/>
    <n v="28"/>
    <n v="11"/>
    <n v="2023"/>
    <s v="Tuesday"/>
    <s v="November"/>
    <s v="2023"/>
    <d v="2023-11-28T00:00:00"/>
    <s v="CUST795"/>
    <x v="0"/>
    <s v="Senior"/>
    <n v="57"/>
    <x v="2"/>
    <n v="1"/>
    <n v="300"/>
    <n v="300"/>
    <e v="#REF!"/>
    <e v="#REF!"/>
  </r>
  <r>
    <n v="796"/>
    <n v="24"/>
    <n v="6"/>
    <n v="2023"/>
    <s v="Saturday"/>
    <s v="June"/>
    <s v="2023"/>
    <d v="2023-06-24T00:00:00"/>
    <s v="CUST796"/>
    <x v="0"/>
    <s v="Adult"/>
    <n v="43"/>
    <x v="0"/>
    <n v="4"/>
    <n v="30"/>
    <n v="120"/>
    <n v="1.7999999999999998"/>
    <n v="2.4"/>
  </r>
  <r>
    <n v="797"/>
    <n v="7"/>
    <n v="1"/>
    <n v="2023"/>
    <s v="Saturday"/>
    <s v="January"/>
    <s v="2023"/>
    <d v="2023-01-07T00:00:00"/>
    <s v="CUST797"/>
    <x v="0"/>
    <s v="Adult"/>
    <n v="40"/>
    <x v="1"/>
    <n v="3"/>
    <n v="25"/>
    <n v="75"/>
    <e v="#REF!"/>
    <e v="#REF!"/>
  </r>
  <r>
    <n v="798"/>
    <n v="4"/>
    <n v="8"/>
    <n v="2023"/>
    <s v="Friday"/>
    <s v="August"/>
    <s v="2023"/>
    <d v="2023-08-04T00:00:00"/>
    <s v="CUST798"/>
    <x v="0"/>
    <s v="Senior"/>
    <n v="61"/>
    <x v="1"/>
    <n v="1"/>
    <n v="50"/>
    <n v="50"/>
    <e v="#REF!"/>
    <e v="#REF!"/>
  </r>
  <r>
    <n v="799"/>
    <n v="8"/>
    <n v="9"/>
    <n v="2023"/>
    <s v="Friday"/>
    <s v="September"/>
    <s v="2023"/>
    <d v="2023-09-08T00:00:00"/>
    <s v="CUST799"/>
    <x v="0"/>
    <s v="Senior"/>
    <n v="56"/>
    <x v="2"/>
    <n v="2"/>
    <n v="50"/>
    <n v="100"/>
    <e v="#REF!"/>
    <e v="#REF!"/>
  </r>
  <r>
    <n v="800"/>
    <n v="24"/>
    <n v="2"/>
    <n v="2023"/>
    <s v="Friday"/>
    <s v="February"/>
    <s v="2023"/>
    <d v="2023-02-24T00:00:00"/>
    <s v="CUST800"/>
    <x v="0"/>
    <s v="Adult"/>
    <n v="32"/>
    <x v="1"/>
    <n v="4"/>
    <n v="300"/>
    <n v="1200"/>
    <e v="#REF!"/>
    <e v="#REF!"/>
  </r>
  <r>
    <n v="801"/>
    <n v="10"/>
    <n v="8"/>
    <n v="2023"/>
    <s v="Thursday"/>
    <s v="August"/>
    <s v="2023"/>
    <d v="2023-08-10T00:00:00"/>
    <s v="CUST801"/>
    <x v="0"/>
    <s v="Young Adult"/>
    <n v="21"/>
    <x v="1"/>
    <n v="4"/>
    <n v="50"/>
    <n v="200"/>
    <e v="#REF!"/>
    <e v="#REF!"/>
  </r>
  <r>
    <n v="802"/>
    <n v="5"/>
    <n v="7"/>
    <n v="2023"/>
    <s v="Wednesday"/>
    <s v="July"/>
    <s v="2023"/>
    <d v="2023-07-05T00:00:00"/>
    <s v="CUST802"/>
    <x v="1"/>
    <s v="Adult"/>
    <n v="46"/>
    <x v="0"/>
    <n v="1"/>
    <n v="30"/>
    <n v="30"/>
    <n v="0.44999999999999996"/>
    <n v="0.6"/>
  </r>
  <r>
    <n v="803"/>
    <n v="22"/>
    <n v="11"/>
    <n v="2023"/>
    <s v="Wednesday"/>
    <s v="November"/>
    <s v="2023"/>
    <d v="2023-11-22T00:00:00"/>
    <s v="CUST803"/>
    <x v="0"/>
    <s v="Adult"/>
    <n v="39"/>
    <x v="1"/>
    <n v="4"/>
    <n v="25"/>
    <n v="100"/>
    <e v="#REF!"/>
    <e v="#REF!"/>
  </r>
  <r>
    <n v="804"/>
    <n v="24"/>
    <n v="8"/>
    <n v="2023"/>
    <s v="Thursday"/>
    <s v="August"/>
    <s v="2023"/>
    <d v="2023-08-24T00:00:00"/>
    <s v="CUST804"/>
    <x v="0"/>
    <s v="Adult"/>
    <n v="42"/>
    <x v="2"/>
    <n v="1"/>
    <n v="30"/>
    <n v="30"/>
    <e v="#REF!"/>
    <e v="#REF!"/>
  </r>
  <r>
    <n v="805"/>
    <n v="29"/>
    <n v="12"/>
    <n v="2023"/>
    <s v="Friday"/>
    <s v="December"/>
    <s v="2023"/>
    <d v="2023-12-29T00:00:00"/>
    <s v="CUST805"/>
    <x v="1"/>
    <s v="Adult"/>
    <n v="30"/>
    <x v="0"/>
    <n v="3"/>
    <n v="500"/>
    <n v="1500"/>
    <n v="22.5"/>
    <n v="30"/>
  </r>
  <r>
    <n v="806"/>
    <n v="20"/>
    <n v="3"/>
    <n v="2023"/>
    <s v="Monday"/>
    <s v="March"/>
    <s v="2023"/>
    <d v="2023-03-20T00:00:00"/>
    <s v="CUST806"/>
    <x v="1"/>
    <s v="Adult"/>
    <n v="35"/>
    <x v="0"/>
    <n v="3"/>
    <n v="300"/>
    <n v="900"/>
    <n v="13.5"/>
    <n v="18"/>
  </r>
  <r>
    <n v="807"/>
    <n v="11"/>
    <n v="8"/>
    <n v="2023"/>
    <s v="Friday"/>
    <s v="August"/>
    <s v="2023"/>
    <d v="2023-08-11T00:00:00"/>
    <s v="CUST807"/>
    <x v="1"/>
    <s v="Adult"/>
    <n v="50"/>
    <x v="2"/>
    <n v="4"/>
    <n v="50"/>
    <n v="200"/>
    <e v="#REF!"/>
    <e v="#REF!"/>
  </r>
  <r>
    <n v="808"/>
    <n v="1"/>
    <n v="4"/>
    <n v="2023"/>
    <s v="Saturday"/>
    <s v="April"/>
    <s v="2023"/>
    <d v="2023-04-01T00:00:00"/>
    <s v="CUST808"/>
    <x v="0"/>
    <s v="Adult"/>
    <n v="33"/>
    <x v="0"/>
    <n v="4"/>
    <n v="500"/>
    <n v="2000"/>
    <n v="30"/>
    <n v="40"/>
  </r>
  <r>
    <n v="809"/>
    <n v="25"/>
    <n v="9"/>
    <n v="2023"/>
    <s v="Monday"/>
    <s v="September"/>
    <s v="2023"/>
    <d v="2023-09-25T00:00:00"/>
    <s v="CUST809"/>
    <x v="1"/>
    <s v="Senior"/>
    <n v="62"/>
    <x v="0"/>
    <n v="2"/>
    <n v="50"/>
    <n v="100"/>
    <n v="1.5"/>
    <n v="2"/>
  </r>
  <r>
    <n v="810"/>
    <n v="30"/>
    <n v="11"/>
    <n v="2023"/>
    <s v="Thursday"/>
    <s v="November"/>
    <s v="2023"/>
    <d v="2023-11-30T00:00:00"/>
    <s v="CUST810"/>
    <x v="0"/>
    <s v="Senior"/>
    <n v="59"/>
    <x v="2"/>
    <n v="4"/>
    <n v="25"/>
    <n v="100"/>
    <e v="#REF!"/>
    <e v="#REF!"/>
  </r>
  <r>
    <n v="811"/>
    <n v="19"/>
    <n v="5"/>
    <n v="2023"/>
    <s v="Friday"/>
    <s v="May"/>
    <s v="2023"/>
    <d v="2023-05-19T00:00:00"/>
    <s v="CUST811"/>
    <x v="0"/>
    <s v="Senior"/>
    <n v="61"/>
    <x v="0"/>
    <n v="2"/>
    <n v="25"/>
    <n v="50"/>
    <n v="0.75"/>
    <n v="1"/>
  </r>
  <r>
    <n v="812"/>
    <n v="12"/>
    <n v="11"/>
    <n v="2023"/>
    <s v="Sunday"/>
    <s v="November"/>
    <s v="2023"/>
    <d v="2023-11-12T00:00:00"/>
    <s v="CUST812"/>
    <x v="0"/>
    <s v="Young Adult"/>
    <n v="19"/>
    <x v="2"/>
    <n v="3"/>
    <n v="25"/>
    <n v="75"/>
    <e v="#REF!"/>
    <e v="#REF!"/>
  </r>
  <r>
    <n v="813"/>
    <n v="3"/>
    <n v="10"/>
    <n v="2023"/>
    <s v="Tuesday"/>
    <s v="October"/>
    <s v="2023"/>
    <d v="2023-10-03T00:00:00"/>
    <s v="CUST813"/>
    <x v="0"/>
    <s v="Senior"/>
    <n v="52"/>
    <x v="2"/>
    <n v="3"/>
    <n v="50"/>
    <n v="150"/>
    <e v="#REF!"/>
    <e v="#REF!"/>
  </r>
  <r>
    <n v="814"/>
    <n v="5"/>
    <n v="9"/>
    <n v="2023"/>
    <s v="Tuesday"/>
    <s v="September"/>
    <s v="2023"/>
    <d v="2023-09-05T00:00:00"/>
    <s v="CUST814"/>
    <x v="1"/>
    <s v="Senior"/>
    <n v="59"/>
    <x v="1"/>
    <n v="1"/>
    <n v="500"/>
    <n v="500"/>
    <e v="#REF!"/>
    <e v="#REF!"/>
  </r>
  <r>
    <n v="815"/>
    <n v="27"/>
    <n v="8"/>
    <n v="2023"/>
    <s v="Sunday"/>
    <s v="August"/>
    <s v="2023"/>
    <d v="2023-08-27T00:00:00"/>
    <s v="CUST815"/>
    <x v="1"/>
    <s v="Senior"/>
    <n v="51"/>
    <x v="1"/>
    <n v="3"/>
    <n v="25"/>
    <n v="75"/>
    <e v="#REF!"/>
    <e v="#REF!"/>
  </r>
  <r>
    <n v="816"/>
    <n v="12"/>
    <n v="8"/>
    <n v="2023"/>
    <s v="Saturday"/>
    <s v="August"/>
    <s v="2023"/>
    <d v="2023-08-12T00:00:00"/>
    <s v="CUST816"/>
    <x v="0"/>
    <s v="Adult"/>
    <n v="47"/>
    <x v="0"/>
    <n v="2"/>
    <n v="500"/>
    <n v="1000"/>
    <n v="15"/>
    <n v="20"/>
  </r>
  <r>
    <n v="817"/>
    <n v="31"/>
    <n v="10"/>
    <n v="2023"/>
    <s v="Tuesday"/>
    <s v="October"/>
    <s v="2023"/>
    <d v="2023-10-31T00:00:00"/>
    <s v="CUST817"/>
    <x v="0"/>
    <s v="Adult"/>
    <n v="30"/>
    <x v="0"/>
    <n v="4"/>
    <n v="50"/>
    <n v="200"/>
    <n v="3"/>
    <n v="4"/>
  </r>
  <r>
    <n v="818"/>
    <n v="18"/>
    <n v="5"/>
    <n v="2023"/>
    <s v="Thursday"/>
    <s v="May"/>
    <s v="2023"/>
    <d v="2023-05-18T00:00:00"/>
    <s v="CUST818"/>
    <x v="0"/>
    <s v="Adult"/>
    <n v="30"/>
    <x v="2"/>
    <n v="1"/>
    <n v="500"/>
    <n v="500"/>
    <e v="#REF!"/>
    <e v="#REF!"/>
  </r>
  <r>
    <n v="819"/>
    <n v="15"/>
    <n v="6"/>
    <n v="2023"/>
    <s v="Thursday"/>
    <s v="June"/>
    <s v="2023"/>
    <d v="2023-06-15T00:00:00"/>
    <s v="CUST819"/>
    <x v="1"/>
    <s v="Adult"/>
    <n v="35"/>
    <x v="0"/>
    <n v="2"/>
    <n v="50"/>
    <n v="100"/>
    <n v="1.5"/>
    <n v="2"/>
  </r>
  <r>
    <n v="820"/>
    <n v="6"/>
    <n v="5"/>
    <n v="2023"/>
    <s v="Saturday"/>
    <s v="May"/>
    <s v="2023"/>
    <d v="2023-05-06T00:00:00"/>
    <s v="CUST820"/>
    <x v="0"/>
    <s v="Adult"/>
    <n v="49"/>
    <x v="2"/>
    <n v="4"/>
    <n v="50"/>
    <n v="200"/>
    <e v="#REF!"/>
    <e v="#REF!"/>
  </r>
  <r>
    <n v="821"/>
    <n v="14"/>
    <n v="2"/>
    <n v="2023"/>
    <s v="Tuesday"/>
    <s v="February"/>
    <s v="2023"/>
    <d v="2023-02-14T00:00:00"/>
    <s v="CUST821"/>
    <x v="0"/>
    <s v="Adult"/>
    <n v="49"/>
    <x v="2"/>
    <n v="1"/>
    <n v="300"/>
    <n v="300"/>
    <e v="#REF!"/>
    <e v="#REF!"/>
  </r>
  <r>
    <n v="822"/>
    <n v="23"/>
    <n v="5"/>
    <n v="2023"/>
    <s v="Tuesday"/>
    <s v="May"/>
    <s v="2023"/>
    <d v="2023-05-23T00:00:00"/>
    <s v="CUST822"/>
    <x v="1"/>
    <s v="Senior"/>
    <n v="52"/>
    <x v="0"/>
    <n v="3"/>
    <n v="50"/>
    <n v="150"/>
    <n v="2.25"/>
    <n v="3"/>
  </r>
  <r>
    <n v="823"/>
    <n v="19"/>
    <n v="8"/>
    <n v="2023"/>
    <s v="Saturday"/>
    <s v="August"/>
    <s v="2023"/>
    <d v="2023-08-19T00:00:00"/>
    <s v="CUST823"/>
    <x v="1"/>
    <s v="Senior"/>
    <n v="56"/>
    <x v="2"/>
    <n v="2"/>
    <n v="50"/>
    <n v="100"/>
    <e v="#REF!"/>
    <e v="#REF!"/>
  </r>
  <r>
    <n v="824"/>
    <n v="5"/>
    <n v="5"/>
    <n v="2023"/>
    <s v="Friday"/>
    <s v="May"/>
    <s v="2023"/>
    <d v="2023-05-05T00:00:00"/>
    <s v="CUST824"/>
    <x v="0"/>
    <s v="Senior"/>
    <n v="63"/>
    <x v="1"/>
    <n v="4"/>
    <n v="30"/>
    <n v="120"/>
    <e v="#REF!"/>
    <e v="#REF!"/>
  </r>
  <r>
    <n v="825"/>
    <n v="26"/>
    <n v="8"/>
    <n v="2023"/>
    <s v="Saturday"/>
    <s v="August"/>
    <s v="2023"/>
    <d v="2023-08-26T00:00:00"/>
    <s v="CUST825"/>
    <x v="1"/>
    <s v="Adult"/>
    <n v="46"/>
    <x v="0"/>
    <n v="1"/>
    <n v="25"/>
    <n v="25"/>
    <n v="0.375"/>
    <n v="0.5"/>
  </r>
  <r>
    <n v="826"/>
    <n v="19"/>
    <n v="10"/>
    <n v="2023"/>
    <s v="Thursday"/>
    <s v="October"/>
    <s v="2023"/>
    <d v="2023-10-19T00:00:00"/>
    <s v="CUST826"/>
    <x v="1"/>
    <s v="Adult"/>
    <n v="46"/>
    <x v="1"/>
    <n v="1"/>
    <n v="300"/>
    <n v="300"/>
    <e v="#REF!"/>
    <e v="#REF!"/>
  </r>
  <r>
    <n v="827"/>
    <n v="9"/>
    <n v="11"/>
    <n v="2023"/>
    <s v="Thursday"/>
    <s v="November"/>
    <s v="2023"/>
    <d v="2023-11-09T00:00:00"/>
    <s v="CUST827"/>
    <x v="0"/>
    <s v="Senior"/>
    <n v="61"/>
    <x v="0"/>
    <n v="3"/>
    <n v="300"/>
    <n v="900"/>
    <n v="13.5"/>
    <n v="18"/>
  </r>
  <r>
    <n v="828"/>
    <n v="9"/>
    <n v="12"/>
    <n v="2023"/>
    <s v="Saturday"/>
    <s v="December"/>
    <s v="2023"/>
    <d v="2023-12-09T00:00:00"/>
    <s v="CUST828"/>
    <x v="1"/>
    <s v="Adult"/>
    <n v="33"/>
    <x v="2"/>
    <n v="4"/>
    <n v="300"/>
    <n v="1200"/>
    <e v="#REF!"/>
    <e v="#REF!"/>
  </r>
  <r>
    <n v="829"/>
    <n v="14"/>
    <n v="7"/>
    <n v="2023"/>
    <s v="Friday"/>
    <s v="July"/>
    <s v="2023"/>
    <d v="2023-07-14T00:00:00"/>
    <s v="CUST829"/>
    <x v="0"/>
    <s v="Senior"/>
    <n v="61"/>
    <x v="0"/>
    <n v="3"/>
    <n v="30"/>
    <n v="90"/>
    <n v="1.3499999999999999"/>
    <n v="1.8"/>
  </r>
  <r>
    <n v="830"/>
    <n v="22"/>
    <n v="6"/>
    <n v="2023"/>
    <s v="Thursday"/>
    <s v="June"/>
    <s v="2023"/>
    <d v="2023-06-22T00:00:00"/>
    <s v="CUST830"/>
    <x v="1"/>
    <s v="Senior"/>
    <n v="64"/>
    <x v="1"/>
    <n v="3"/>
    <n v="50"/>
    <n v="150"/>
    <e v="#REF!"/>
    <e v="#REF!"/>
  </r>
  <r>
    <n v="831"/>
    <n v="15"/>
    <n v="1"/>
    <n v="2023"/>
    <s v="Sunday"/>
    <s v="January"/>
    <s v="2023"/>
    <d v="2023-01-15T00:00:00"/>
    <s v="CUST831"/>
    <x v="0"/>
    <s v="Young Adult"/>
    <n v="27"/>
    <x v="2"/>
    <n v="4"/>
    <n v="25"/>
    <n v="100"/>
    <e v="#REF!"/>
    <e v="#REF!"/>
  </r>
  <r>
    <n v="832"/>
    <n v="11"/>
    <n v="9"/>
    <n v="2023"/>
    <s v="Monday"/>
    <s v="September"/>
    <s v="2023"/>
    <d v="2023-09-11T00:00:00"/>
    <s v="CUST832"/>
    <x v="0"/>
    <s v="Adult"/>
    <n v="47"/>
    <x v="0"/>
    <n v="4"/>
    <n v="500"/>
    <n v="2000"/>
    <n v="30"/>
    <n v="40"/>
  </r>
  <r>
    <n v="833"/>
    <n v="16"/>
    <n v="6"/>
    <n v="2023"/>
    <s v="Friday"/>
    <s v="June"/>
    <s v="2023"/>
    <d v="2023-06-16T00:00:00"/>
    <s v="CUST833"/>
    <x v="0"/>
    <s v="Adult"/>
    <n v="42"/>
    <x v="0"/>
    <n v="4"/>
    <n v="50"/>
    <n v="200"/>
    <n v="3"/>
    <n v="4"/>
  </r>
  <r>
    <n v="834"/>
    <n v="4"/>
    <n v="4"/>
    <n v="2023"/>
    <s v="Tuesday"/>
    <s v="April"/>
    <s v="2023"/>
    <d v="2023-04-04T00:00:00"/>
    <s v="CUST834"/>
    <x v="1"/>
    <s v="Senior"/>
    <n v="56"/>
    <x v="0"/>
    <n v="2"/>
    <n v="30"/>
    <n v="60"/>
    <n v="0.89999999999999991"/>
    <n v="1.2"/>
  </r>
  <r>
    <n v="835"/>
    <n v="7"/>
    <n v="9"/>
    <n v="2023"/>
    <s v="Thursday"/>
    <s v="September"/>
    <s v="2023"/>
    <d v="2023-09-07T00:00:00"/>
    <s v="CUST835"/>
    <x v="0"/>
    <s v="Adult"/>
    <n v="37"/>
    <x v="1"/>
    <n v="4"/>
    <n v="50"/>
    <n v="200"/>
    <e v="#REF!"/>
    <e v="#REF!"/>
  </r>
  <r>
    <n v="836"/>
    <n v="19"/>
    <n v="4"/>
    <n v="2023"/>
    <s v="Wednesday"/>
    <s v="April"/>
    <s v="2023"/>
    <d v="2023-04-19T00:00:00"/>
    <s v="CUST836"/>
    <x v="1"/>
    <s v="Young Adult"/>
    <n v="22"/>
    <x v="1"/>
    <n v="1"/>
    <n v="50"/>
    <n v="50"/>
    <e v="#REF!"/>
    <e v="#REF!"/>
  </r>
  <r>
    <n v="837"/>
    <n v="1"/>
    <n v="7"/>
    <n v="2023"/>
    <s v="Saturday"/>
    <s v="July"/>
    <s v="2023"/>
    <d v="2023-07-01T00:00:00"/>
    <s v="CUST837"/>
    <x v="0"/>
    <s v="Young Adult"/>
    <n v="18"/>
    <x v="0"/>
    <n v="3"/>
    <n v="30"/>
    <n v="90"/>
    <n v="1.3499999999999999"/>
    <n v="1.8"/>
  </r>
  <r>
    <n v="838"/>
    <n v="13"/>
    <n v="5"/>
    <n v="2023"/>
    <s v="Saturday"/>
    <s v="May"/>
    <s v="2023"/>
    <d v="2023-05-13T00:00:00"/>
    <s v="CUST838"/>
    <x v="0"/>
    <s v="Adult"/>
    <n v="47"/>
    <x v="2"/>
    <n v="2"/>
    <n v="300"/>
    <n v="600"/>
    <e v="#REF!"/>
    <e v="#REF!"/>
  </r>
  <r>
    <n v="839"/>
    <n v="24"/>
    <n v="6"/>
    <n v="2023"/>
    <s v="Saturday"/>
    <s v="June"/>
    <s v="2023"/>
    <d v="2023-06-24T00:00:00"/>
    <s v="CUST839"/>
    <x v="1"/>
    <s v="Young Adult"/>
    <n v="20"/>
    <x v="2"/>
    <n v="4"/>
    <n v="300"/>
    <n v="1200"/>
    <e v="#REF!"/>
    <e v="#REF!"/>
  </r>
  <r>
    <n v="840"/>
    <n v="24"/>
    <n v="5"/>
    <n v="2023"/>
    <s v="Wednesday"/>
    <s v="May"/>
    <s v="2023"/>
    <d v="2023-05-24T00:00:00"/>
    <s v="CUST840"/>
    <x v="0"/>
    <s v="Senior"/>
    <n v="62"/>
    <x v="1"/>
    <n v="2"/>
    <n v="25"/>
    <n v="50"/>
    <e v="#REF!"/>
    <e v="#REF!"/>
  </r>
  <r>
    <n v="841"/>
    <n v="2"/>
    <n v="11"/>
    <n v="2023"/>
    <s v="Thursday"/>
    <s v="November"/>
    <s v="2023"/>
    <d v="2023-11-02T00:00:00"/>
    <s v="CUST841"/>
    <x v="0"/>
    <s v="Adult"/>
    <n v="31"/>
    <x v="2"/>
    <n v="4"/>
    <n v="25"/>
    <n v="100"/>
    <e v="#REF!"/>
    <e v="#REF!"/>
  </r>
  <r>
    <n v="842"/>
    <n v="26"/>
    <n v="12"/>
    <n v="2023"/>
    <s v="Tuesday"/>
    <s v="December"/>
    <s v="2023"/>
    <d v="2023-12-26T00:00:00"/>
    <s v="CUST842"/>
    <x v="1"/>
    <s v="Adult"/>
    <n v="47"/>
    <x v="1"/>
    <n v="2"/>
    <n v="300"/>
    <n v="600"/>
    <e v="#REF!"/>
    <e v="#REF!"/>
  </r>
  <r>
    <n v="843"/>
    <n v="22"/>
    <n v="5"/>
    <n v="2023"/>
    <s v="Monday"/>
    <s v="May"/>
    <s v="2023"/>
    <d v="2023-05-22T00:00:00"/>
    <s v="CUST843"/>
    <x v="0"/>
    <s v="Young Adult"/>
    <n v="21"/>
    <x v="0"/>
    <n v="3"/>
    <n v="500"/>
    <n v="1500"/>
    <n v="22.5"/>
    <n v="30"/>
  </r>
  <r>
    <n v="844"/>
    <n v="12"/>
    <n v="10"/>
    <n v="2023"/>
    <s v="Thursday"/>
    <s v="October"/>
    <s v="2023"/>
    <d v="2023-10-12T00:00:00"/>
    <s v="CUST844"/>
    <x v="0"/>
    <s v="Adult"/>
    <n v="35"/>
    <x v="1"/>
    <n v="3"/>
    <n v="50"/>
    <n v="150"/>
    <e v="#REF!"/>
    <e v="#REF!"/>
  </r>
  <r>
    <n v="845"/>
    <n v="6"/>
    <n v="1"/>
    <n v="2023"/>
    <s v="Friday"/>
    <s v="January"/>
    <s v="2023"/>
    <d v="2023-01-06T00:00:00"/>
    <s v="CUST845"/>
    <x v="0"/>
    <s v="Senior"/>
    <n v="54"/>
    <x v="1"/>
    <n v="1"/>
    <n v="500"/>
    <n v="500"/>
    <e v="#REF!"/>
    <e v="#REF!"/>
  </r>
  <r>
    <n v="846"/>
    <n v="22"/>
    <n v="9"/>
    <n v="2023"/>
    <s v="Friday"/>
    <s v="September"/>
    <s v="2023"/>
    <d v="2023-09-22T00:00:00"/>
    <s v="CUST846"/>
    <x v="0"/>
    <s v="Adult"/>
    <n v="42"/>
    <x v="0"/>
    <n v="1"/>
    <n v="50"/>
    <n v="50"/>
    <n v="0.75"/>
    <n v="1"/>
  </r>
  <r>
    <n v="847"/>
    <n v="8"/>
    <n v="4"/>
    <n v="2023"/>
    <s v="Saturday"/>
    <s v="April"/>
    <s v="2023"/>
    <d v="2023-04-08T00:00:00"/>
    <s v="CUST847"/>
    <x v="1"/>
    <s v="Young Adult"/>
    <n v="18"/>
    <x v="2"/>
    <n v="4"/>
    <n v="300"/>
    <n v="1200"/>
    <e v="#REF!"/>
    <e v="#REF!"/>
  </r>
  <r>
    <n v="848"/>
    <n v="13"/>
    <n v="2"/>
    <n v="2023"/>
    <s v="Monday"/>
    <s v="February"/>
    <s v="2023"/>
    <d v="2023-02-13T00:00:00"/>
    <s v="CUST848"/>
    <x v="1"/>
    <s v="Senior"/>
    <n v="63"/>
    <x v="1"/>
    <n v="3"/>
    <n v="25"/>
    <n v="75"/>
    <e v="#REF!"/>
    <e v="#REF!"/>
  </r>
  <r>
    <n v="849"/>
    <n v="4"/>
    <n v="5"/>
    <n v="2023"/>
    <s v="Thursday"/>
    <s v="May"/>
    <s v="2023"/>
    <d v="2023-05-04T00:00:00"/>
    <s v="CUST849"/>
    <x v="0"/>
    <s v="Adult"/>
    <n v="32"/>
    <x v="1"/>
    <n v="2"/>
    <n v="25"/>
    <n v="50"/>
    <e v="#REF!"/>
    <e v="#REF!"/>
  </r>
  <r>
    <n v="850"/>
    <n v="28"/>
    <n v="7"/>
    <n v="2023"/>
    <s v="Friday"/>
    <s v="July"/>
    <s v="2023"/>
    <d v="2023-07-28T00:00:00"/>
    <s v="CUST850"/>
    <x v="1"/>
    <s v="Young Adult"/>
    <n v="26"/>
    <x v="0"/>
    <n v="2"/>
    <n v="500"/>
    <n v="1000"/>
    <n v="15"/>
    <n v="20"/>
  </r>
  <r>
    <n v="851"/>
    <n v="8"/>
    <n v="9"/>
    <n v="2023"/>
    <s v="Friday"/>
    <s v="September"/>
    <s v="2023"/>
    <d v="2023-09-08T00:00:00"/>
    <s v="CUST851"/>
    <x v="0"/>
    <s v="Adult"/>
    <n v="32"/>
    <x v="2"/>
    <n v="2"/>
    <n v="25"/>
    <n v="50"/>
    <e v="#REF!"/>
    <e v="#REF!"/>
  </r>
  <r>
    <n v="852"/>
    <n v="12"/>
    <n v="10"/>
    <n v="2023"/>
    <s v="Thursday"/>
    <s v="October"/>
    <s v="2023"/>
    <d v="2023-10-12T00:00:00"/>
    <s v="CUST852"/>
    <x v="1"/>
    <s v="Adult"/>
    <n v="41"/>
    <x v="1"/>
    <n v="1"/>
    <n v="300"/>
    <n v="300"/>
    <e v="#REF!"/>
    <e v="#REF!"/>
  </r>
  <r>
    <n v="853"/>
    <n v="4"/>
    <n v="5"/>
    <n v="2023"/>
    <s v="Thursday"/>
    <s v="May"/>
    <s v="2023"/>
    <d v="2023-05-04T00:00:00"/>
    <s v="CUST853"/>
    <x v="0"/>
    <s v="Young Adult"/>
    <n v="21"/>
    <x v="0"/>
    <n v="2"/>
    <n v="500"/>
    <n v="1000"/>
    <n v="15"/>
    <n v="20"/>
  </r>
  <r>
    <n v="854"/>
    <n v="20"/>
    <n v="12"/>
    <n v="2023"/>
    <s v="Wednesday"/>
    <s v="December"/>
    <s v="2023"/>
    <d v="2023-12-20T00:00:00"/>
    <s v="CUST854"/>
    <x v="0"/>
    <s v="Young Adult"/>
    <n v="29"/>
    <x v="1"/>
    <n v="1"/>
    <n v="50"/>
    <n v="50"/>
    <e v="#REF!"/>
    <e v="#REF!"/>
  </r>
  <r>
    <n v="855"/>
    <n v="1"/>
    <n v="9"/>
    <n v="2023"/>
    <s v="Friday"/>
    <s v="September"/>
    <s v="2023"/>
    <d v="2023-09-01T00:00:00"/>
    <s v="CUST855"/>
    <x v="0"/>
    <s v="Senior"/>
    <n v="54"/>
    <x v="0"/>
    <n v="1"/>
    <n v="25"/>
    <n v="25"/>
    <n v="0.375"/>
    <n v="0.5"/>
  </r>
  <r>
    <n v="856"/>
    <n v="27"/>
    <n v="11"/>
    <n v="2023"/>
    <s v="Monday"/>
    <s v="November"/>
    <s v="2023"/>
    <d v="2023-11-27T00:00:00"/>
    <s v="CUST856"/>
    <x v="0"/>
    <s v="Senior"/>
    <n v="54"/>
    <x v="2"/>
    <n v="4"/>
    <n v="30"/>
    <n v="120"/>
    <e v="#REF!"/>
    <e v="#REF!"/>
  </r>
  <r>
    <n v="857"/>
    <n v="31"/>
    <n v="12"/>
    <n v="2023"/>
    <s v="Sunday"/>
    <s v="December"/>
    <s v="2023"/>
    <d v="2023-12-31T00:00:00"/>
    <s v="CUST857"/>
    <x v="0"/>
    <s v="Senior"/>
    <n v="60"/>
    <x v="2"/>
    <n v="2"/>
    <n v="25"/>
    <n v="50"/>
    <e v="#REF!"/>
    <e v="#REF!"/>
  </r>
  <r>
    <n v="858"/>
    <n v="9"/>
    <n v="9"/>
    <n v="2023"/>
    <s v="Saturday"/>
    <s v="September"/>
    <s v="2023"/>
    <d v="2023-09-09T00:00:00"/>
    <s v="CUST858"/>
    <x v="0"/>
    <s v="Young Adult"/>
    <n v="23"/>
    <x v="2"/>
    <n v="2"/>
    <n v="50"/>
    <n v="100"/>
    <e v="#REF!"/>
    <e v="#REF!"/>
  </r>
  <r>
    <n v="859"/>
    <n v="18"/>
    <n v="8"/>
    <n v="2023"/>
    <s v="Friday"/>
    <s v="August"/>
    <s v="2023"/>
    <d v="2023-08-18T00:00:00"/>
    <s v="CUST859"/>
    <x v="1"/>
    <s v="Senior"/>
    <n v="56"/>
    <x v="2"/>
    <n v="3"/>
    <n v="500"/>
    <n v="1500"/>
    <e v="#REF!"/>
    <e v="#REF!"/>
  </r>
  <r>
    <n v="860"/>
    <n v="9"/>
    <n v="1"/>
    <n v="2023"/>
    <s v="Monday"/>
    <s v="January"/>
    <s v="2023"/>
    <d v="2023-01-09T00:00:00"/>
    <s v="CUST860"/>
    <x v="0"/>
    <s v="Senior"/>
    <n v="63"/>
    <x v="1"/>
    <n v="4"/>
    <n v="50"/>
    <n v="200"/>
    <e v="#REF!"/>
    <e v="#REF!"/>
  </r>
  <r>
    <n v="861"/>
    <n v="17"/>
    <n v="2"/>
    <n v="2023"/>
    <s v="Friday"/>
    <s v="February"/>
    <s v="2023"/>
    <d v="2023-02-17T00:00:00"/>
    <s v="CUST861"/>
    <x v="1"/>
    <s v="Adult"/>
    <n v="41"/>
    <x v="1"/>
    <n v="3"/>
    <n v="30"/>
    <n v="90"/>
    <e v="#REF!"/>
    <e v="#REF!"/>
  </r>
  <r>
    <n v="862"/>
    <n v="31"/>
    <n v="5"/>
    <n v="2023"/>
    <s v="Wednesday"/>
    <s v="May"/>
    <s v="2023"/>
    <d v="2023-05-31T00:00:00"/>
    <s v="CUST862"/>
    <x v="0"/>
    <s v="Young Adult"/>
    <n v="28"/>
    <x v="2"/>
    <n v="4"/>
    <n v="300"/>
    <n v="1200"/>
    <e v="#REF!"/>
    <e v="#REF!"/>
  </r>
  <r>
    <n v="863"/>
    <n v="24"/>
    <n v="4"/>
    <n v="2023"/>
    <s v="Monday"/>
    <s v="April"/>
    <s v="2023"/>
    <d v="2023-04-24T00:00:00"/>
    <s v="CUST863"/>
    <x v="1"/>
    <s v="Adult"/>
    <n v="30"/>
    <x v="2"/>
    <n v="2"/>
    <n v="25"/>
    <n v="50"/>
    <e v="#REF!"/>
    <e v="#REF!"/>
  </r>
  <r>
    <n v="864"/>
    <n v="27"/>
    <n v="7"/>
    <n v="2023"/>
    <s v="Thursday"/>
    <s v="July"/>
    <s v="2023"/>
    <d v="2023-07-27T00:00:00"/>
    <s v="CUST864"/>
    <x v="1"/>
    <s v="Senior"/>
    <n v="51"/>
    <x v="2"/>
    <n v="1"/>
    <n v="500"/>
    <n v="500"/>
    <e v="#REF!"/>
    <e v="#REF!"/>
  </r>
  <r>
    <n v="865"/>
    <n v="21"/>
    <n v="12"/>
    <n v="2023"/>
    <s v="Thursday"/>
    <s v="December"/>
    <s v="2023"/>
    <d v="2023-12-21T00:00:00"/>
    <s v="CUST865"/>
    <x v="1"/>
    <s v="Adult"/>
    <n v="42"/>
    <x v="1"/>
    <n v="1"/>
    <n v="300"/>
    <n v="300"/>
    <e v="#REF!"/>
    <e v="#REF!"/>
  </r>
  <r>
    <n v="866"/>
    <n v="5"/>
    <n v="5"/>
    <n v="2023"/>
    <s v="Friday"/>
    <s v="May"/>
    <s v="2023"/>
    <d v="2023-05-05T00:00:00"/>
    <s v="CUST866"/>
    <x v="0"/>
    <s v="Young Adult"/>
    <n v="24"/>
    <x v="2"/>
    <n v="1"/>
    <n v="50"/>
    <n v="50"/>
    <e v="#REF!"/>
    <e v="#REF!"/>
  </r>
  <r>
    <n v="867"/>
    <n v="6"/>
    <n v="6"/>
    <n v="2023"/>
    <s v="Tuesday"/>
    <s v="June"/>
    <s v="2023"/>
    <d v="2023-06-06T00:00:00"/>
    <s v="CUST867"/>
    <x v="0"/>
    <s v="Young Adult"/>
    <n v="21"/>
    <x v="2"/>
    <n v="1"/>
    <n v="500"/>
    <n v="500"/>
    <e v="#REF!"/>
    <e v="#REF!"/>
  </r>
  <r>
    <n v="868"/>
    <n v="6"/>
    <n v="12"/>
    <n v="2023"/>
    <s v="Wednesday"/>
    <s v="December"/>
    <s v="2023"/>
    <d v="2023-12-06T00:00:00"/>
    <s v="CUST868"/>
    <x v="1"/>
    <s v="Young Adult"/>
    <n v="25"/>
    <x v="2"/>
    <n v="1"/>
    <n v="300"/>
    <n v="300"/>
    <e v="#REF!"/>
    <e v="#REF!"/>
  </r>
  <r>
    <n v="869"/>
    <n v="25"/>
    <n v="10"/>
    <n v="2023"/>
    <s v="Wednesday"/>
    <s v="October"/>
    <s v="2023"/>
    <d v="2023-10-25T00:00:00"/>
    <s v="CUST869"/>
    <x v="0"/>
    <s v="Adult"/>
    <n v="37"/>
    <x v="0"/>
    <n v="3"/>
    <n v="500"/>
    <n v="1500"/>
    <n v="22.5"/>
    <n v="30"/>
  </r>
  <r>
    <n v="870"/>
    <n v="8"/>
    <n v="7"/>
    <n v="2023"/>
    <s v="Saturday"/>
    <s v="July"/>
    <s v="2023"/>
    <d v="2023-07-08T00:00:00"/>
    <s v="CUST870"/>
    <x v="1"/>
    <s v="Adult"/>
    <n v="46"/>
    <x v="2"/>
    <n v="4"/>
    <n v="30"/>
    <n v="120"/>
    <e v="#REF!"/>
    <e v="#REF!"/>
  </r>
  <r>
    <n v="871"/>
    <n v="31"/>
    <n v="8"/>
    <n v="2023"/>
    <s v="Thursday"/>
    <s v="August"/>
    <s v="2023"/>
    <d v="2023-08-31T00:00:00"/>
    <s v="CUST871"/>
    <x v="0"/>
    <s v="Senior"/>
    <n v="62"/>
    <x v="0"/>
    <n v="2"/>
    <n v="30"/>
    <n v="60"/>
    <n v="0.89999999999999991"/>
    <n v="1.2"/>
  </r>
  <r>
    <n v="872"/>
    <n v="11"/>
    <n v="10"/>
    <n v="2023"/>
    <s v="Wednesday"/>
    <s v="October"/>
    <s v="2023"/>
    <d v="2023-10-11T00:00:00"/>
    <s v="CUST872"/>
    <x v="1"/>
    <s v="Senior"/>
    <n v="63"/>
    <x v="0"/>
    <n v="3"/>
    <n v="25"/>
    <n v="75"/>
    <n v="1.125"/>
    <n v="1.5"/>
  </r>
  <r>
    <n v="873"/>
    <n v="29"/>
    <n v="9"/>
    <n v="2023"/>
    <s v="Friday"/>
    <s v="September"/>
    <s v="2023"/>
    <d v="2023-09-29T00:00:00"/>
    <s v="CUST873"/>
    <x v="1"/>
    <s v="Young Adult"/>
    <n v="27"/>
    <x v="2"/>
    <n v="4"/>
    <n v="25"/>
    <n v="100"/>
    <e v="#REF!"/>
    <e v="#REF!"/>
  </r>
  <r>
    <n v="874"/>
    <n v="26"/>
    <n v="6"/>
    <n v="2023"/>
    <s v="Monday"/>
    <s v="June"/>
    <s v="2023"/>
    <d v="2023-06-26T00:00:00"/>
    <s v="CUST874"/>
    <x v="0"/>
    <s v="Senior"/>
    <n v="60"/>
    <x v="0"/>
    <n v="1"/>
    <n v="30"/>
    <n v="30"/>
    <n v="0.44999999999999996"/>
    <n v="0.6"/>
  </r>
  <r>
    <n v="875"/>
    <n v="6"/>
    <n v="8"/>
    <n v="2023"/>
    <s v="Sunday"/>
    <s v="August"/>
    <s v="2023"/>
    <d v="2023-08-06T00:00:00"/>
    <s v="CUST875"/>
    <x v="1"/>
    <s v="Senior"/>
    <n v="51"/>
    <x v="2"/>
    <n v="4"/>
    <n v="500"/>
    <n v="2000"/>
    <e v="#REF!"/>
    <e v="#REF!"/>
  </r>
  <r>
    <n v="876"/>
    <n v="9"/>
    <n v="10"/>
    <n v="2023"/>
    <s v="Monday"/>
    <s v="October"/>
    <s v="2023"/>
    <d v="2023-10-09T00:00:00"/>
    <s v="CUST876"/>
    <x v="0"/>
    <s v="Adult"/>
    <n v="43"/>
    <x v="1"/>
    <n v="4"/>
    <n v="30"/>
    <n v="120"/>
    <e v="#REF!"/>
    <e v="#REF!"/>
  </r>
  <r>
    <n v="877"/>
    <n v="19"/>
    <n v="6"/>
    <n v="2023"/>
    <s v="Monday"/>
    <s v="June"/>
    <s v="2023"/>
    <d v="2023-06-19T00:00:00"/>
    <s v="CUST877"/>
    <x v="1"/>
    <s v="Senior"/>
    <n v="58"/>
    <x v="1"/>
    <n v="1"/>
    <n v="25"/>
    <n v="25"/>
    <e v="#REF!"/>
    <e v="#REF!"/>
  </r>
  <r>
    <n v="878"/>
    <n v="30"/>
    <n v="6"/>
    <n v="2023"/>
    <s v="Friday"/>
    <s v="June"/>
    <s v="2023"/>
    <d v="2023-06-30T00:00:00"/>
    <s v="CUST878"/>
    <x v="1"/>
    <s v="Young Adult"/>
    <n v="20"/>
    <x v="1"/>
    <n v="1"/>
    <n v="30"/>
    <n v="30"/>
    <e v="#REF!"/>
    <e v="#REF!"/>
  </r>
  <r>
    <n v="879"/>
    <n v="26"/>
    <n v="12"/>
    <n v="2023"/>
    <s v="Tuesday"/>
    <s v="December"/>
    <s v="2023"/>
    <d v="2023-12-26T00:00:00"/>
    <s v="CUST879"/>
    <x v="0"/>
    <s v="Young Adult"/>
    <n v="23"/>
    <x v="1"/>
    <n v="1"/>
    <n v="30"/>
    <n v="30"/>
    <e v="#REF!"/>
    <e v="#REF!"/>
  </r>
  <r>
    <n v="880"/>
    <n v="21"/>
    <n v="8"/>
    <n v="2023"/>
    <s v="Monday"/>
    <s v="August"/>
    <s v="2023"/>
    <d v="2023-08-21T00:00:00"/>
    <s v="CUST880"/>
    <x v="0"/>
    <s v="Young Adult"/>
    <n v="22"/>
    <x v="0"/>
    <n v="2"/>
    <n v="500"/>
    <n v="1000"/>
    <n v="15"/>
    <n v="20"/>
  </r>
  <r>
    <n v="881"/>
    <n v="19"/>
    <n v="5"/>
    <n v="2023"/>
    <s v="Friday"/>
    <s v="May"/>
    <s v="2023"/>
    <d v="2023-05-19T00:00:00"/>
    <s v="CUST881"/>
    <x v="0"/>
    <s v="Young Adult"/>
    <n v="22"/>
    <x v="2"/>
    <n v="1"/>
    <n v="300"/>
    <n v="300"/>
    <e v="#REF!"/>
    <e v="#REF!"/>
  </r>
  <r>
    <n v="882"/>
    <n v="6"/>
    <n v="6"/>
    <n v="2023"/>
    <s v="Tuesday"/>
    <s v="June"/>
    <s v="2023"/>
    <d v="2023-06-06T00:00:00"/>
    <s v="CUST882"/>
    <x v="1"/>
    <s v="Senior"/>
    <n v="64"/>
    <x v="2"/>
    <n v="2"/>
    <n v="25"/>
    <n v="50"/>
    <e v="#REF!"/>
    <e v="#REF!"/>
  </r>
  <r>
    <n v="883"/>
    <n v="9"/>
    <n v="5"/>
    <n v="2023"/>
    <s v="Tuesday"/>
    <s v="May"/>
    <s v="2023"/>
    <d v="2023-05-09T00:00:00"/>
    <s v="CUST883"/>
    <x v="0"/>
    <s v="Adult"/>
    <n v="40"/>
    <x v="2"/>
    <n v="1"/>
    <n v="500"/>
    <n v="500"/>
    <e v="#REF!"/>
    <e v="#REF!"/>
  </r>
  <r>
    <n v="884"/>
    <n v="29"/>
    <n v="4"/>
    <n v="2023"/>
    <s v="Saturday"/>
    <s v="April"/>
    <s v="2023"/>
    <d v="2023-04-29T00:00:00"/>
    <s v="CUST884"/>
    <x v="1"/>
    <s v="Young Adult"/>
    <n v="26"/>
    <x v="1"/>
    <n v="2"/>
    <n v="30"/>
    <n v="60"/>
    <e v="#REF!"/>
    <e v="#REF!"/>
  </r>
  <r>
    <n v="885"/>
    <n v="3"/>
    <n v="3"/>
    <n v="2023"/>
    <s v="Friday"/>
    <s v="March"/>
    <s v="2023"/>
    <d v="2023-03-03T00:00:00"/>
    <s v="CUST885"/>
    <x v="1"/>
    <s v="Senior"/>
    <n v="52"/>
    <x v="1"/>
    <n v="4"/>
    <n v="30"/>
    <n v="120"/>
    <e v="#REF!"/>
    <e v="#REF!"/>
  </r>
  <r>
    <n v="886"/>
    <n v="9"/>
    <n v="4"/>
    <n v="2023"/>
    <s v="Sunday"/>
    <s v="April"/>
    <s v="2023"/>
    <d v="2023-04-09T00:00:00"/>
    <s v="CUST886"/>
    <x v="0"/>
    <s v="Adult"/>
    <n v="37"/>
    <x v="2"/>
    <n v="3"/>
    <n v="300"/>
    <n v="900"/>
    <e v="#REF!"/>
    <e v="#REF!"/>
  </r>
  <r>
    <n v="887"/>
    <n v="11"/>
    <n v="6"/>
    <n v="2023"/>
    <s v="Sunday"/>
    <s v="June"/>
    <s v="2023"/>
    <d v="2023-06-11T00:00:00"/>
    <s v="CUST887"/>
    <x v="0"/>
    <s v="Senior"/>
    <n v="59"/>
    <x v="1"/>
    <n v="4"/>
    <n v="25"/>
    <n v="100"/>
    <e v="#REF!"/>
    <e v="#REF!"/>
  </r>
  <r>
    <n v="888"/>
    <n v="3"/>
    <n v="3"/>
    <n v="2023"/>
    <s v="Friday"/>
    <s v="March"/>
    <s v="2023"/>
    <d v="2023-03-03T00:00:00"/>
    <s v="CUST888"/>
    <x v="1"/>
    <s v="Senior"/>
    <n v="52"/>
    <x v="2"/>
    <n v="4"/>
    <n v="25"/>
    <n v="100"/>
    <e v="#REF!"/>
    <e v="#REF!"/>
  </r>
  <r>
    <n v="889"/>
    <n v="2"/>
    <n v="10"/>
    <n v="2023"/>
    <s v="Monday"/>
    <s v="October"/>
    <s v="2023"/>
    <d v="2023-10-02T00:00:00"/>
    <s v="CUST889"/>
    <x v="1"/>
    <s v="Adult"/>
    <n v="35"/>
    <x v="2"/>
    <n v="1"/>
    <n v="50"/>
    <n v="50"/>
    <e v="#REF!"/>
    <e v="#REF!"/>
  </r>
  <r>
    <n v="890"/>
    <n v="20"/>
    <n v="12"/>
    <n v="2023"/>
    <s v="Wednesday"/>
    <s v="December"/>
    <s v="2023"/>
    <d v="2023-12-20T00:00:00"/>
    <s v="CUST890"/>
    <x v="0"/>
    <s v="Adult"/>
    <n v="34"/>
    <x v="2"/>
    <n v="2"/>
    <n v="25"/>
    <n v="50"/>
    <e v="#REF!"/>
    <e v="#REF!"/>
  </r>
  <r>
    <n v="891"/>
    <n v="5"/>
    <n v="4"/>
    <n v="2023"/>
    <s v="Wednesday"/>
    <s v="April"/>
    <s v="2023"/>
    <d v="2023-04-05T00:00:00"/>
    <s v="CUST891"/>
    <x v="0"/>
    <s v="Adult"/>
    <n v="41"/>
    <x v="2"/>
    <n v="3"/>
    <n v="300"/>
    <n v="900"/>
    <e v="#REF!"/>
    <e v="#REF!"/>
  </r>
  <r>
    <n v="892"/>
    <n v="9"/>
    <n v="4"/>
    <n v="2023"/>
    <s v="Sunday"/>
    <s v="April"/>
    <s v="2023"/>
    <d v="2023-04-09T00:00:00"/>
    <s v="CUST892"/>
    <x v="0"/>
    <s v="Young Adult"/>
    <n v="20"/>
    <x v="2"/>
    <n v="1"/>
    <n v="50"/>
    <n v="50"/>
    <e v="#REF!"/>
    <e v="#REF!"/>
  </r>
  <r>
    <n v="893"/>
    <n v="21"/>
    <n v="4"/>
    <n v="2023"/>
    <s v="Friday"/>
    <s v="April"/>
    <s v="2023"/>
    <d v="2023-04-21T00:00:00"/>
    <s v="CUST893"/>
    <x v="0"/>
    <s v="Adult"/>
    <n v="49"/>
    <x v="2"/>
    <n v="1"/>
    <n v="50"/>
    <n v="50"/>
    <e v="#REF!"/>
    <e v="#REF!"/>
  </r>
  <r>
    <n v="894"/>
    <n v="5"/>
    <n v="9"/>
    <n v="2023"/>
    <s v="Tuesday"/>
    <s v="September"/>
    <s v="2023"/>
    <d v="2023-09-05T00:00:00"/>
    <s v="CUST894"/>
    <x v="0"/>
    <s v="Senior"/>
    <n v="52"/>
    <x v="2"/>
    <n v="1"/>
    <n v="30"/>
    <n v="30"/>
    <e v="#REF!"/>
    <e v="#REF!"/>
  </r>
  <r>
    <n v="895"/>
    <n v="22"/>
    <n v="5"/>
    <n v="2023"/>
    <s v="Monday"/>
    <s v="May"/>
    <s v="2023"/>
    <d v="2023-05-22T00:00:00"/>
    <s v="CUST895"/>
    <x v="1"/>
    <s v="Senior"/>
    <n v="55"/>
    <x v="1"/>
    <n v="4"/>
    <n v="30"/>
    <n v="120"/>
    <e v="#REF!"/>
    <e v="#REF!"/>
  </r>
  <r>
    <n v="896"/>
    <n v="29"/>
    <n v="10"/>
    <n v="2023"/>
    <s v="Sunday"/>
    <s v="October"/>
    <s v="2023"/>
    <d v="2023-10-29T00:00:00"/>
    <s v="CUST896"/>
    <x v="1"/>
    <s v="Adult"/>
    <n v="30"/>
    <x v="2"/>
    <n v="2"/>
    <n v="25"/>
    <n v="50"/>
    <e v="#REF!"/>
    <e v="#REF!"/>
  </r>
  <r>
    <n v="897"/>
    <n v="26"/>
    <n v="9"/>
    <n v="2023"/>
    <s v="Tuesday"/>
    <s v="September"/>
    <s v="2023"/>
    <d v="2023-09-26T00:00:00"/>
    <s v="CUST897"/>
    <x v="1"/>
    <s v="Senior"/>
    <n v="64"/>
    <x v="2"/>
    <n v="2"/>
    <n v="50"/>
    <n v="100"/>
    <e v="#REF!"/>
    <e v="#REF!"/>
  </r>
  <r>
    <n v="898"/>
    <n v="2"/>
    <n v="11"/>
    <n v="2023"/>
    <s v="Thursday"/>
    <s v="November"/>
    <s v="2023"/>
    <d v="2023-11-02T00:00:00"/>
    <s v="CUST898"/>
    <x v="1"/>
    <s v="Adult"/>
    <n v="42"/>
    <x v="1"/>
    <n v="3"/>
    <n v="30"/>
    <n v="90"/>
    <e v="#REF!"/>
    <e v="#REF!"/>
  </r>
  <r>
    <n v="899"/>
    <n v="25"/>
    <n v="5"/>
    <n v="2023"/>
    <s v="Thursday"/>
    <s v="May"/>
    <s v="2023"/>
    <d v="2023-05-25T00:00:00"/>
    <s v="CUST899"/>
    <x v="0"/>
    <s v="Young Adult"/>
    <n v="26"/>
    <x v="1"/>
    <n v="2"/>
    <n v="300"/>
    <n v="600"/>
    <e v="#REF!"/>
    <e v="#REF!"/>
  </r>
  <r>
    <n v="900"/>
    <n v="21"/>
    <n v="2"/>
    <n v="2023"/>
    <s v="Tuesday"/>
    <s v="February"/>
    <s v="2023"/>
    <d v="2023-02-21T00:00:00"/>
    <s v="CUST900"/>
    <x v="0"/>
    <s v="Young Adult"/>
    <n v="21"/>
    <x v="1"/>
    <n v="2"/>
    <n v="30"/>
    <n v="60"/>
    <e v="#REF!"/>
    <e v="#REF!"/>
  </r>
  <r>
    <n v="901"/>
    <n v="10"/>
    <n v="4"/>
    <n v="2023"/>
    <s v="Monday"/>
    <s v="April"/>
    <s v="2023"/>
    <d v="2023-04-10T00:00:00"/>
    <s v="CUST901"/>
    <x v="0"/>
    <s v="Adult"/>
    <n v="31"/>
    <x v="2"/>
    <n v="1"/>
    <n v="30"/>
    <n v="30"/>
    <e v="#REF!"/>
    <e v="#REF!"/>
  </r>
  <r>
    <n v="902"/>
    <n v="1"/>
    <n v="6"/>
    <n v="2023"/>
    <s v="Thursday"/>
    <s v="June"/>
    <s v="2023"/>
    <d v="2023-06-01T00:00:00"/>
    <s v="CUST902"/>
    <x v="1"/>
    <s v="Senior"/>
    <n v="54"/>
    <x v="0"/>
    <n v="1"/>
    <n v="50"/>
    <n v="50"/>
    <n v="0.75"/>
    <n v="1"/>
  </r>
  <r>
    <n v="903"/>
    <n v="27"/>
    <n v="4"/>
    <n v="2023"/>
    <s v="Thursday"/>
    <s v="April"/>
    <s v="2023"/>
    <d v="2023-04-27T00:00:00"/>
    <s v="CUST903"/>
    <x v="1"/>
    <s v="Senior"/>
    <n v="51"/>
    <x v="0"/>
    <n v="4"/>
    <n v="50"/>
    <n v="200"/>
    <n v="3"/>
    <n v="4"/>
  </r>
  <r>
    <n v="904"/>
    <n v="4"/>
    <n v="7"/>
    <n v="2023"/>
    <s v="Tuesday"/>
    <s v="July"/>
    <s v="2023"/>
    <d v="2023-07-04T00:00:00"/>
    <s v="CUST904"/>
    <x v="0"/>
    <s v="Young Adult"/>
    <n v="28"/>
    <x v="1"/>
    <n v="1"/>
    <n v="500"/>
    <n v="500"/>
    <e v="#REF!"/>
    <e v="#REF!"/>
  </r>
  <r>
    <n v="905"/>
    <n v="2"/>
    <n v="4"/>
    <n v="2023"/>
    <s v="Sunday"/>
    <s v="April"/>
    <s v="2023"/>
    <d v="2023-04-02T00:00:00"/>
    <s v="CUST905"/>
    <x v="0"/>
    <s v="Senior"/>
    <n v="58"/>
    <x v="0"/>
    <n v="1"/>
    <n v="300"/>
    <n v="300"/>
    <n v="4.5"/>
    <n v="6"/>
  </r>
  <r>
    <n v="906"/>
    <n v="4"/>
    <n v="6"/>
    <n v="2023"/>
    <s v="Sunday"/>
    <s v="June"/>
    <s v="2023"/>
    <d v="2023-06-04T00:00:00"/>
    <s v="CUST906"/>
    <x v="1"/>
    <s v="Young Adult"/>
    <n v="20"/>
    <x v="1"/>
    <n v="1"/>
    <n v="50"/>
    <n v="50"/>
    <e v="#REF!"/>
    <e v="#REF!"/>
  </r>
  <r>
    <n v="907"/>
    <n v="8"/>
    <n v="1"/>
    <n v="2023"/>
    <s v="Sunday"/>
    <s v="January"/>
    <s v="2023"/>
    <d v="2023-01-08T00:00:00"/>
    <s v="CUST907"/>
    <x v="1"/>
    <s v="Adult"/>
    <n v="45"/>
    <x v="2"/>
    <n v="1"/>
    <n v="25"/>
    <n v="25"/>
    <e v="#REF!"/>
    <e v="#REF!"/>
  </r>
  <r>
    <n v="908"/>
    <n v="29"/>
    <n v="12"/>
    <n v="2023"/>
    <s v="Friday"/>
    <s v="December"/>
    <s v="2023"/>
    <d v="2023-12-29T00:00:00"/>
    <s v="CUST908"/>
    <x v="0"/>
    <s v="Adult"/>
    <n v="46"/>
    <x v="0"/>
    <n v="4"/>
    <n v="300"/>
    <n v="1200"/>
    <n v="18"/>
    <n v="24"/>
  </r>
  <r>
    <n v="909"/>
    <n v="1"/>
    <n v="10"/>
    <n v="2023"/>
    <s v="Sunday"/>
    <s v="October"/>
    <s v="2023"/>
    <d v="2023-10-01T00:00:00"/>
    <s v="CUST909"/>
    <x v="0"/>
    <s v="Young Adult"/>
    <n v="26"/>
    <x v="2"/>
    <n v="1"/>
    <n v="300"/>
    <n v="300"/>
    <e v="#REF!"/>
    <e v="#REF!"/>
  </r>
  <r>
    <n v="910"/>
    <n v="6"/>
    <n v="3"/>
    <n v="2023"/>
    <s v="Monday"/>
    <s v="March"/>
    <s v="2023"/>
    <d v="2023-03-06T00:00:00"/>
    <s v="CUST910"/>
    <x v="1"/>
    <s v="Young Adult"/>
    <n v="20"/>
    <x v="0"/>
    <n v="3"/>
    <n v="50"/>
    <n v="150"/>
    <n v="2.25"/>
    <n v="3"/>
  </r>
  <r>
    <n v="911"/>
    <n v="21"/>
    <n v="5"/>
    <n v="2023"/>
    <s v="Sunday"/>
    <s v="May"/>
    <s v="2023"/>
    <d v="2023-05-21T00:00:00"/>
    <s v="CUST911"/>
    <x v="0"/>
    <s v="Adult"/>
    <n v="42"/>
    <x v="2"/>
    <n v="3"/>
    <n v="300"/>
    <n v="900"/>
    <e v="#REF!"/>
    <e v="#REF!"/>
  </r>
  <r>
    <n v="912"/>
    <n v="24"/>
    <n v="1"/>
    <n v="2023"/>
    <s v="Tuesday"/>
    <s v="January"/>
    <s v="2023"/>
    <d v="2023-01-24T00:00:00"/>
    <s v="CUST912"/>
    <x v="0"/>
    <s v="Senior"/>
    <n v="51"/>
    <x v="0"/>
    <n v="3"/>
    <n v="50"/>
    <n v="150"/>
    <n v="2.25"/>
    <n v="3"/>
  </r>
  <r>
    <n v="913"/>
    <n v="28"/>
    <n v="1"/>
    <n v="2023"/>
    <s v="Saturday"/>
    <s v="January"/>
    <s v="2023"/>
    <d v="2023-01-28T00:00:00"/>
    <s v="CUST913"/>
    <x v="0"/>
    <s v="Young Adult"/>
    <n v="29"/>
    <x v="2"/>
    <n v="3"/>
    <n v="30"/>
    <n v="90"/>
    <e v="#REF!"/>
    <e v="#REF!"/>
  </r>
  <r>
    <n v="914"/>
    <n v="11"/>
    <n v="10"/>
    <n v="2023"/>
    <s v="Wednesday"/>
    <s v="October"/>
    <s v="2023"/>
    <d v="2023-10-11T00:00:00"/>
    <s v="CUST914"/>
    <x v="1"/>
    <s v="Senior"/>
    <n v="59"/>
    <x v="2"/>
    <n v="1"/>
    <n v="500"/>
    <n v="500"/>
    <e v="#REF!"/>
    <e v="#REF!"/>
  </r>
  <r>
    <n v="915"/>
    <n v="30"/>
    <n v="5"/>
    <n v="2023"/>
    <s v="Tuesday"/>
    <s v="May"/>
    <s v="2023"/>
    <d v="2023-05-30T00:00:00"/>
    <s v="CUST915"/>
    <x v="1"/>
    <s v="Young Adult"/>
    <n v="26"/>
    <x v="0"/>
    <n v="3"/>
    <n v="30"/>
    <n v="90"/>
    <n v="1.3499999999999999"/>
    <n v="1.8"/>
  </r>
  <r>
    <n v="916"/>
    <n v="24"/>
    <n v="12"/>
    <n v="2023"/>
    <s v="Sunday"/>
    <s v="December"/>
    <s v="2023"/>
    <d v="2023-12-24T00:00:00"/>
    <s v="CUST916"/>
    <x v="1"/>
    <s v="Adult"/>
    <n v="32"/>
    <x v="2"/>
    <n v="1"/>
    <n v="50"/>
    <n v="50"/>
    <e v="#REF!"/>
    <e v="#REF!"/>
  </r>
  <r>
    <n v="917"/>
    <n v="6"/>
    <n v="3"/>
    <n v="2023"/>
    <s v="Monday"/>
    <s v="March"/>
    <s v="2023"/>
    <d v="2023-03-06T00:00:00"/>
    <s v="CUST917"/>
    <x v="1"/>
    <s v="Senior"/>
    <n v="57"/>
    <x v="2"/>
    <n v="4"/>
    <n v="50"/>
    <n v="200"/>
    <e v="#REF!"/>
    <e v="#REF!"/>
  </r>
  <r>
    <n v="918"/>
    <n v="23"/>
    <n v="11"/>
    <n v="2023"/>
    <s v="Thursday"/>
    <s v="November"/>
    <s v="2023"/>
    <d v="2023-11-23T00:00:00"/>
    <s v="CUST918"/>
    <x v="1"/>
    <s v="Adult"/>
    <n v="42"/>
    <x v="2"/>
    <n v="3"/>
    <n v="30"/>
    <n v="90"/>
    <e v="#REF!"/>
    <e v="#REF!"/>
  </r>
  <r>
    <n v="919"/>
    <n v="9"/>
    <n v="9"/>
    <n v="2023"/>
    <s v="Saturday"/>
    <s v="September"/>
    <s v="2023"/>
    <d v="2023-09-09T00:00:00"/>
    <s v="CUST919"/>
    <x v="1"/>
    <s v="Young Adult"/>
    <n v="22"/>
    <x v="0"/>
    <n v="2"/>
    <n v="25"/>
    <n v="50"/>
    <n v="0.75"/>
    <n v="1"/>
  </r>
  <r>
    <n v="920"/>
    <n v="22"/>
    <n v="2"/>
    <n v="2023"/>
    <s v="Wednesday"/>
    <s v="February"/>
    <s v="2023"/>
    <d v="2023-02-22T00:00:00"/>
    <s v="CUST920"/>
    <x v="1"/>
    <s v="Young Adult"/>
    <n v="28"/>
    <x v="0"/>
    <n v="3"/>
    <n v="25"/>
    <n v="75"/>
    <n v="1.125"/>
    <n v="1.5"/>
  </r>
  <r>
    <n v="921"/>
    <n v="7"/>
    <n v="1"/>
    <n v="2023"/>
    <s v="Saturday"/>
    <s v="January"/>
    <s v="2023"/>
    <d v="2023-01-07T00:00:00"/>
    <s v="CUST921"/>
    <x v="0"/>
    <s v="Senior"/>
    <n v="51"/>
    <x v="2"/>
    <n v="3"/>
    <n v="25"/>
    <n v="75"/>
    <e v="#REF!"/>
    <e v="#REF!"/>
  </r>
  <r>
    <n v="922"/>
    <n v="21"/>
    <n v="10"/>
    <n v="2023"/>
    <s v="Saturday"/>
    <s v="October"/>
    <s v="2023"/>
    <d v="2023-10-21T00:00:00"/>
    <s v="CUST922"/>
    <x v="0"/>
    <s v="Adult"/>
    <n v="41"/>
    <x v="2"/>
    <n v="1"/>
    <n v="50"/>
    <n v="50"/>
    <e v="#REF!"/>
    <e v="#REF!"/>
  </r>
  <r>
    <n v="923"/>
    <n v="26"/>
    <n v="5"/>
    <n v="2023"/>
    <s v="Friday"/>
    <s v="May"/>
    <s v="2023"/>
    <d v="2023-05-26T00:00:00"/>
    <s v="CUST923"/>
    <x v="0"/>
    <s v="Adult"/>
    <n v="32"/>
    <x v="0"/>
    <n v="3"/>
    <n v="300"/>
    <n v="900"/>
    <n v="13.5"/>
    <n v="18"/>
  </r>
  <r>
    <n v="924"/>
    <n v="29"/>
    <n v="8"/>
    <n v="2023"/>
    <s v="Tuesday"/>
    <s v="August"/>
    <s v="2023"/>
    <d v="2023-08-29T00:00:00"/>
    <s v="CUST924"/>
    <x v="0"/>
    <s v="Senior"/>
    <n v="55"/>
    <x v="0"/>
    <n v="2"/>
    <n v="50"/>
    <n v="100"/>
    <n v="1.5"/>
    <n v="2"/>
  </r>
  <r>
    <n v="925"/>
    <n v="3"/>
    <n v="9"/>
    <n v="2023"/>
    <s v="Sunday"/>
    <s v="September"/>
    <s v="2023"/>
    <d v="2023-09-03T00:00:00"/>
    <s v="CUST925"/>
    <x v="0"/>
    <s v="Young Adult"/>
    <n v="25"/>
    <x v="2"/>
    <n v="1"/>
    <n v="300"/>
    <n v="300"/>
    <e v="#REF!"/>
    <e v="#REF!"/>
  </r>
  <r>
    <n v="926"/>
    <n v="14"/>
    <n v="8"/>
    <n v="2023"/>
    <s v="Monday"/>
    <s v="August"/>
    <s v="2023"/>
    <d v="2023-08-14T00:00:00"/>
    <s v="CUST926"/>
    <x v="0"/>
    <s v="Young Adult"/>
    <n v="22"/>
    <x v="2"/>
    <n v="1"/>
    <n v="30"/>
    <n v="30"/>
    <e v="#REF!"/>
    <e v="#REF!"/>
  </r>
  <r>
    <n v="927"/>
    <n v="24"/>
    <n v="6"/>
    <n v="2023"/>
    <s v="Saturday"/>
    <s v="June"/>
    <s v="2023"/>
    <d v="2023-06-24T00:00:00"/>
    <s v="CUST927"/>
    <x v="0"/>
    <s v="Adult"/>
    <n v="43"/>
    <x v="2"/>
    <n v="4"/>
    <n v="500"/>
    <n v="2000"/>
    <e v="#REF!"/>
    <e v="#REF!"/>
  </r>
  <r>
    <n v="928"/>
    <n v="5"/>
    <n v="4"/>
    <n v="2023"/>
    <s v="Wednesday"/>
    <s v="April"/>
    <s v="2023"/>
    <d v="2023-04-05T00:00:00"/>
    <s v="CUST928"/>
    <x v="1"/>
    <s v="Adult"/>
    <n v="35"/>
    <x v="1"/>
    <n v="4"/>
    <n v="300"/>
    <n v="1200"/>
    <e v="#REF!"/>
    <e v="#REF!"/>
  </r>
  <r>
    <n v="929"/>
    <n v="27"/>
    <n v="1"/>
    <n v="2023"/>
    <s v="Friday"/>
    <s v="January"/>
    <s v="2023"/>
    <d v="2023-01-27T00:00:00"/>
    <s v="CUST929"/>
    <x v="1"/>
    <s v="Young Adult"/>
    <n v="23"/>
    <x v="0"/>
    <n v="3"/>
    <n v="25"/>
    <n v="75"/>
    <n v="1.125"/>
    <n v="1.5"/>
  </r>
  <r>
    <n v="930"/>
    <n v="10"/>
    <n v="5"/>
    <n v="2023"/>
    <s v="Wednesday"/>
    <s v="May"/>
    <s v="2023"/>
    <d v="2023-05-10T00:00:00"/>
    <s v="CUST930"/>
    <x v="0"/>
    <s v="Senior"/>
    <n v="54"/>
    <x v="1"/>
    <n v="4"/>
    <n v="50"/>
    <n v="200"/>
    <e v="#REF!"/>
    <e v="#REF!"/>
  </r>
  <r>
    <n v="931"/>
    <n v="2"/>
    <n v="9"/>
    <n v="2023"/>
    <s v="Saturday"/>
    <s v="September"/>
    <s v="2023"/>
    <d v="2023-09-02T00:00:00"/>
    <s v="CUST931"/>
    <x v="0"/>
    <s v="Adult"/>
    <n v="30"/>
    <x v="0"/>
    <n v="4"/>
    <n v="30"/>
    <n v="120"/>
    <n v="1.7999999999999998"/>
    <n v="2.4"/>
  </r>
  <r>
    <n v="932"/>
    <n v="28"/>
    <n v="2"/>
    <n v="2023"/>
    <s v="Tuesday"/>
    <s v="February"/>
    <s v="2023"/>
    <d v="2023-02-28T00:00:00"/>
    <s v="CUST932"/>
    <x v="1"/>
    <s v="Adult"/>
    <n v="45"/>
    <x v="0"/>
    <n v="4"/>
    <n v="25"/>
    <n v="100"/>
    <n v="1.5"/>
    <n v="2"/>
  </r>
  <r>
    <n v="933"/>
    <n v="3"/>
    <n v="2"/>
    <n v="2023"/>
    <s v="Friday"/>
    <s v="February"/>
    <s v="2023"/>
    <d v="2023-02-03T00:00:00"/>
    <s v="CUST933"/>
    <x v="0"/>
    <s v="Young Adult"/>
    <n v="22"/>
    <x v="0"/>
    <n v="1"/>
    <n v="30"/>
    <n v="30"/>
    <n v="0.44999999999999996"/>
    <n v="0.6"/>
  </r>
  <r>
    <n v="934"/>
    <n v="25"/>
    <n v="7"/>
    <n v="2023"/>
    <s v="Tuesday"/>
    <s v="July"/>
    <s v="2023"/>
    <d v="2023-07-25T00:00:00"/>
    <s v="CUST934"/>
    <x v="0"/>
    <s v="Adult"/>
    <n v="30"/>
    <x v="0"/>
    <n v="1"/>
    <n v="500"/>
    <n v="500"/>
    <n v="7.5"/>
    <n v="10"/>
  </r>
  <r>
    <n v="935"/>
    <n v="9"/>
    <n v="9"/>
    <n v="2023"/>
    <s v="Saturday"/>
    <s v="September"/>
    <s v="2023"/>
    <d v="2023-09-09T00:00:00"/>
    <s v="CUST935"/>
    <x v="1"/>
    <s v="Adult"/>
    <n v="34"/>
    <x v="0"/>
    <n v="1"/>
    <n v="50"/>
    <n v="50"/>
    <n v="0.75"/>
    <n v="1"/>
  </r>
  <r>
    <n v="936"/>
    <n v="7"/>
    <n v="2"/>
    <n v="2023"/>
    <s v="Tuesday"/>
    <s v="February"/>
    <s v="2023"/>
    <d v="2023-02-07T00:00:00"/>
    <s v="CUST936"/>
    <x v="0"/>
    <s v="Senior"/>
    <n v="57"/>
    <x v="0"/>
    <n v="4"/>
    <n v="50"/>
    <n v="200"/>
    <n v="3"/>
    <n v="4"/>
  </r>
  <r>
    <n v="937"/>
    <n v="23"/>
    <n v="10"/>
    <n v="2023"/>
    <s v="Monday"/>
    <s v="October"/>
    <s v="2023"/>
    <d v="2023-10-23T00:00:00"/>
    <s v="CUST937"/>
    <x v="1"/>
    <s v="Senior"/>
    <n v="62"/>
    <x v="0"/>
    <n v="1"/>
    <n v="500"/>
    <n v="500"/>
    <n v="7.5"/>
    <n v="10"/>
  </r>
  <r>
    <n v="938"/>
    <n v="19"/>
    <n v="11"/>
    <n v="2023"/>
    <s v="Sunday"/>
    <s v="November"/>
    <s v="2023"/>
    <d v="2023-11-19T00:00:00"/>
    <s v="CUST938"/>
    <x v="0"/>
    <s v="Adult"/>
    <n v="49"/>
    <x v="1"/>
    <n v="4"/>
    <n v="50"/>
    <n v="200"/>
    <e v="#REF!"/>
    <e v="#REF!"/>
  </r>
  <r>
    <n v="939"/>
    <n v="18"/>
    <n v="12"/>
    <n v="2023"/>
    <s v="Monday"/>
    <s v="December"/>
    <s v="2023"/>
    <d v="2023-12-18T00:00:00"/>
    <s v="CUST939"/>
    <x v="1"/>
    <s v="Adult"/>
    <n v="46"/>
    <x v="2"/>
    <n v="1"/>
    <n v="300"/>
    <n v="300"/>
    <e v="#REF!"/>
    <e v="#REF!"/>
  </r>
  <r>
    <n v="940"/>
    <n v="28"/>
    <n v="1"/>
    <n v="2023"/>
    <s v="Saturday"/>
    <s v="January"/>
    <s v="2023"/>
    <d v="2023-01-28T00:00:00"/>
    <s v="CUST940"/>
    <x v="1"/>
    <s v="Young Adult"/>
    <n v="20"/>
    <x v="2"/>
    <n v="1"/>
    <n v="30"/>
    <n v="30"/>
    <e v="#REF!"/>
    <e v="#REF!"/>
  </r>
  <r>
    <n v="941"/>
    <n v="19"/>
    <n v="3"/>
    <n v="2023"/>
    <s v="Sunday"/>
    <s v="March"/>
    <s v="2023"/>
    <d v="2023-03-19T00:00:00"/>
    <s v="CUST941"/>
    <x v="1"/>
    <s v="Senior"/>
    <n v="57"/>
    <x v="1"/>
    <n v="2"/>
    <n v="25"/>
    <n v="50"/>
    <e v="#REF!"/>
    <e v="#REF!"/>
  </r>
  <r>
    <n v="942"/>
    <n v="18"/>
    <n v="3"/>
    <n v="2023"/>
    <s v="Saturday"/>
    <s v="March"/>
    <s v="2023"/>
    <d v="2023-03-18T00:00:00"/>
    <s v="CUST942"/>
    <x v="0"/>
    <s v="Senior"/>
    <n v="51"/>
    <x v="1"/>
    <n v="3"/>
    <n v="500"/>
    <n v="1500"/>
    <e v="#REF!"/>
    <e v="#REF!"/>
  </r>
  <r>
    <n v="943"/>
    <n v="16"/>
    <n v="10"/>
    <n v="2023"/>
    <s v="Monday"/>
    <s v="October"/>
    <s v="2023"/>
    <d v="2023-10-16T00:00:00"/>
    <s v="CUST943"/>
    <x v="1"/>
    <s v="Senior"/>
    <n v="57"/>
    <x v="1"/>
    <n v="4"/>
    <n v="300"/>
    <n v="1200"/>
    <e v="#REF!"/>
    <e v="#REF!"/>
  </r>
  <r>
    <n v="944"/>
    <n v="5"/>
    <n v="6"/>
    <n v="2023"/>
    <s v="Monday"/>
    <s v="June"/>
    <s v="2023"/>
    <d v="2023-06-05T00:00:00"/>
    <s v="CUST944"/>
    <x v="0"/>
    <s v="Adult"/>
    <n v="44"/>
    <x v="1"/>
    <n v="2"/>
    <n v="25"/>
    <n v="50"/>
    <e v="#REF!"/>
    <e v="#REF!"/>
  </r>
  <r>
    <n v="945"/>
    <n v="13"/>
    <n v="2"/>
    <n v="2023"/>
    <s v="Monday"/>
    <s v="February"/>
    <s v="2023"/>
    <d v="2023-02-13T00:00:00"/>
    <s v="CUST945"/>
    <x v="0"/>
    <s v="Adult"/>
    <n v="30"/>
    <x v="0"/>
    <n v="1"/>
    <n v="25"/>
    <n v="25"/>
    <n v="0.375"/>
    <n v="0.5"/>
  </r>
  <r>
    <n v="946"/>
    <n v="8"/>
    <n v="5"/>
    <n v="2023"/>
    <s v="Monday"/>
    <s v="May"/>
    <s v="2023"/>
    <d v="2023-05-08T00:00:00"/>
    <s v="CUST946"/>
    <x v="0"/>
    <s v="Senior"/>
    <n v="62"/>
    <x v="2"/>
    <n v="4"/>
    <n v="500"/>
    <n v="2000"/>
    <e v="#REF!"/>
    <e v="#REF!"/>
  </r>
  <r>
    <n v="947"/>
    <n v="2"/>
    <n v="3"/>
    <n v="2023"/>
    <s v="Thursday"/>
    <s v="March"/>
    <s v="2023"/>
    <d v="2023-03-02T00:00:00"/>
    <s v="CUST947"/>
    <x v="0"/>
    <s v="Adult"/>
    <n v="50"/>
    <x v="0"/>
    <n v="1"/>
    <n v="300"/>
    <n v="300"/>
    <n v="4.5"/>
    <n v="6"/>
  </r>
  <r>
    <n v="948"/>
    <n v="13"/>
    <n v="10"/>
    <n v="2023"/>
    <s v="Friday"/>
    <s v="October"/>
    <s v="2023"/>
    <d v="2023-10-13T00:00:00"/>
    <s v="CUST948"/>
    <x v="1"/>
    <s v="Young Adult"/>
    <n v="23"/>
    <x v="2"/>
    <n v="3"/>
    <n v="25"/>
    <n v="75"/>
    <e v="#REF!"/>
    <e v="#REF!"/>
  </r>
  <r>
    <n v="949"/>
    <n v="2"/>
    <n v="8"/>
    <n v="2023"/>
    <s v="Wednesday"/>
    <s v="August"/>
    <s v="2023"/>
    <d v="2023-08-02T00:00:00"/>
    <s v="CUST949"/>
    <x v="1"/>
    <s v="Adult"/>
    <n v="41"/>
    <x v="2"/>
    <n v="2"/>
    <n v="25"/>
    <n v="50"/>
    <e v="#REF!"/>
    <e v="#REF!"/>
  </r>
  <r>
    <n v="950"/>
    <n v="7"/>
    <n v="11"/>
    <n v="2023"/>
    <s v="Tuesday"/>
    <s v="November"/>
    <s v="2023"/>
    <d v="2023-11-07T00:00:00"/>
    <s v="CUST950"/>
    <x v="0"/>
    <s v="Adult"/>
    <n v="36"/>
    <x v="1"/>
    <n v="3"/>
    <n v="300"/>
    <n v="900"/>
    <e v="#REF!"/>
    <e v="#REF!"/>
  </r>
  <r>
    <n v="951"/>
    <n v="2"/>
    <n v="11"/>
    <n v="2023"/>
    <s v="Thursday"/>
    <s v="November"/>
    <s v="2023"/>
    <d v="2023-11-02T00:00:00"/>
    <s v="CUST951"/>
    <x v="0"/>
    <s v="Adult"/>
    <n v="33"/>
    <x v="0"/>
    <n v="2"/>
    <n v="50"/>
    <n v="100"/>
    <n v="1.5"/>
    <n v="2"/>
  </r>
  <r>
    <n v="952"/>
    <n v="13"/>
    <n v="11"/>
    <n v="2023"/>
    <s v="Monday"/>
    <s v="November"/>
    <s v="2023"/>
    <d v="2023-11-13T00:00:00"/>
    <s v="CUST952"/>
    <x v="1"/>
    <s v="Senior"/>
    <n v="57"/>
    <x v="1"/>
    <n v="1"/>
    <n v="25"/>
    <n v="25"/>
    <e v="#REF!"/>
    <e v="#REF!"/>
  </r>
  <r>
    <n v="953"/>
    <n v="26"/>
    <n v="4"/>
    <n v="2023"/>
    <s v="Wednesday"/>
    <s v="April"/>
    <s v="2023"/>
    <d v="2023-04-26T00:00:00"/>
    <s v="CUST953"/>
    <x v="0"/>
    <s v="Adult"/>
    <n v="45"/>
    <x v="0"/>
    <n v="3"/>
    <n v="30"/>
    <n v="90"/>
    <n v="1.3499999999999999"/>
    <n v="1.8"/>
  </r>
  <r>
    <n v="954"/>
    <n v="25"/>
    <n v="9"/>
    <n v="2023"/>
    <s v="Monday"/>
    <s v="September"/>
    <s v="2023"/>
    <d v="2023-09-25T00:00:00"/>
    <s v="CUST954"/>
    <x v="1"/>
    <s v="Adult"/>
    <n v="50"/>
    <x v="2"/>
    <n v="3"/>
    <n v="300"/>
    <n v="900"/>
    <e v="#REF!"/>
    <e v="#REF!"/>
  </r>
  <r>
    <n v="955"/>
    <n v="14"/>
    <n v="7"/>
    <n v="2023"/>
    <s v="Friday"/>
    <s v="July"/>
    <s v="2023"/>
    <d v="2023-07-14T00:00:00"/>
    <s v="CUST955"/>
    <x v="0"/>
    <s v="Senior"/>
    <n v="58"/>
    <x v="1"/>
    <n v="1"/>
    <n v="25"/>
    <n v="25"/>
    <e v="#REF!"/>
    <e v="#REF!"/>
  </r>
  <r>
    <n v="956"/>
    <n v="19"/>
    <n v="8"/>
    <n v="2023"/>
    <s v="Saturday"/>
    <s v="August"/>
    <s v="2023"/>
    <d v="2023-08-19T00:00:00"/>
    <s v="CUST956"/>
    <x v="0"/>
    <s v="Adult"/>
    <n v="30"/>
    <x v="1"/>
    <n v="3"/>
    <n v="500"/>
    <n v="1500"/>
    <e v="#REF!"/>
    <e v="#REF!"/>
  </r>
  <r>
    <n v="957"/>
    <n v="15"/>
    <n v="8"/>
    <n v="2023"/>
    <s v="Tuesday"/>
    <s v="August"/>
    <s v="2023"/>
    <d v="2023-08-15T00:00:00"/>
    <s v="CUST957"/>
    <x v="1"/>
    <s v="Senior"/>
    <n v="60"/>
    <x v="2"/>
    <n v="4"/>
    <n v="30"/>
    <n v="120"/>
    <e v="#REF!"/>
    <e v="#REF!"/>
  </r>
  <r>
    <n v="958"/>
    <n v="2"/>
    <n v="6"/>
    <n v="2023"/>
    <s v="Friday"/>
    <s v="June"/>
    <s v="2023"/>
    <d v="2023-06-02T00:00:00"/>
    <s v="CUST958"/>
    <x v="0"/>
    <s v="Senior"/>
    <n v="62"/>
    <x v="2"/>
    <n v="2"/>
    <n v="25"/>
    <n v="50"/>
    <e v="#REF!"/>
    <e v="#REF!"/>
  </r>
  <r>
    <n v="959"/>
    <n v="29"/>
    <n v="10"/>
    <n v="2023"/>
    <s v="Sunday"/>
    <s v="October"/>
    <s v="2023"/>
    <d v="2023-10-29T00:00:00"/>
    <s v="CUST959"/>
    <x v="1"/>
    <s v="Adult"/>
    <n v="42"/>
    <x v="2"/>
    <n v="2"/>
    <n v="30"/>
    <n v="60"/>
    <e v="#REF!"/>
    <e v="#REF!"/>
  </r>
  <r>
    <n v="960"/>
    <n v="8"/>
    <n v="8"/>
    <n v="2023"/>
    <s v="Tuesday"/>
    <s v="August"/>
    <s v="2023"/>
    <d v="2023-08-08T00:00:00"/>
    <s v="CUST960"/>
    <x v="0"/>
    <s v="Senior"/>
    <n v="59"/>
    <x v="1"/>
    <n v="2"/>
    <n v="30"/>
    <n v="60"/>
    <e v="#REF!"/>
    <e v="#REF!"/>
  </r>
  <r>
    <n v="961"/>
    <n v="6"/>
    <n v="6"/>
    <n v="2023"/>
    <s v="Tuesday"/>
    <s v="June"/>
    <s v="2023"/>
    <d v="2023-06-06T00:00:00"/>
    <s v="CUST961"/>
    <x v="0"/>
    <s v="Senior"/>
    <n v="53"/>
    <x v="0"/>
    <n v="4"/>
    <n v="50"/>
    <n v="200"/>
    <n v="3"/>
    <n v="4"/>
  </r>
  <r>
    <n v="962"/>
    <n v="19"/>
    <n v="10"/>
    <n v="2023"/>
    <s v="Thursday"/>
    <s v="October"/>
    <s v="2023"/>
    <d v="2023-10-19T00:00:00"/>
    <s v="CUST962"/>
    <x v="0"/>
    <s v="Adult"/>
    <n v="44"/>
    <x v="1"/>
    <n v="2"/>
    <n v="30"/>
    <n v="60"/>
    <e v="#REF!"/>
    <e v="#REF!"/>
  </r>
  <r>
    <n v="963"/>
    <n v="14"/>
    <n v="11"/>
    <n v="2023"/>
    <s v="Tuesday"/>
    <s v="November"/>
    <s v="2023"/>
    <d v="2023-11-14T00:00:00"/>
    <s v="CUST963"/>
    <x v="1"/>
    <s v="Senior"/>
    <n v="55"/>
    <x v="0"/>
    <n v="1"/>
    <n v="50"/>
    <n v="50"/>
    <n v="0.75"/>
    <n v="1"/>
  </r>
  <r>
    <n v="964"/>
    <n v="31"/>
    <n v="1"/>
    <n v="2023"/>
    <s v="Tuesday"/>
    <s v="January"/>
    <s v="2023"/>
    <d v="2023-01-31T00:00:00"/>
    <s v="CUST964"/>
    <x v="0"/>
    <s v="Young Adult"/>
    <n v="24"/>
    <x v="1"/>
    <n v="3"/>
    <n v="300"/>
    <n v="900"/>
    <e v="#REF!"/>
    <e v="#REF!"/>
  </r>
  <r>
    <n v="965"/>
    <n v="9"/>
    <n v="11"/>
    <n v="2023"/>
    <s v="Thursday"/>
    <s v="November"/>
    <s v="2023"/>
    <d v="2023-11-09T00:00:00"/>
    <s v="CUST965"/>
    <x v="0"/>
    <s v="Young Adult"/>
    <n v="22"/>
    <x v="1"/>
    <n v="4"/>
    <n v="50"/>
    <n v="200"/>
    <e v="#REF!"/>
    <e v="#REF!"/>
  </r>
  <r>
    <n v="966"/>
    <n v="20"/>
    <n v="2"/>
    <n v="2023"/>
    <s v="Monday"/>
    <s v="February"/>
    <s v="2023"/>
    <d v="2023-02-20T00:00:00"/>
    <s v="CUST966"/>
    <x v="0"/>
    <s v="Senior"/>
    <n v="60"/>
    <x v="2"/>
    <n v="2"/>
    <n v="500"/>
    <n v="1000"/>
    <e v="#REF!"/>
    <e v="#REF!"/>
  </r>
  <r>
    <n v="967"/>
    <n v="17"/>
    <n v="4"/>
    <n v="2023"/>
    <s v="Monday"/>
    <s v="April"/>
    <s v="2023"/>
    <d v="2023-04-17T00:00:00"/>
    <s v="CUST967"/>
    <x v="0"/>
    <s v="Senior"/>
    <n v="62"/>
    <x v="0"/>
    <n v="1"/>
    <n v="25"/>
    <n v="25"/>
    <n v="0.375"/>
    <n v="0.5"/>
  </r>
  <r>
    <n v="968"/>
    <n v="17"/>
    <n v="11"/>
    <n v="2023"/>
    <s v="Friday"/>
    <s v="November"/>
    <s v="2023"/>
    <d v="2023-11-17T00:00:00"/>
    <s v="CUST968"/>
    <x v="1"/>
    <s v="Adult"/>
    <n v="48"/>
    <x v="1"/>
    <n v="3"/>
    <n v="300"/>
    <n v="900"/>
    <e v="#REF!"/>
    <e v="#REF!"/>
  </r>
  <r>
    <n v="969"/>
    <n v="19"/>
    <n v="4"/>
    <n v="2023"/>
    <s v="Wednesday"/>
    <s v="April"/>
    <s v="2023"/>
    <d v="2023-04-19T00:00:00"/>
    <s v="CUST969"/>
    <x v="1"/>
    <s v="Adult"/>
    <n v="40"/>
    <x v="1"/>
    <n v="3"/>
    <n v="300"/>
    <n v="900"/>
    <e v="#REF!"/>
    <e v="#REF!"/>
  </r>
  <r>
    <n v="970"/>
    <n v="16"/>
    <n v="5"/>
    <n v="2023"/>
    <s v="Tuesday"/>
    <s v="May"/>
    <s v="2023"/>
    <d v="2023-05-16T00:00:00"/>
    <s v="CUST970"/>
    <x v="0"/>
    <s v="Senior"/>
    <n v="59"/>
    <x v="2"/>
    <n v="4"/>
    <n v="500"/>
    <n v="2000"/>
    <e v="#REF!"/>
    <e v="#REF!"/>
  </r>
  <r>
    <n v="971"/>
    <n v="5"/>
    <n v="12"/>
    <n v="2023"/>
    <s v="Tuesday"/>
    <s v="December"/>
    <s v="2023"/>
    <d v="2023-12-05T00:00:00"/>
    <s v="CUST971"/>
    <x v="1"/>
    <s v="Young Adult"/>
    <n v="27"/>
    <x v="2"/>
    <n v="4"/>
    <n v="50"/>
    <n v="200"/>
    <e v="#REF!"/>
    <e v="#REF!"/>
  </r>
  <r>
    <n v="972"/>
    <n v="11"/>
    <n v="2"/>
    <n v="2023"/>
    <s v="Saturday"/>
    <s v="February"/>
    <s v="2023"/>
    <d v="2023-02-11T00:00:00"/>
    <s v="CUST972"/>
    <x v="0"/>
    <s v="Adult"/>
    <n v="49"/>
    <x v="0"/>
    <n v="4"/>
    <n v="25"/>
    <n v="100"/>
    <n v="1.5"/>
    <n v="2"/>
  </r>
  <r>
    <n v="973"/>
    <n v="22"/>
    <n v="3"/>
    <n v="2023"/>
    <s v="Wednesday"/>
    <s v="March"/>
    <s v="2023"/>
    <d v="2023-03-22T00:00:00"/>
    <s v="CUST973"/>
    <x v="0"/>
    <s v="Senior"/>
    <n v="60"/>
    <x v="1"/>
    <n v="1"/>
    <n v="50"/>
    <n v="50"/>
    <e v="#REF!"/>
    <e v="#REF!"/>
  </r>
  <r>
    <n v="974"/>
    <n v="3"/>
    <n v="5"/>
    <n v="2023"/>
    <s v="Wednesday"/>
    <s v="May"/>
    <s v="2023"/>
    <d v="2023-05-03T00:00:00"/>
    <s v="CUST974"/>
    <x v="0"/>
    <s v="Adult"/>
    <n v="47"/>
    <x v="0"/>
    <n v="1"/>
    <n v="30"/>
    <n v="30"/>
    <n v="0.44999999999999996"/>
    <n v="0.6"/>
  </r>
  <r>
    <n v="975"/>
    <n v="30"/>
    <n v="3"/>
    <n v="2023"/>
    <s v="Thursday"/>
    <s v="March"/>
    <s v="2023"/>
    <d v="2023-03-30T00:00:00"/>
    <s v="CUST975"/>
    <x v="1"/>
    <s v="Senior"/>
    <n v="56"/>
    <x v="1"/>
    <n v="4"/>
    <n v="50"/>
    <n v="200"/>
    <e v="#REF!"/>
    <e v="#REF!"/>
  </r>
  <r>
    <n v="976"/>
    <n v="10"/>
    <n v="10"/>
    <n v="2023"/>
    <s v="Tuesday"/>
    <s v="October"/>
    <s v="2023"/>
    <d v="2023-10-10T00:00:00"/>
    <s v="CUST976"/>
    <x v="1"/>
    <s v="Adult"/>
    <n v="48"/>
    <x v="0"/>
    <n v="2"/>
    <n v="300"/>
    <n v="600"/>
    <n v="9"/>
    <n v="12"/>
  </r>
  <r>
    <n v="977"/>
    <n v="8"/>
    <n v="2"/>
    <n v="2023"/>
    <s v="Wednesday"/>
    <s v="February"/>
    <s v="2023"/>
    <d v="2023-02-08T00:00:00"/>
    <s v="CUST977"/>
    <x v="1"/>
    <s v="Adult"/>
    <n v="35"/>
    <x v="2"/>
    <n v="3"/>
    <n v="25"/>
    <n v="75"/>
    <e v="#REF!"/>
    <e v="#REF!"/>
  </r>
  <r>
    <n v="978"/>
    <n v="22"/>
    <n v="3"/>
    <n v="2023"/>
    <s v="Wednesday"/>
    <s v="March"/>
    <s v="2023"/>
    <d v="2023-03-22T00:00:00"/>
    <s v="CUST978"/>
    <x v="1"/>
    <s v="Senior"/>
    <n v="53"/>
    <x v="1"/>
    <n v="3"/>
    <n v="50"/>
    <n v="150"/>
    <e v="#REF!"/>
    <e v="#REF!"/>
  </r>
  <r>
    <n v="979"/>
    <n v="2"/>
    <n v="1"/>
    <n v="2023"/>
    <s v="Monday"/>
    <s v="January"/>
    <s v="2023"/>
    <d v="2023-01-02T00:00:00"/>
    <s v="CUST979"/>
    <x v="1"/>
    <s v="Young Adult"/>
    <n v="19"/>
    <x v="0"/>
    <n v="1"/>
    <n v="25"/>
    <n v="25"/>
    <n v="0.375"/>
    <n v="0.5"/>
  </r>
  <r>
    <n v="980"/>
    <n v="29"/>
    <n v="7"/>
    <n v="2023"/>
    <s v="Saturday"/>
    <s v="July"/>
    <s v="2023"/>
    <d v="2023-07-29T00:00:00"/>
    <s v="CUST980"/>
    <x v="1"/>
    <s v="Adult"/>
    <n v="31"/>
    <x v="2"/>
    <n v="3"/>
    <n v="25"/>
    <n v="75"/>
    <e v="#REF!"/>
    <e v="#REF!"/>
  </r>
  <r>
    <n v="981"/>
    <n v="19"/>
    <n v="8"/>
    <n v="2023"/>
    <s v="Saturday"/>
    <s v="August"/>
    <s v="2023"/>
    <d v="2023-08-19T00:00:00"/>
    <s v="CUST981"/>
    <x v="1"/>
    <s v="Adult"/>
    <n v="30"/>
    <x v="2"/>
    <n v="2"/>
    <n v="30"/>
    <n v="60"/>
    <e v="#REF!"/>
    <e v="#REF!"/>
  </r>
  <r>
    <n v="982"/>
    <n v="19"/>
    <n v="12"/>
    <n v="2023"/>
    <s v="Tuesday"/>
    <s v="December"/>
    <s v="2023"/>
    <d v="2023-12-19T00:00:00"/>
    <s v="CUST982"/>
    <x v="1"/>
    <s v="Adult"/>
    <n v="46"/>
    <x v="0"/>
    <n v="3"/>
    <n v="30"/>
    <n v="90"/>
    <n v="1.3499999999999999"/>
    <n v="1.8"/>
  </r>
  <r>
    <n v="983"/>
    <n v="1"/>
    <n v="11"/>
    <n v="2023"/>
    <s v="Wednesday"/>
    <s v="November"/>
    <s v="2023"/>
    <d v="2023-11-01T00:00:00"/>
    <s v="CUST983"/>
    <x v="1"/>
    <s v="Young Adult"/>
    <n v="29"/>
    <x v="1"/>
    <n v="1"/>
    <n v="300"/>
    <n v="300"/>
    <e v="#REF!"/>
    <e v="#REF!"/>
  </r>
  <r>
    <n v="984"/>
    <n v="29"/>
    <n v="8"/>
    <n v="2023"/>
    <s v="Tuesday"/>
    <s v="August"/>
    <s v="2023"/>
    <d v="2023-08-29T00:00:00"/>
    <s v="CUST984"/>
    <x v="0"/>
    <s v="Senior"/>
    <n v="56"/>
    <x v="1"/>
    <n v="1"/>
    <n v="500"/>
    <n v="500"/>
    <e v="#REF!"/>
    <e v="#REF!"/>
  </r>
  <r>
    <n v="985"/>
    <n v="30"/>
    <n v="5"/>
    <n v="2023"/>
    <s v="Tuesday"/>
    <s v="May"/>
    <s v="2023"/>
    <d v="2023-05-30T00:00:00"/>
    <s v="CUST985"/>
    <x v="1"/>
    <s v="Young Adult"/>
    <n v="19"/>
    <x v="2"/>
    <n v="2"/>
    <n v="25"/>
    <n v="50"/>
    <e v="#REF!"/>
    <e v="#REF!"/>
  </r>
  <r>
    <n v="986"/>
    <n v="17"/>
    <n v="1"/>
    <n v="2023"/>
    <s v="Tuesday"/>
    <s v="January"/>
    <s v="2023"/>
    <d v="2023-01-17T00:00:00"/>
    <s v="CUST986"/>
    <x v="1"/>
    <s v="Adult"/>
    <n v="49"/>
    <x v="1"/>
    <n v="2"/>
    <n v="500"/>
    <n v="1000"/>
    <e v="#REF!"/>
    <e v="#REF!"/>
  </r>
  <r>
    <n v="987"/>
    <n v="29"/>
    <n v="4"/>
    <n v="2023"/>
    <s v="Saturday"/>
    <s v="April"/>
    <s v="2023"/>
    <d v="2023-04-29T00:00:00"/>
    <s v="CUST987"/>
    <x v="1"/>
    <s v="Adult"/>
    <n v="30"/>
    <x v="1"/>
    <n v="3"/>
    <n v="300"/>
    <n v="900"/>
    <e v="#REF!"/>
    <e v="#REF!"/>
  </r>
  <r>
    <n v="988"/>
    <n v="28"/>
    <n v="5"/>
    <n v="2023"/>
    <s v="Sunday"/>
    <s v="May"/>
    <s v="2023"/>
    <d v="2023-05-28T00:00:00"/>
    <s v="CUST988"/>
    <x v="1"/>
    <s v="Senior"/>
    <n v="63"/>
    <x v="1"/>
    <n v="3"/>
    <n v="25"/>
    <n v="75"/>
    <e v="#REF!"/>
    <e v="#REF!"/>
  </r>
  <r>
    <n v="989"/>
    <n v="28"/>
    <n v="12"/>
    <n v="2023"/>
    <s v="Thursday"/>
    <s v="December"/>
    <s v="2023"/>
    <d v="2023-12-28T00:00:00"/>
    <s v="CUST989"/>
    <x v="1"/>
    <s v="Adult"/>
    <n v="44"/>
    <x v="2"/>
    <n v="1"/>
    <n v="25"/>
    <n v="25"/>
    <e v="#REF!"/>
    <e v="#REF!"/>
  </r>
  <r>
    <n v="990"/>
    <n v="25"/>
    <n v="5"/>
    <n v="2023"/>
    <s v="Thursday"/>
    <s v="May"/>
    <s v="2023"/>
    <d v="2023-05-25T00:00:00"/>
    <s v="CUST990"/>
    <x v="1"/>
    <s v="Senior"/>
    <n v="58"/>
    <x v="0"/>
    <n v="2"/>
    <n v="500"/>
    <n v="1000"/>
    <n v="15"/>
    <n v="20"/>
  </r>
  <r>
    <n v="991"/>
    <n v="26"/>
    <n v="12"/>
    <n v="2023"/>
    <s v="Tuesday"/>
    <s v="December"/>
    <s v="2023"/>
    <d v="2023-12-26T00:00:00"/>
    <s v="CUST991"/>
    <x v="1"/>
    <s v="Adult"/>
    <n v="34"/>
    <x v="1"/>
    <n v="2"/>
    <n v="50"/>
    <n v="100"/>
    <e v="#REF!"/>
    <e v="#REF!"/>
  </r>
  <r>
    <n v="992"/>
    <n v="21"/>
    <n v="8"/>
    <n v="2023"/>
    <s v="Monday"/>
    <s v="August"/>
    <s v="2023"/>
    <d v="2023-08-21T00:00:00"/>
    <s v="CUST992"/>
    <x v="1"/>
    <s v="Senior"/>
    <n v="57"/>
    <x v="2"/>
    <n v="2"/>
    <n v="30"/>
    <n v="60"/>
    <e v="#REF!"/>
    <e v="#REF!"/>
  </r>
  <r>
    <n v="993"/>
    <n v="6"/>
    <n v="2"/>
    <n v="2023"/>
    <s v="Monday"/>
    <s v="February"/>
    <s v="2023"/>
    <d v="2023-02-06T00:00:00"/>
    <s v="CUST993"/>
    <x v="1"/>
    <s v="Adult"/>
    <n v="48"/>
    <x v="2"/>
    <n v="3"/>
    <n v="50"/>
    <n v="150"/>
    <e v="#REF!"/>
    <e v="#REF!"/>
  </r>
  <r>
    <n v="994"/>
    <n v="18"/>
    <n v="12"/>
    <n v="2023"/>
    <s v="Monday"/>
    <s v="December"/>
    <s v="2023"/>
    <d v="2023-12-18T00:00:00"/>
    <s v="CUST994"/>
    <x v="1"/>
    <s v="Senior"/>
    <n v="51"/>
    <x v="0"/>
    <n v="2"/>
    <n v="500"/>
    <n v="1000"/>
    <n v="15"/>
    <n v="20"/>
  </r>
  <r>
    <n v="995"/>
    <n v="30"/>
    <n v="4"/>
    <n v="2023"/>
    <s v="Sunday"/>
    <s v="April"/>
    <s v="2023"/>
    <d v="2023-04-30T00:00:00"/>
    <s v="CUST995"/>
    <x v="1"/>
    <s v="Adult"/>
    <n v="41"/>
    <x v="1"/>
    <n v="1"/>
    <n v="30"/>
    <n v="30"/>
    <e v="#REF!"/>
    <e v="#REF!"/>
  </r>
  <r>
    <n v="996"/>
    <n v="16"/>
    <n v="5"/>
    <n v="2023"/>
    <s v="Tuesday"/>
    <s v="May"/>
    <s v="2023"/>
    <d v="2023-05-16T00:00:00"/>
    <s v="CUST996"/>
    <x v="0"/>
    <s v="Senior"/>
    <n v="62"/>
    <x v="1"/>
    <n v="1"/>
    <n v="50"/>
    <n v="50"/>
    <e v="#REF!"/>
    <e v="#REF!"/>
  </r>
  <r>
    <n v="997"/>
    <n v="17"/>
    <n v="11"/>
    <n v="2023"/>
    <s v="Friday"/>
    <s v="November"/>
    <s v="2023"/>
    <d v="2023-11-17T00:00:00"/>
    <s v="CUST997"/>
    <x v="0"/>
    <s v="Senior"/>
    <n v="52"/>
    <x v="0"/>
    <n v="3"/>
    <n v="30"/>
    <n v="90"/>
    <n v="1.3499999999999999"/>
    <n v="1.8"/>
  </r>
  <r>
    <n v="998"/>
    <n v="29"/>
    <n v="10"/>
    <n v="2023"/>
    <s v="Sunday"/>
    <s v="October"/>
    <s v="2023"/>
    <d v="2023-10-29T00:00:00"/>
    <s v="CUST998"/>
    <x v="1"/>
    <s v="Young Adult"/>
    <n v="23"/>
    <x v="0"/>
    <n v="4"/>
    <n v="25"/>
    <n v="100"/>
    <n v="1.5"/>
    <n v="2"/>
  </r>
  <r>
    <n v="999"/>
    <n v="5"/>
    <n v="12"/>
    <n v="2023"/>
    <s v="Tuesday"/>
    <s v="December"/>
    <s v="2023"/>
    <d v="2023-12-05T00:00:00"/>
    <s v="CUST999"/>
    <x v="1"/>
    <s v="Adult"/>
    <n v="36"/>
    <x v="2"/>
    <n v="3"/>
    <n v="50"/>
    <n v="150"/>
    <e v="#REF!"/>
    <e v="#REF!"/>
  </r>
  <r>
    <n v="1000"/>
    <n v="12"/>
    <n v="4"/>
    <n v="2023"/>
    <s v="Wednesday"/>
    <s v="April"/>
    <s v="2023"/>
    <d v="2023-04-12T00:00:00"/>
    <s v="CUST1000"/>
    <x v="0"/>
    <s v="Adult"/>
    <n v="47"/>
    <x v="2"/>
    <n v="4"/>
    <n v="30"/>
    <n v="120"/>
    <e v="#REF!"/>
    <e v="#REF!"/>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24"/>
    <n v="11"/>
    <n v="2023"/>
    <s v="Friday"/>
    <s v="November"/>
    <s v="2023"/>
    <d v="2023-11-24T00:00:00"/>
    <s v="CUST001"/>
    <x v="0"/>
    <x v="0"/>
    <n v="34"/>
    <x v="0"/>
    <n v="3"/>
    <n v="50"/>
    <n v="150"/>
    <n v="2.25"/>
    <n v="3"/>
  </r>
  <r>
    <n v="2"/>
    <n v="27"/>
    <n v="2"/>
    <n v="2023"/>
    <s v="Monday"/>
    <s v="February"/>
    <s v="2023"/>
    <d v="2023-02-27T00:00:00"/>
    <s v="CUST002"/>
    <x v="1"/>
    <x v="1"/>
    <n v="26"/>
    <x v="0"/>
    <n v="2"/>
    <n v="500"/>
    <n v="1000"/>
    <n v="15"/>
    <n v="20"/>
  </r>
  <r>
    <n v="3"/>
    <n v="13"/>
    <n v="1"/>
    <n v="2023"/>
    <s v="Friday"/>
    <s v="January"/>
    <s v="2023"/>
    <d v="2023-01-13T00:00:00"/>
    <s v="CUST003"/>
    <x v="0"/>
    <x v="0"/>
    <n v="50"/>
    <x v="0"/>
    <n v="1"/>
    <n v="30"/>
    <n v="30"/>
    <n v="0.44999999999999996"/>
    <n v="0.6"/>
  </r>
  <r>
    <n v="4"/>
    <n v="21"/>
    <n v="5"/>
    <n v="2023"/>
    <s v="Sunday"/>
    <s v="May"/>
    <s v="2023"/>
    <d v="2023-05-21T00:00:00"/>
    <s v="CUST004"/>
    <x v="0"/>
    <x v="0"/>
    <n v="37"/>
    <x v="0"/>
    <n v="1"/>
    <n v="500"/>
    <n v="500"/>
    <n v="7.5"/>
    <n v="10"/>
  </r>
  <r>
    <n v="5"/>
    <n v="6"/>
    <n v="5"/>
    <n v="2023"/>
    <s v="Saturday"/>
    <s v="May"/>
    <s v="2023"/>
    <d v="2023-05-06T00:00:00"/>
    <s v="CUST005"/>
    <x v="0"/>
    <x v="0"/>
    <n v="30"/>
    <x v="0"/>
    <n v="2"/>
    <n v="50"/>
    <n v="100"/>
    <n v="1.5"/>
    <n v="2"/>
  </r>
  <r>
    <n v="6"/>
    <n v="25"/>
    <n v="4"/>
    <n v="2023"/>
    <s v="Tuesday"/>
    <s v="April"/>
    <s v="2023"/>
    <d v="2023-04-25T00:00:00"/>
    <s v="CUST006"/>
    <x v="1"/>
    <x v="0"/>
    <n v="45"/>
    <x v="0"/>
    <n v="1"/>
    <n v="30"/>
    <n v="30"/>
    <n v="0.44999999999999996"/>
    <n v="0.6"/>
  </r>
  <r>
    <n v="7"/>
    <n v="13"/>
    <n v="3"/>
    <n v="2023"/>
    <s v="Monday"/>
    <s v="March"/>
    <s v="2023"/>
    <d v="2023-03-13T00:00:00"/>
    <s v="CUST007"/>
    <x v="0"/>
    <x v="0"/>
    <n v="46"/>
    <x v="0"/>
    <n v="2"/>
    <n v="25"/>
    <n v="50"/>
    <n v="0.75"/>
    <n v="1"/>
  </r>
  <r>
    <n v="8"/>
    <n v="22"/>
    <n v="2"/>
    <n v="2023"/>
    <s v="Wednesday"/>
    <s v="February"/>
    <s v="2023"/>
    <d v="2023-02-22T00:00:00"/>
    <s v="CUST008"/>
    <x v="0"/>
    <x v="0"/>
    <n v="30"/>
    <x v="0"/>
    <n v="4"/>
    <n v="25"/>
    <n v="100"/>
    <n v="1.5"/>
    <n v="2"/>
  </r>
  <r>
    <n v="9"/>
    <n v="13"/>
    <n v="12"/>
    <n v="2023"/>
    <s v="Wednesday"/>
    <s v="December"/>
    <s v="2023"/>
    <d v="2023-12-13T00:00:00"/>
    <s v="CUST009"/>
    <x v="0"/>
    <x v="2"/>
    <n v="63"/>
    <x v="0"/>
    <n v="2"/>
    <n v="300"/>
    <n v="600"/>
    <n v="9"/>
    <n v="12"/>
  </r>
  <r>
    <n v="10"/>
    <n v="7"/>
    <n v="10"/>
    <n v="2023"/>
    <s v="Saturday"/>
    <s v="October"/>
    <s v="2023"/>
    <d v="2023-10-07T00:00:00"/>
    <s v="CUST010"/>
    <x v="1"/>
    <x v="2"/>
    <n v="52"/>
    <x v="0"/>
    <n v="4"/>
    <n v="50"/>
    <n v="200"/>
    <n v="3"/>
    <n v="4"/>
  </r>
  <r>
    <n v="11"/>
    <n v="14"/>
    <n v="2"/>
    <n v="2023"/>
    <s v="Tuesday"/>
    <s v="February"/>
    <s v="2023"/>
    <d v="2023-02-14T00:00:00"/>
    <s v="CUST011"/>
    <x v="0"/>
    <x v="1"/>
    <n v="23"/>
    <x v="0"/>
    <n v="2"/>
    <n v="50"/>
    <n v="100"/>
    <n v="1.5"/>
    <n v="2"/>
  </r>
  <r>
    <n v="12"/>
    <n v="30"/>
    <n v="10"/>
    <n v="2023"/>
    <s v="Monday"/>
    <s v="October"/>
    <s v="2023"/>
    <d v="2023-10-30T00:00:00"/>
    <s v="CUST012"/>
    <x v="0"/>
    <x v="0"/>
    <n v="35"/>
    <x v="0"/>
    <n v="3"/>
    <n v="25"/>
    <n v="75"/>
    <n v="1.125"/>
    <n v="1.5"/>
  </r>
  <r>
    <n v="13"/>
    <n v="5"/>
    <n v="8"/>
    <n v="2023"/>
    <s v="Saturday"/>
    <s v="August"/>
    <s v="2023"/>
    <d v="2023-08-05T00:00:00"/>
    <s v="CUST013"/>
    <x v="0"/>
    <x v="1"/>
    <n v="22"/>
    <x v="0"/>
    <n v="3"/>
    <n v="500"/>
    <n v="1500"/>
    <n v="22.5"/>
    <n v="30"/>
  </r>
  <r>
    <n v="14"/>
    <n v="17"/>
    <n v="1"/>
    <n v="2023"/>
    <s v="Tuesday"/>
    <s v="January"/>
    <s v="2023"/>
    <d v="2023-01-17T00:00:00"/>
    <s v="CUST014"/>
    <x v="0"/>
    <x v="2"/>
    <n v="64"/>
    <x v="0"/>
    <n v="4"/>
    <n v="30"/>
    <n v="120"/>
    <n v="1.7999999999999998"/>
    <n v="2.4"/>
  </r>
  <r>
    <n v="15"/>
    <n v="16"/>
    <n v="1"/>
    <n v="2023"/>
    <s v="Monday"/>
    <s v="January"/>
    <s v="2023"/>
    <d v="2023-01-16T00:00:00"/>
    <s v="CUST015"/>
    <x v="1"/>
    <x v="0"/>
    <n v="42"/>
    <x v="0"/>
    <n v="4"/>
    <n v="500"/>
    <n v="2000"/>
    <n v="30"/>
    <n v="40"/>
  </r>
  <r>
    <n v="16"/>
    <n v="17"/>
    <n v="2"/>
    <n v="2023"/>
    <s v="Friday"/>
    <s v="February"/>
    <s v="2023"/>
    <d v="2023-02-17T00:00:00"/>
    <s v="CUST016"/>
    <x v="0"/>
    <x v="1"/>
    <n v="19"/>
    <x v="0"/>
    <n v="3"/>
    <n v="500"/>
    <n v="1500"/>
    <n v="22.5"/>
    <n v="30"/>
  </r>
  <r>
    <n v="17"/>
    <n v="22"/>
    <n v="4"/>
    <n v="2023"/>
    <s v="Saturday"/>
    <s v="April"/>
    <s v="2023"/>
    <d v="2023-04-22T00:00:00"/>
    <s v="CUST017"/>
    <x v="1"/>
    <x v="1"/>
    <n v="27"/>
    <x v="0"/>
    <n v="4"/>
    <n v="25"/>
    <n v="100"/>
    <n v="1.5"/>
    <n v="2"/>
  </r>
  <r>
    <n v="18"/>
    <n v="30"/>
    <n v="4"/>
    <n v="2023"/>
    <s v="Sunday"/>
    <s v="April"/>
    <s v="2023"/>
    <d v="2023-04-30T00:00:00"/>
    <s v="CUST018"/>
    <x v="1"/>
    <x v="0"/>
    <n v="47"/>
    <x v="0"/>
    <n v="2"/>
    <n v="25"/>
    <n v="50"/>
    <n v="0.75"/>
    <n v="1"/>
  </r>
  <r>
    <n v="19"/>
    <n v="16"/>
    <n v="9"/>
    <n v="2023"/>
    <s v="Saturday"/>
    <s v="September"/>
    <s v="2023"/>
    <d v="2023-09-16T00:00:00"/>
    <s v="CUST019"/>
    <x v="1"/>
    <x v="2"/>
    <n v="62"/>
    <x v="0"/>
    <n v="2"/>
    <n v="25"/>
    <n v="50"/>
    <n v="0.75"/>
    <n v="1"/>
  </r>
  <r>
    <n v="20"/>
    <n v="5"/>
    <n v="11"/>
    <n v="2023"/>
    <s v="Sunday"/>
    <s v="November"/>
    <s v="2023"/>
    <d v="2023-11-05T00:00:00"/>
    <s v="CUST020"/>
    <x v="0"/>
    <x v="1"/>
    <n v="22"/>
    <x v="0"/>
    <n v="3"/>
    <n v="300"/>
    <n v="900"/>
    <n v="13.5"/>
    <n v="18"/>
  </r>
  <r>
    <n v="21"/>
    <n v="14"/>
    <n v="1"/>
    <n v="2023"/>
    <s v="Saturday"/>
    <s v="January"/>
    <s v="2023"/>
    <d v="2023-01-14T00:00:00"/>
    <s v="CUST021"/>
    <x v="1"/>
    <x v="0"/>
    <n v="50"/>
    <x v="0"/>
    <n v="1"/>
    <n v="500"/>
    <n v="500"/>
    <n v="7.5"/>
    <n v="10"/>
  </r>
  <r>
    <n v="22"/>
    <n v="15"/>
    <n v="10"/>
    <n v="2023"/>
    <s v="Sunday"/>
    <s v="October"/>
    <s v="2023"/>
    <d v="2023-10-15T00:00:00"/>
    <s v="CUST022"/>
    <x v="0"/>
    <x v="1"/>
    <n v="18"/>
    <x v="0"/>
    <n v="2"/>
    <n v="50"/>
    <n v="100"/>
    <n v="1.5"/>
    <n v="2"/>
  </r>
  <r>
    <n v="23"/>
    <n v="12"/>
    <n v="4"/>
    <n v="2023"/>
    <s v="Wednesday"/>
    <s v="April"/>
    <s v="2023"/>
    <d v="2023-04-12T00:00:00"/>
    <s v="CUST023"/>
    <x v="1"/>
    <x v="0"/>
    <n v="35"/>
    <x v="0"/>
    <n v="4"/>
    <n v="30"/>
    <n v="120"/>
    <n v="1.7999999999999998"/>
    <n v="2.4"/>
  </r>
  <r>
    <n v="24"/>
    <n v="29"/>
    <n v="11"/>
    <n v="2023"/>
    <s v="Wednesday"/>
    <s v="November"/>
    <s v="2023"/>
    <d v="2023-11-29T00:00:00"/>
    <s v="CUST024"/>
    <x v="1"/>
    <x v="0"/>
    <n v="49"/>
    <x v="0"/>
    <n v="1"/>
    <n v="300"/>
    <n v="300"/>
    <n v="4.5"/>
    <n v="6"/>
  </r>
  <r>
    <n v="25"/>
    <n v="26"/>
    <n v="12"/>
    <n v="2023"/>
    <s v="Tuesday"/>
    <s v="December"/>
    <s v="2023"/>
    <d v="2023-12-26T00:00:00"/>
    <s v="CUST025"/>
    <x v="1"/>
    <x v="2"/>
    <n v="64"/>
    <x v="0"/>
    <n v="1"/>
    <n v="50"/>
    <n v="50"/>
    <n v="0.75"/>
    <n v="1"/>
  </r>
  <r>
    <n v="26"/>
    <n v="7"/>
    <n v="10"/>
    <n v="2023"/>
    <s v="Saturday"/>
    <s v="October"/>
    <s v="2023"/>
    <d v="2023-10-07T00:00:00"/>
    <s v="CUST026"/>
    <x v="1"/>
    <x v="1"/>
    <n v="28"/>
    <x v="0"/>
    <n v="2"/>
    <n v="500"/>
    <n v="1000"/>
    <n v="15"/>
    <n v="20"/>
  </r>
  <r>
    <n v="27"/>
    <n v="3"/>
    <n v="8"/>
    <n v="2023"/>
    <s v="Thursday"/>
    <s v="August"/>
    <s v="2023"/>
    <d v="2023-08-03T00:00:00"/>
    <s v="CUST027"/>
    <x v="1"/>
    <x v="0"/>
    <n v="38"/>
    <x v="0"/>
    <n v="2"/>
    <n v="25"/>
    <n v="50"/>
    <n v="0.75"/>
    <n v="1"/>
  </r>
  <r>
    <n v="28"/>
    <n v="23"/>
    <n v="4"/>
    <n v="2023"/>
    <s v="Sunday"/>
    <s v="April"/>
    <s v="2023"/>
    <d v="2023-04-23T00:00:00"/>
    <s v="CUST028"/>
    <x v="1"/>
    <x v="0"/>
    <n v="43"/>
    <x v="0"/>
    <n v="1"/>
    <n v="500"/>
    <n v="500"/>
    <n v="7.5"/>
    <n v="10"/>
  </r>
  <r>
    <n v="29"/>
    <n v="18"/>
    <n v="8"/>
    <n v="2023"/>
    <s v="Friday"/>
    <s v="August"/>
    <s v="2023"/>
    <d v="2023-08-18T00:00:00"/>
    <s v="CUST029"/>
    <x v="1"/>
    <x v="0"/>
    <n v="42"/>
    <x v="0"/>
    <n v="1"/>
    <n v="30"/>
    <n v="30"/>
    <n v="0.44999999999999996"/>
    <n v="0.6"/>
  </r>
  <r>
    <n v="30"/>
    <n v="29"/>
    <n v="10"/>
    <n v="2023"/>
    <s v="Sunday"/>
    <s v="October"/>
    <s v="2023"/>
    <d v="2023-10-29T00:00:00"/>
    <s v="CUST030"/>
    <x v="1"/>
    <x v="0"/>
    <n v="39"/>
    <x v="0"/>
    <n v="3"/>
    <n v="300"/>
    <n v="900"/>
    <n v="13.5"/>
    <n v="18"/>
  </r>
  <r>
    <n v="31"/>
    <n v="23"/>
    <n v="5"/>
    <n v="2023"/>
    <s v="Tuesday"/>
    <s v="May"/>
    <s v="2023"/>
    <d v="2023-05-23T00:00:00"/>
    <s v="CUST031"/>
    <x v="0"/>
    <x v="0"/>
    <n v="44"/>
    <x v="0"/>
    <n v="4"/>
    <n v="300"/>
    <n v="1200"/>
    <n v="18"/>
    <n v="24"/>
  </r>
  <r>
    <n v="32"/>
    <n v="4"/>
    <n v="1"/>
    <n v="2023"/>
    <s v="Wednesday"/>
    <s v="January"/>
    <s v="2023"/>
    <d v="2023-01-04T00:00:00"/>
    <s v="CUST032"/>
    <x v="0"/>
    <x v="0"/>
    <n v="30"/>
    <x v="0"/>
    <n v="3"/>
    <n v="30"/>
    <n v="90"/>
    <n v="1.3499999999999999"/>
    <n v="1.8"/>
  </r>
  <r>
    <n v="33"/>
    <n v="23"/>
    <n v="3"/>
    <n v="2023"/>
    <s v="Thursday"/>
    <s v="March"/>
    <s v="2023"/>
    <d v="2023-03-23T00:00:00"/>
    <s v="CUST033"/>
    <x v="1"/>
    <x v="0"/>
    <n v="50"/>
    <x v="0"/>
    <n v="2"/>
    <n v="50"/>
    <n v="100"/>
    <n v="1.5"/>
    <n v="2"/>
  </r>
  <r>
    <n v="34"/>
    <n v="24"/>
    <n v="12"/>
    <n v="2023"/>
    <s v="Sunday"/>
    <s v="December"/>
    <s v="2023"/>
    <d v="2023-12-24T00:00:00"/>
    <s v="CUST034"/>
    <x v="1"/>
    <x v="2"/>
    <n v="51"/>
    <x v="0"/>
    <n v="3"/>
    <n v="50"/>
    <n v="150"/>
    <n v="2.25"/>
    <n v="3"/>
  </r>
  <r>
    <n v="35"/>
    <n v="5"/>
    <n v="8"/>
    <n v="2023"/>
    <s v="Saturday"/>
    <s v="August"/>
    <s v="2023"/>
    <d v="2023-08-05T00:00:00"/>
    <s v="CUST035"/>
    <x v="1"/>
    <x v="2"/>
    <n v="58"/>
    <x v="0"/>
    <n v="3"/>
    <n v="300"/>
    <n v="900"/>
    <n v="13.5"/>
    <n v="18"/>
  </r>
  <r>
    <n v="36"/>
    <n v="24"/>
    <n v="6"/>
    <n v="2023"/>
    <s v="Saturday"/>
    <s v="June"/>
    <s v="2023"/>
    <d v="2023-06-24T00:00:00"/>
    <s v="CUST036"/>
    <x v="0"/>
    <x v="2"/>
    <n v="52"/>
    <x v="0"/>
    <n v="3"/>
    <n v="300"/>
    <n v="900"/>
    <n v="13.5"/>
    <n v="18"/>
  </r>
  <r>
    <n v="37"/>
    <n v="23"/>
    <n v="5"/>
    <n v="2023"/>
    <s v="Tuesday"/>
    <s v="May"/>
    <s v="2023"/>
    <d v="2023-05-23T00:00:00"/>
    <s v="CUST037"/>
    <x v="1"/>
    <x v="1"/>
    <n v="18"/>
    <x v="0"/>
    <n v="3"/>
    <n v="25"/>
    <n v="75"/>
    <n v="1.125"/>
    <n v="1.5"/>
  </r>
  <r>
    <n v="38"/>
    <n v="21"/>
    <n v="3"/>
    <n v="2023"/>
    <s v="Tuesday"/>
    <s v="March"/>
    <s v="2023"/>
    <d v="2023-03-21T00:00:00"/>
    <s v="CUST038"/>
    <x v="0"/>
    <x v="0"/>
    <n v="38"/>
    <x v="0"/>
    <n v="4"/>
    <n v="50"/>
    <n v="200"/>
    <n v="3"/>
    <n v="4"/>
  </r>
  <r>
    <n v="39"/>
    <n v="21"/>
    <n v="4"/>
    <n v="2023"/>
    <s v="Friday"/>
    <s v="April"/>
    <s v="2023"/>
    <d v="2023-04-21T00:00:00"/>
    <s v="CUST039"/>
    <x v="0"/>
    <x v="1"/>
    <n v="23"/>
    <x v="0"/>
    <n v="4"/>
    <n v="30"/>
    <n v="120"/>
    <n v="1.7999999999999998"/>
    <n v="2.4"/>
  </r>
  <r>
    <n v="40"/>
    <n v="22"/>
    <n v="6"/>
    <n v="2023"/>
    <s v="Thursday"/>
    <s v="June"/>
    <s v="2023"/>
    <d v="2023-06-22T00:00:00"/>
    <s v="CUST040"/>
    <x v="0"/>
    <x v="0"/>
    <n v="45"/>
    <x v="0"/>
    <n v="1"/>
    <n v="50"/>
    <n v="50"/>
    <n v="0.75"/>
    <n v="1"/>
  </r>
  <r>
    <n v="41"/>
    <n v="22"/>
    <n v="2"/>
    <n v="2023"/>
    <s v="Wednesday"/>
    <s v="February"/>
    <s v="2023"/>
    <d v="2023-02-22T00:00:00"/>
    <s v="CUST041"/>
    <x v="0"/>
    <x v="0"/>
    <n v="34"/>
    <x v="0"/>
    <n v="2"/>
    <n v="25"/>
    <n v="50"/>
    <n v="0.75"/>
    <n v="1"/>
  </r>
  <r>
    <n v="42"/>
    <n v="17"/>
    <n v="2"/>
    <n v="2023"/>
    <s v="Friday"/>
    <s v="February"/>
    <s v="2023"/>
    <d v="2023-02-17T00:00:00"/>
    <s v="CUST042"/>
    <x v="0"/>
    <x v="1"/>
    <n v="22"/>
    <x v="0"/>
    <n v="3"/>
    <n v="300"/>
    <n v="900"/>
    <n v="13.5"/>
    <n v="18"/>
  </r>
  <r>
    <n v="43"/>
    <n v="14"/>
    <n v="7"/>
    <n v="2023"/>
    <s v="Friday"/>
    <s v="July"/>
    <s v="2023"/>
    <d v="2023-07-14T00:00:00"/>
    <s v="CUST043"/>
    <x v="1"/>
    <x v="0"/>
    <n v="48"/>
    <x v="0"/>
    <n v="1"/>
    <n v="300"/>
    <n v="300"/>
    <n v="4.5"/>
    <n v="6"/>
  </r>
  <r>
    <n v="44"/>
    <n v="19"/>
    <n v="2"/>
    <n v="2023"/>
    <s v="Sunday"/>
    <s v="February"/>
    <s v="2023"/>
    <d v="2023-02-19T00:00:00"/>
    <s v="CUST044"/>
    <x v="1"/>
    <x v="1"/>
    <n v="22"/>
    <x v="0"/>
    <n v="1"/>
    <n v="25"/>
    <n v="25"/>
    <n v="0.375"/>
    <n v="0.5"/>
  </r>
  <r>
    <n v="45"/>
    <n v="3"/>
    <n v="7"/>
    <n v="2023"/>
    <s v="Monday"/>
    <s v="July"/>
    <s v="2023"/>
    <d v="2023-07-03T00:00:00"/>
    <s v="CUST045"/>
    <x v="1"/>
    <x v="2"/>
    <n v="55"/>
    <x v="0"/>
    <n v="1"/>
    <n v="30"/>
    <n v="30"/>
    <n v="0.44999999999999996"/>
    <n v="0.6"/>
  </r>
  <r>
    <n v="46"/>
    <n v="26"/>
    <n v="6"/>
    <n v="2023"/>
    <s v="Monday"/>
    <s v="June"/>
    <s v="2023"/>
    <d v="2023-06-26T00:00:00"/>
    <s v="CUST046"/>
    <x v="1"/>
    <x v="1"/>
    <n v="20"/>
    <x v="0"/>
    <n v="4"/>
    <n v="300"/>
    <n v="1200"/>
    <n v="18"/>
    <n v="24"/>
  </r>
  <r>
    <n v="47"/>
    <n v="6"/>
    <n v="11"/>
    <n v="2023"/>
    <s v="Monday"/>
    <s v="November"/>
    <s v="2023"/>
    <d v="2023-11-06T00:00:00"/>
    <s v="CUST047"/>
    <x v="1"/>
    <x v="0"/>
    <n v="40"/>
    <x v="0"/>
    <n v="3"/>
    <n v="500"/>
    <n v="1500"/>
    <n v="22.5"/>
    <n v="30"/>
  </r>
  <r>
    <n v="48"/>
    <n v="16"/>
    <n v="5"/>
    <n v="2023"/>
    <s v="Tuesday"/>
    <s v="May"/>
    <s v="2023"/>
    <d v="2023-05-16T00:00:00"/>
    <s v="CUST048"/>
    <x v="0"/>
    <x v="2"/>
    <n v="54"/>
    <x v="0"/>
    <n v="3"/>
    <n v="300"/>
    <n v="900"/>
    <n v="13.5"/>
    <n v="18"/>
  </r>
  <r>
    <n v="49"/>
    <n v="23"/>
    <n v="1"/>
    <n v="2023"/>
    <s v="Monday"/>
    <s v="January"/>
    <s v="2023"/>
    <d v="2023-01-23T00:00:00"/>
    <s v="CUST049"/>
    <x v="1"/>
    <x v="2"/>
    <n v="54"/>
    <x v="0"/>
    <n v="2"/>
    <n v="500"/>
    <n v="1000"/>
    <n v="15"/>
    <n v="20"/>
  </r>
  <r>
    <n v="50"/>
    <n v="24"/>
    <n v="8"/>
    <n v="2023"/>
    <s v="Thursday"/>
    <s v="August"/>
    <s v="2023"/>
    <d v="2023-08-24T00:00:00"/>
    <s v="CUST050"/>
    <x v="1"/>
    <x v="1"/>
    <n v="27"/>
    <x v="0"/>
    <n v="3"/>
    <n v="25"/>
    <n v="75"/>
    <n v="1.125"/>
    <n v="1.5"/>
  </r>
  <r>
    <n v="51"/>
    <n v="2"/>
    <n v="10"/>
    <n v="2023"/>
    <s v="Monday"/>
    <s v="October"/>
    <s v="2023"/>
    <d v="2023-10-02T00:00:00"/>
    <s v="CUST051"/>
    <x v="0"/>
    <x v="1"/>
    <n v="27"/>
    <x v="0"/>
    <n v="3"/>
    <n v="25"/>
    <n v="75"/>
    <n v="1.125"/>
    <n v="1.5"/>
  </r>
  <r>
    <n v="52"/>
    <n v="5"/>
    <n v="3"/>
    <n v="2023"/>
    <s v="Sunday"/>
    <s v="March"/>
    <s v="2023"/>
    <d v="2023-03-05T00:00:00"/>
    <s v="CUST052"/>
    <x v="1"/>
    <x v="0"/>
    <n v="36"/>
    <x v="0"/>
    <n v="1"/>
    <n v="300"/>
    <n v="300"/>
    <n v="4.5"/>
    <n v="6"/>
  </r>
  <r>
    <n v="53"/>
    <n v="13"/>
    <n v="7"/>
    <n v="2023"/>
    <s v="Thursday"/>
    <s v="July"/>
    <s v="2023"/>
    <d v="2023-07-13T00:00:00"/>
    <s v="CUST053"/>
    <x v="0"/>
    <x v="0"/>
    <n v="34"/>
    <x v="0"/>
    <n v="2"/>
    <n v="50"/>
    <n v="100"/>
    <n v="1.5"/>
    <n v="2"/>
  </r>
  <r>
    <n v="54"/>
    <n v="10"/>
    <n v="2"/>
    <n v="2023"/>
    <s v="Friday"/>
    <s v="February"/>
    <s v="2023"/>
    <d v="2023-02-10T00:00:00"/>
    <s v="CUST054"/>
    <x v="1"/>
    <x v="0"/>
    <n v="38"/>
    <x v="0"/>
    <n v="3"/>
    <n v="500"/>
    <n v="1500"/>
    <n v="22.5"/>
    <n v="30"/>
  </r>
  <r>
    <n v="55"/>
    <n v="10"/>
    <n v="10"/>
    <n v="2023"/>
    <s v="Tuesday"/>
    <s v="October"/>
    <s v="2023"/>
    <d v="2023-10-10T00:00:00"/>
    <s v="CUST055"/>
    <x v="0"/>
    <x v="0"/>
    <n v="31"/>
    <x v="0"/>
    <n v="4"/>
    <n v="30"/>
    <n v="120"/>
    <n v="1.7999999999999998"/>
    <n v="2.4"/>
  </r>
  <r>
    <n v="56"/>
    <n v="31"/>
    <n v="5"/>
    <n v="2023"/>
    <s v="Wednesday"/>
    <s v="May"/>
    <s v="2023"/>
    <d v="2023-05-31T00:00:00"/>
    <s v="CUST056"/>
    <x v="1"/>
    <x v="1"/>
    <n v="26"/>
    <x v="0"/>
    <n v="3"/>
    <n v="300"/>
    <n v="900"/>
    <n v="13.5"/>
    <n v="18"/>
  </r>
  <r>
    <n v="57"/>
    <n v="18"/>
    <n v="11"/>
    <n v="2023"/>
    <s v="Saturday"/>
    <s v="November"/>
    <s v="2023"/>
    <d v="2023-11-18T00:00:00"/>
    <s v="CUST057"/>
    <x v="1"/>
    <x v="2"/>
    <n v="63"/>
    <x v="0"/>
    <n v="1"/>
    <n v="30"/>
    <n v="30"/>
    <n v="0.44999999999999996"/>
    <n v="0.6"/>
  </r>
  <r>
    <n v="58"/>
    <n v="13"/>
    <n v="11"/>
    <n v="2023"/>
    <s v="Monday"/>
    <s v="November"/>
    <s v="2023"/>
    <d v="2023-11-13T00:00:00"/>
    <s v="CUST058"/>
    <x v="0"/>
    <x v="1"/>
    <n v="18"/>
    <x v="0"/>
    <n v="4"/>
    <n v="300"/>
    <n v="1200"/>
    <n v="18"/>
    <n v="24"/>
  </r>
  <r>
    <n v="59"/>
    <n v="5"/>
    <n v="7"/>
    <n v="2023"/>
    <s v="Wednesday"/>
    <s v="July"/>
    <s v="2023"/>
    <d v="2023-07-05T00:00:00"/>
    <s v="CUST059"/>
    <x v="0"/>
    <x v="2"/>
    <n v="62"/>
    <x v="0"/>
    <n v="1"/>
    <n v="50"/>
    <n v="50"/>
    <n v="0.75"/>
    <n v="1"/>
  </r>
  <r>
    <n v="60"/>
    <n v="23"/>
    <n v="10"/>
    <n v="2023"/>
    <s v="Monday"/>
    <s v="October"/>
    <s v="2023"/>
    <d v="2023-10-23T00:00:00"/>
    <s v="CUST060"/>
    <x v="0"/>
    <x v="0"/>
    <n v="30"/>
    <x v="0"/>
    <n v="3"/>
    <n v="50"/>
    <n v="150"/>
    <n v="2.25"/>
    <n v="3"/>
  </r>
  <r>
    <n v="61"/>
    <n v="9"/>
    <n v="4"/>
    <n v="2023"/>
    <s v="Sunday"/>
    <s v="April"/>
    <s v="2023"/>
    <d v="2023-04-09T00:00:00"/>
    <s v="CUST061"/>
    <x v="0"/>
    <x v="1"/>
    <n v="21"/>
    <x v="0"/>
    <n v="4"/>
    <n v="50"/>
    <n v="200"/>
    <n v="3"/>
    <n v="4"/>
  </r>
  <r>
    <n v="62"/>
    <n v="27"/>
    <n v="12"/>
    <n v="2023"/>
    <s v="Wednesday"/>
    <s v="December"/>
    <s v="2023"/>
    <d v="2023-12-27T00:00:00"/>
    <s v="CUST062"/>
    <x v="0"/>
    <x v="1"/>
    <n v="18"/>
    <x v="0"/>
    <n v="2"/>
    <n v="50"/>
    <n v="100"/>
    <n v="1.5"/>
    <n v="2"/>
  </r>
  <r>
    <n v="63"/>
    <n v="5"/>
    <n v="2"/>
    <n v="2023"/>
    <s v="Sunday"/>
    <s v="February"/>
    <s v="2023"/>
    <d v="2023-02-05T00:00:00"/>
    <s v="CUST063"/>
    <x v="0"/>
    <x v="2"/>
    <n v="57"/>
    <x v="0"/>
    <n v="2"/>
    <n v="25"/>
    <n v="50"/>
    <n v="0.75"/>
    <n v="1"/>
  </r>
  <r>
    <n v="64"/>
    <n v="24"/>
    <n v="1"/>
    <n v="2023"/>
    <s v="Tuesday"/>
    <s v="January"/>
    <s v="2023"/>
    <d v="2023-01-24T00:00:00"/>
    <s v="CUST064"/>
    <x v="0"/>
    <x v="0"/>
    <n v="49"/>
    <x v="0"/>
    <n v="4"/>
    <n v="25"/>
    <n v="100"/>
    <n v="1.5"/>
    <n v="2"/>
  </r>
  <r>
    <n v="65"/>
    <n v="5"/>
    <n v="12"/>
    <n v="2023"/>
    <s v="Tuesday"/>
    <s v="December"/>
    <s v="2023"/>
    <d v="2023-12-05T00:00:00"/>
    <s v="CUST065"/>
    <x v="0"/>
    <x v="2"/>
    <n v="51"/>
    <x v="0"/>
    <n v="4"/>
    <n v="500"/>
    <n v="2000"/>
    <n v="30"/>
    <n v="40"/>
  </r>
  <r>
    <n v="66"/>
    <n v="27"/>
    <n v="4"/>
    <n v="2023"/>
    <s v="Thursday"/>
    <s v="April"/>
    <s v="2023"/>
    <d v="2023-04-27T00:00:00"/>
    <s v="CUST066"/>
    <x v="1"/>
    <x v="0"/>
    <n v="45"/>
    <x v="0"/>
    <n v="1"/>
    <n v="30"/>
    <n v="30"/>
    <n v="0.44999999999999996"/>
    <n v="0.6"/>
  </r>
  <r>
    <n v="67"/>
    <n v="29"/>
    <n v="5"/>
    <n v="2023"/>
    <s v="Monday"/>
    <s v="May"/>
    <s v="2023"/>
    <d v="2023-05-29T00:00:00"/>
    <s v="CUST067"/>
    <x v="1"/>
    <x v="0"/>
    <n v="48"/>
    <x v="0"/>
    <n v="4"/>
    <n v="300"/>
    <n v="1200"/>
    <n v="18"/>
    <n v="24"/>
  </r>
  <r>
    <n v="68"/>
    <n v="10"/>
    <n v="2"/>
    <n v="2023"/>
    <s v="Friday"/>
    <s v="February"/>
    <s v="2023"/>
    <d v="2023-02-10T00:00:00"/>
    <s v="CUST068"/>
    <x v="0"/>
    <x v="1"/>
    <n v="25"/>
    <x v="0"/>
    <n v="1"/>
    <n v="300"/>
    <n v="300"/>
    <n v="4.5"/>
    <n v="6"/>
  </r>
  <r>
    <n v="69"/>
    <n v="30"/>
    <n v="4"/>
    <n v="2023"/>
    <s v="Sunday"/>
    <s v="April"/>
    <s v="2023"/>
    <d v="2023-04-30T00:00:00"/>
    <s v="CUST069"/>
    <x v="1"/>
    <x v="2"/>
    <n v="56"/>
    <x v="0"/>
    <n v="3"/>
    <n v="25"/>
    <n v="75"/>
    <n v="1.125"/>
    <n v="1.5"/>
  </r>
  <r>
    <n v="70"/>
    <n v="21"/>
    <n v="2"/>
    <n v="2023"/>
    <s v="Tuesday"/>
    <s v="February"/>
    <s v="2023"/>
    <d v="2023-02-21T00:00:00"/>
    <s v="CUST070"/>
    <x v="1"/>
    <x v="0"/>
    <n v="43"/>
    <x v="0"/>
    <n v="1"/>
    <n v="300"/>
    <n v="300"/>
    <n v="4.5"/>
    <n v="6"/>
  </r>
  <r>
    <n v="71"/>
    <n v="14"/>
    <n v="7"/>
    <n v="2023"/>
    <s v="Friday"/>
    <s v="July"/>
    <s v="2023"/>
    <d v="2023-07-14T00:00:00"/>
    <s v="CUST071"/>
    <x v="1"/>
    <x v="2"/>
    <n v="51"/>
    <x v="0"/>
    <n v="4"/>
    <n v="25"/>
    <n v="100"/>
    <n v="1.5"/>
    <n v="2"/>
  </r>
  <r>
    <n v="72"/>
    <n v="23"/>
    <n v="5"/>
    <n v="2023"/>
    <s v="Tuesday"/>
    <s v="May"/>
    <s v="2023"/>
    <d v="2023-05-23T00:00:00"/>
    <s v="CUST072"/>
    <x v="1"/>
    <x v="1"/>
    <n v="20"/>
    <x v="0"/>
    <n v="4"/>
    <n v="500"/>
    <n v="2000"/>
    <n v="30"/>
    <n v="40"/>
  </r>
  <r>
    <n v="73"/>
    <n v="21"/>
    <n v="8"/>
    <n v="2023"/>
    <s v="Monday"/>
    <s v="August"/>
    <s v="2023"/>
    <d v="2023-08-21T00:00:00"/>
    <s v="CUST073"/>
    <x v="0"/>
    <x v="1"/>
    <n v="29"/>
    <x v="0"/>
    <n v="3"/>
    <n v="30"/>
    <n v="90"/>
    <n v="1.3499999999999999"/>
    <n v="1.8"/>
  </r>
  <r>
    <n v="74"/>
    <n v="22"/>
    <n v="11"/>
    <n v="2023"/>
    <s v="Wednesday"/>
    <s v="November"/>
    <s v="2023"/>
    <d v="2023-11-22T00:00:00"/>
    <s v="CUST074"/>
    <x v="1"/>
    <x v="1"/>
    <n v="18"/>
    <x v="0"/>
    <n v="4"/>
    <n v="500"/>
    <n v="2000"/>
    <n v="30"/>
    <n v="40"/>
  </r>
  <r>
    <n v="75"/>
    <n v="6"/>
    <n v="7"/>
    <n v="2023"/>
    <s v="Thursday"/>
    <s v="July"/>
    <s v="2023"/>
    <d v="2023-07-06T00:00:00"/>
    <s v="CUST075"/>
    <x v="0"/>
    <x v="2"/>
    <n v="61"/>
    <x v="0"/>
    <n v="4"/>
    <n v="50"/>
    <n v="200"/>
    <n v="3"/>
    <n v="4"/>
  </r>
  <r>
    <n v="76"/>
    <n v="25"/>
    <n v="3"/>
    <n v="2023"/>
    <s v="Saturday"/>
    <s v="March"/>
    <s v="2023"/>
    <d v="2023-03-25T00:00:00"/>
    <s v="CUST076"/>
    <x v="1"/>
    <x v="1"/>
    <n v="22"/>
    <x v="0"/>
    <n v="2"/>
    <n v="50"/>
    <n v="100"/>
    <n v="1.5"/>
    <n v="2"/>
  </r>
  <r>
    <n v="77"/>
    <n v="9"/>
    <n v="7"/>
    <n v="2023"/>
    <s v="Sunday"/>
    <s v="July"/>
    <s v="2023"/>
    <d v="2023-07-09T00:00:00"/>
    <s v="CUST077"/>
    <x v="1"/>
    <x v="0"/>
    <n v="47"/>
    <x v="0"/>
    <n v="2"/>
    <n v="50"/>
    <n v="100"/>
    <n v="1.5"/>
    <n v="2"/>
  </r>
  <r>
    <n v="78"/>
    <n v="1"/>
    <n v="7"/>
    <n v="2023"/>
    <s v="Saturday"/>
    <s v="July"/>
    <s v="2023"/>
    <d v="2023-07-01T00:00:00"/>
    <s v="CUST078"/>
    <x v="1"/>
    <x v="0"/>
    <n v="47"/>
    <x v="0"/>
    <n v="3"/>
    <n v="500"/>
    <n v="1500"/>
    <n v="22.5"/>
    <n v="30"/>
  </r>
  <r>
    <n v="79"/>
    <n v="18"/>
    <n v="4"/>
    <n v="2023"/>
    <s v="Tuesday"/>
    <s v="April"/>
    <s v="2023"/>
    <d v="2023-04-18T00:00:00"/>
    <s v="CUST079"/>
    <x v="0"/>
    <x v="0"/>
    <n v="34"/>
    <x v="0"/>
    <n v="1"/>
    <n v="300"/>
    <n v="300"/>
    <n v="4.5"/>
    <n v="6"/>
  </r>
  <r>
    <n v="80"/>
    <n v="10"/>
    <n v="12"/>
    <n v="2023"/>
    <s v="Sunday"/>
    <s v="December"/>
    <s v="2023"/>
    <d v="2023-12-10T00:00:00"/>
    <s v="CUST080"/>
    <x v="1"/>
    <x v="2"/>
    <n v="64"/>
    <x v="0"/>
    <n v="2"/>
    <n v="30"/>
    <n v="60"/>
    <n v="0.89999999999999991"/>
    <n v="1.2"/>
  </r>
  <r>
    <n v="81"/>
    <n v="17"/>
    <n v="5"/>
    <n v="2023"/>
    <s v="Wednesday"/>
    <s v="May"/>
    <s v="2023"/>
    <d v="2023-05-17T00:00:00"/>
    <s v="CUST081"/>
    <x v="0"/>
    <x v="0"/>
    <n v="40"/>
    <x v="0"/>
    <n v="1"/>
    <n v="50"/>
    <n v="50"/>
    <n v="0.75"/>
    <n v="1"/>
  </r>
  <r>
    <n v="82"/>
    <n v="26"/>
    <n v="12"/>
    <n v="2023"/>
    <s v="Tuesday"/>
    <s v="December"/>
    <s v="2023"/>
    <d v="2023-12-26T00:00:00"/>
    <s v="CUST082"/>
    <x v="1"/>
    <x v="0"/>
    <n v="32"/>
    <x v="0"/>
    <n v="4"/>
    <n v="50"/>
    <n v="200"/>
    <n v="3"/>
    <n v="4"/>
  </r>
  <r>
    <n v="83"/>
    <n v="16"/>
    <n v="12"/>
    <n v="2023"/>
    <s v="Saturday"/>
    <s v="December"/>
    <s v="2023"/>
    <d v="2023-12-16T00:00:00"/>
    <s v="CUST083"/>
    <x v="0"/>
    <x v="2"/>
    <n v="54"/>
    <x v="0"/>
    <n v="2"/>
    <n v="50"/>
    <n v="100"/>
    <n v="1.5"/>
    <n v="2"/>
  </r>
  <r>
    <n v="84"/>
    <n v="28"/>
    <n v="11"/>
    <n v="2023"/>
    <s v="Tuesday"/>
    <s v="November"/>
    <s v="2023"/>
    <d v="2023-11-28T00:00:00"/>
    <s v="CUST084"/>
    <x v="1"/>
    <x v="0"/>
    <n v="38"/>
    <x v="0"/>
    <n v="3"/>
    <n v="30"/>
    <n v="90"/>
    <n v="1.3499999999999999"/>
    <n v="1.8"/>
  </r>
  <r>
    <n v="85"/>
    <n v="6"/>
    <n v="2"/>
    <n v="2023"/>
    <s v="Monday"/>
    <s v="February"/>
    <s v="2023"/>
    <d v="2023-02-06T00:00:00"/>
    <s v="CUST085"/>
    <x v="0"/>
    <x v="0"/>
    <n v="31"/>
    <x v="0"/>
    <n v="3"/>
    <n v="50"/>
    <n v="150"/>
    <n v="2.25"/>
    <n v="3"/>
  </r>
  <r>
    <n v="86"/>
    <n v="8"/>
    <n v="11"/>
    <n v="2023"/>
    <s v="Wednesday"/>
    <s v="November"/>
    <s v="2023"/>
    <d v="2023-11-08T00:00:00"/>
    <s v="CUST086"/>
    <x v="0"/>
    <x v="1"/>
    <n v="19"/>
    <x v="0"/>
    <n v="3"/>
    <n v="30"/>
    <n v="90"/>
    <n v="1.3499999999999999"/>
    <n v="1.8"/>
  </r>
  <r>
    <n v="87"/>
    <n v="22"/>
    <n v="11"/>
    <n v="2023"/>
    <s v="Wednesday"/>
    <s v="November"/>
    <s v="2023"/>
    <d v="2023-11-22T00:00:00"/>
    <s v="CUST087"/>
    <x v="1"/>
    <x v="1"/>
    <n v="28"/>
    <x v="0"/>
    <n v="2"/>
    <n v="50"/>
    <n v="100"/>
    <n v="1.5"/>
    <n v="2"/>
  </r>
  <r>
    <n v="88"/>
    <n v="29"/>
    <n v="3"/>
    <n v="2023"/>
    <s v="Wednesday"/>
    <s v="March"/>
    <s v="2023"/>
    <d v="2023-03-29T00:00:00"/>
    <s v="CUST088"/>
    <x v="0"/>
    <x v="2"/>
    <n v="56"/>
    <x v="0"/>
    <n v="1"/>
    <n v="500"/>
    <n v="500"/>
    <n v="7.5"/>
    <n v="10"/>
  </r>
  <r>
    <n v="89"/>
    <n v="1"/>
    <n v="10"/>
    <n v="2023"/>
    <s v="Sunday"/>
    <s v="October"/>
    <s v="2023"/>
    <d v="2023-10-01T00:00:00"/>
    <s v="CUST089"/>
    <x v="1"/>
    <x v="2"/>
    <n v="55"/>
    <x v="0"/>
    <n v="4"/>
    <n v="500"/>
    <n v="2000"/>
    <n v="30"/>
    <n v="40"/>
  </r>
  <r>
    <n v="90"/>
    <n v="6"/>
    <n v="5"/>
    <n v="2023"/>
    <s v="Saturday"/>
    <s v="May"/>
    <s v="2023"/>
    <d v="2023-05-06T00:00:00"/>
    <s v="CUST090"/>
    <x v="1"/>
    <x v="2"/>
    <n v="51"/>
    <x v="0"/>
    <n v="1"/>
    <n v="30"/>
    <n v="30"/>
    <n v="0.44999999999999996"/>
    <n v="0.6"/>
  </r>
  <r>
    <n v="91"/>
    <n v="25"/>
    <n v="3"/>
    <n v="2023"/>
    <s v="Saturday"/>
    <s v="March"/>
    <s v="2023"/>
    <d v="2023-03-25T00:00:00"/>
    <s v="CUST091"/>
    <x v="1"/>
    <x v="2"/>
    <n v="55"/>
    <x v="0"/>
    <n v="1"/>
    <n v="500"/>
    <n v="500"/>
    <n v="7.5"/>
    <n v="10"/>
  </r>
  <r>
    <n v="92"/>
    <n v="25"/>
    <n v="8"/>
    <n v="2023"/>
    <s v="Friday"/>
    <s v="August"/>
    <s v="2023"/>
    <d v="2023-08-25T00:00:00"/>
    <s v="CUST092"/>
    <x v="1"/>
    <x v="2"/>
    <n v="51"/>
    <x v="0"/>
    <n v="4"/>
    <n v="30"/>
    <n v="120"/>
    <n v="1.7999999999999998"/>
    <n v="2.4"/>
  </r>
  <r>
    <n v="93"/>
    <n v="14"/>
    <n v="7"/>
    <n v="2023"/>
    <s v="Friday"/>
    <s v="July"/>
    <s v="2023"/>
    <d v="2023-07-14T00:00:00"/>
    <s v="CUST093"/>
    <x v="1"/>
    <x v="0"/>
    <n v="35"/>
    <x v="0"/>
    <n v="4"/>
    <n v="500"/>
    <n v="2000"/>
    <n v="30"/>
    <n v="40"/>
  </r>
  <r>
    <n v="94"/>
    <n v="19"/>
    <n v="5"/>
    <n v="2023"/>
    <s v="Friday"/>
    <s v="May"/>
    <s v="2023"/>
    <d v="2023-05-19T00:00:00"/>
    <s v="CUST094"/>
    <x v="1"/>
    <x v="0"/>
    <n v="47"/>
    <x v="0"/>
    <n v="2"/>
    <n v="500"/>
    <n v="1000"/>
    <n v="15"/>
    <n v="20"/>
  </r>
  <r>
    <n v="95"/>
    <n v="24"/>
    <n v="11"/>
    <n v="2023"/>
    <s v="Friday"/>
    <s v="November"/>
    <s v="2023"/>
    <d v="2023-11-24T00:00:00"/>
    <s v="CUST095"/>
    <x v="1"/>
    <x v="0"/>
    <n v="32"/>
    <x v="0"/>
    <n v="2"/>
    <n v="30"/>
    <n v="60"/>
    <n v="0.89999999999999991"/>
    <n v="1.2"/>
  </r>
  <r>
    <n v="96"/>
    <n v="19"/>
    <n v="12"/>
    <n v="2023"/>
    <s v="Tuesday"/>
    <s v="December"/>
    <s v="2023"/>
    <d v="2023-12-19T00:00:00"/>
    <s v="CUST096"/>
    <x v="1"/>
    <x v="0"/>
    <n v="44"/>
    <x v="0"/>
    <n v="2"/>
    <n v="300"/>
    <n v="600"/>
    <n v="9"/>
    <n v="12"/>
  </r>
  <r>
    <n v="97"/>
    <n v="13"/>
    <n v="10"/>
    <n v="2023"/>
    <s v="Friday"/>
    <s v="October"/>
    <s v="2023"/>
    <d v="2023-10-13T00:00:00"/>
    <s v="CUST097"/>
    <x v="1"/>
    <x v="2"/>
    <n v="51"/>
    <x v="0"/>
    <n v="2"/>
    <n v="500"/>
    <n v="1000"/>
    <n v="15"/>
    <n v="20"/>
  </r>
  <r>
    <n v="98"/>
    <n v="23"/>
    <n v="4"/>
    <n v="2023"/>
    <s v="Sunday"/>
    <s v="April"/>
    <s v="2023"/>
    <d v="2023-04-23T00:00:00"/>
    <s v="CUST098"/>
    <x v="1"/>
    <x v="2"/>
    <n v="55"/>
    <x v="0"/>
    <n v="2"/>
    <n v="50"/>
    <n v="100"/>
    <n v="1.5"/>
    <n v="2"/>
  </r>
  <r>
    <n v="99"/>
    <n v="17"/>
    <n v="12"/>
    <n v="2023"/>
    <s v="Sunday"/>
    <s v="December"/>
    <s v="2023"/>
    <d v="2023-12-17T00:00:00"/>
    <s v="CUST099"/>
    <x v="1"/>
    <x v="0"/>
    <n v="50"/>
    <x v="0"/>
    <n v="4"/>
    <n v="300"/>
    <n v="1200"/>
    <n v="18"/>
    <n v="24"/>
  </r>
  <r>
    <n v="100"/>
    <n v="16"/>
    <n v="6"/>
    <n v="2023"/>
    <s v="Friday"/>
    <s v="June"/>
    <s v="2023"/>
    <d v="2023-06-16T00:00:00"/>
    <s v="CUST100"/>
    <x v="0"/>
    <x v="0"/>
    <n v="41"/>
    <x v="0"/>
    <n v="1"/>
    <n v="30"/>
    <n v="30"/>
    <n v="0.44999999999999996"/>
    <n v="0.6"/>
  </r>
  <r>
    <n v="101"/>
    <n v="29"/>
    <n v="1"/>
    <n v="2023"/>
    <s v="Sunday"/>
    <s v="January"/>
    <s v="2023"/>
    <d v="2023-01-29T00:00:00"/>
    <s v="CUST101"/>
    <x v="0"/>
    <x v="0"/>
    <n v="32"/>
    <x v="0"/>
    <n v="2"/>
    <n v="300"/>
    <n v="600"/>
    <n v="9"/>
    <n v="12"/>
  </r>
  <r>
    <n v="102"/>
    <n v="28"/>
    <n v="4"/>
    <n v="2023"/>
    <s v="Friday"/>
    <s v="April"/>
    <s v="2023"/>
    <d v="2023-04-28T00:00:00"/>
    <s v="CUST102"/>
    <x v="1"/>
    <x v="0"/>
    <n v="47"/>
    <x v="0"/>
    <n v="2"/>
    <n v="25"/>
    <n v="50"/>
    <n v="0.75"/>
    <n v="1"/>
  </r>
  <r>
    <n v="103"/>
    <n v="17"/>
    <n v="1"/>
    <n v="2023"/>
    <s v="Tuesday"/>
    <s v="January"/>
    <s v="2023"/>
    <d v="2023-01-17T00:00:00"/>
    <s v="CUST103"/>
    <x v="1"/>
    <x v="2"/>
    <n v="59"/>
    <x v="0"/>
    <n v="1"/>
    <n v="25"/>
    <n v="25"/>
    <n v="0.375"/>
    <n v="0.5"/>
  </r>
  <r>
    <n v="104"/>
    <n v="11"/>
    <n v="6"/>
    <n v="2023"/>
    <s v="Sunday"/>
    <s v="June"/>
    <s v="2023"/>
    <d v="2023-06-11T00:00:00"/>
    <s v="CUST104"/>
    <x v="1"/>
    <x v="0"/>
    <n v="34"/>
    <x v="0"/>
    <n v="2"/>
    <n v="500"/>
    <n v="1000"/>
    <n v="15"/>
    <n v="20"/>
  </r>
  <r>
    <n v="105"/>
    <n v="25"/>
    <n v="7"/>
    <n v="2023"/>
    <s v="Tuesday"/>
    <s v="July"/>
    <s v="2023"/>
    <d v="2023-07-25T00:00:00"/>
    <s v="CUST105"/>
    <x v="1"/>
    <x v="1"/>
    <n v="22"/>
    <x v="0"/>
    <n v="1"/>
    <n v="500"/>
    <n v="500"/>
    <n v="7.5"/>
    <n v="10"/>
  </r>
  <r>
    <n v="106"/>
    <n v="18"/>
    <n v="5"/>
    <n v="2023"/>
    <s v="Thursday"/>
    <s v="May"/>
    <s v="2023"/>
    <d v="2023-05-18T00:00:00"/>
    <s v="CUST106"/>
    <x v="1"/>
    <x v="0"/>
    <n v="46"/>
    <x v="0"/>
    <n v="1"/>
    <n v="50"/>
    <n v="50"/>
    <n v="0.75"/>
    <n v="1"/>
  </r>
  <r>
    <n v="107"/>
    <n v="3"/>
    <n v="2"/>
    <n v="2023"/>
    <s v="Friday"/>
    <s v="February"/>
    <s v="2023"/>
    <d v="2023-02-03T00:00:00"/>
    <s v="CUST107"/>
    <x v="1"/>
    <x v="1"/>
    <n v="21"/>
    <x v="0"/>
    <n v="4"/>
    <n v="300"/>
    <n v="1200"/>
    <n v="18"/>
    <n v="24"/>
  </r>
  <r>
    <n v="108"/>
    <n v="19"/>
    <n v="4"/>
    <n v="2023"/>
    <s v="Wednesday"/>
    <s v="April"/>
    <s v="2023"/>
    <d v="2023-04-19T00:00:00"/>
    <s v="CUST108"/>
    <x v="1"/>
    <x v="1"/>
    <n v="27"/>
    <x v="0"/>
    <n v="3"/>
    <n v="25"/>
    <n v="75"/>
    <n v="1.125"/>
    <n v="1.5"/>
  </r>
  <r>
    <n v="109"/>
    <n v="18"/>
    <n v="10"/>
    <n v="2023"/>
    <s v="Wednesday"/>
    <s v="October"/>
    <s v="2023"/>
    <d v="2023-10-18T00:00:00"/>
    <s v="CUST109"/>
    <x v="1"/>
    <x v="0"/>
    <n v="34"/>
    <x v="0"/>
    <n v="4"/>
    <n v="500"/>
    <n v="2000"/>
    <n v="30"/>
    <n v="40"/>
  </r>
  <r>
    <n v="110"/>
    <n v="11"/>
    <n v="6"/>
    <n v="2023"/>
    <s v="Sunday"/>
    <s v="June"/>
    <s v="2023"/>
    <d v="2023-06-11T00:00:00"/>
    <s v="CUST110"/>
    <x v="0"/>
    <x v="1"/>
    <n v="27"/>
    <x v="0"/>
    <n v="3"/>
    <n v="300"/>
    <n v="900"/>
    <n v="13.5"/>
    <n v="18"/>
  </r>
  <r>
    <n v="111"/>
    <n v="19"/>
    <n v="4"/>
    <n v="2023"/>
    <s v="Wednesday"/>
    <s v="April"/>
    <s v="2023"/>
    <d v="2023-04-19T00:00:00"/>
    <s v="CUST111"/>
    <x v="1"/>
    <x v="0"/>
    <n v="34"/>
    <x v="0"/>
    <n v="3"/>
    <n v="500"/>
    <n v="1500"/>
    <n v="22.5"/>
    <n v="30"/>
  </r>
  <r>
    <n v="112"/>
    <n v="2"/>
    <n v="12"/>
    <n v="2023"/>
    <s v="Saturday"/>
    <s v="December"/>
    <s v="2023"/>
    <d v="2023-12-02T00:00:00"/>
    <s v="CUST112"/>
    <x v="0"/>
    <x v="0"/>
    <n v="37"/>
    <x v="0"/>
    <n v="3"/>
    <n v="500"/>
    <n v="1500"/>
    <n v="22.5"/>
    <n v="30"/>
  </r>
  <r>
    <n v="113"/>
    <n v="13"/>
    <n v="9"/>
    <n v="2023"/>
    <s v="Wednesday"/>
    <s v="September"/>
    <s v="2023"/>
    <d v="2023-09-13T00:00:00"/>
    <s v="CUST113"/>
    <x v="1"/>
    <x v="0"/>
    <n v="41"/>
    <x v="0"/>
    <n v="2"/>
    <n v="25"/>
    <n v="50"/>
    <n v="0.75"/>
    <n v="1"/>
  </r>
  <r>
    <n v="114"/>
    <n v="22"/>
    <n v="7"/>
    <n v="2023"/>
    <s v="Saturday"/>
    <s v="July"/>
    <s v="2023"/>
    <d v="2023-07-22T00:00:00"/>
    <s v="CUST114"/>
    <x v="1"/>
    <x v="1"/>
    <n v="22"/>
    <x v="0"/>
    <n v="4"/>
    <n v="25"/>
    <n v="100"/>
    <n v="1.5"/>
    <n v="2"/>
  </r>
  <r>
    <n v="115"/>
    <n v="26"/>
    <n v="11"/>
    <n v="2023"/>
    <s v="Sunday"/>
    <s v="November"/>
    <s v="2023"/>
    <d v="2023-11-26T00:00:00"/>
    <s v="CUST115"/>
    <x v="0"/>
    <x v="2"/>
    <n v="51"/>
    <x v="0"/>
    <n v="3"/>
    <n v="500"/>
    <n v="1500"/>
    <n v="22.5"/>
    <n v="30"/>
  </r>
  <r>
    <n v="116"/>
    <n v="23"/>
    <n v="8"/>
    <n v="2023"/>
    <s v="Wednesday"/>
    <s v="August"/>
    <s v="2023"/>
    <d v="2023-08-23T00:00:00"/>
    <s v="CUST116"/>
    <x v="1"/>
    <x v="1"/>
    <n v="23"/>
    <x v="0"/>
    <n v="1"/>
    <n v="30"/>
    <n v="30"/>
    <n v="0.44999999999999996"/>
    <n v="0.6"/>
  </r>
  <r>
    <n v="117"/>
    <n v="15"/>
    <n v="3"/>
    <n v="2023"/>
    <s v="Wednesday"/>
    <s v="March"/>
    <s v="2023"/>
    <d v="2023-03-15T00:00:00"/>
    <s v="CUST117"/>
    <x v="0"/>
    <x v="1"/>
    <n v="19"/>
    <x v="0"/>
    <n v="2"/>
    <n v="500"/>
    <n v="1000"/>
    <n v="15"/>
    <n v="20"/>
  </r>
  <r>
    <n v="118"/>
    <n v="16"/>
    <n v="5"/>
    <n v="2023"/>
    <s v="Tuesday"/>
    <s v="May"/>
    <s v="2023"/>
    <d v="2023-05-16T00:00:00"/>
    <s v="CUST118"/>
    <x v="1"/>
    <x v="0"/>
    <n v="30"/>
    <x v="0"/>
    <n v="4"/>
    <n v="500"/>
    <n v="2000"/>
    <n v="30"/>
    <n v="40"/>
  </r>
  <r>
    <n v="119"/>
    <n v="13"/>
    <n v="3"/>
    <n v="2023"/>
    <s v="Monday"/>
    <s v="March"/>
    <s v="2023"/>
    <d v="2023-03-13T00:00:00"/>
    <s v="CUST119"/>
    <x v="1"/>
    <x v="2"/>
    <n v="60"/>
    <x v="0"/>
    <n v="3"/>
    <n v="50"/>
    <n v="150"/>
    <n v="2.25"/>
    <n v="3"/>
  </r>
  <r>
    <n v="120"/>
    <n v="7"/>
    <n v="5"/>
    <n v="2023"/>
    <s v="Sunday"/>
    <s v="May"/>
    <s v="2023"/>
    <d v="2023-05-07T00:00:00"/>
    <s v="CUST120"/>
    <x v="0"/>
    <x v="2"/>
    <n v="60"/>
    <x v="0"/>
    <n v="1"/>
    <n v="50"/>
    <n v="50"/>
    <n v="0.75"/>
    <n v="1"/>
  </r>
  <r>
    <n v="121"/>
    <n v="15"/>
    <n v="10"/>
    <n v="2023"/>
    <s v="Sunday"/>
    <s v="October"/>
    <s v="2023"/>
    <d v="2023-10-15T00:00:00"/>
    <s v="CUST121"/>
    <x v="1"/>
    <x v="1"/>
    <n v="28"/>
    <x v="0"/>
    <n v="4"/>
    <n v="50"/>
    <n v="200"/>
    <n v="3"/>
    <n v="4"/>
  </r>
  <r>
    <n v="122"/>
    <n v="3"/>
    <n v="10"/>
    <n v="2023"/>
    <s v="Tuesday"/>
    <s v="October"/>
    <s v="2023"/>
    <d v="2023-10-03T00:00:00"/>
    <s v="CUST122"/>
    <x v="0"/>
    <x v="2"/>
    <n v="64"/>
    <x v="0"/>
    <n v="4"/>
    <n v="30"/>
    <n v="120"/>
    <n v="1.7999999999999998"/>
    <n v="2.4"/>
  </r>
  <r>
    <n v="123"/>
    <n v="15"/>
    <n v="5"/>
    <n v="2023"/>
    <s v="Monday"/>
    <s v="May"/>
    <s v="2023"/>
    <d v="2023-05-15T00:00:00"/>
    <s v="CUST123"/>
    <x v="1"/>
    <x v="0"/>
    <n v="40"/>
    <x v="0"/>
    <n v="2"/>
    <n v="30"/>
    <n v="60"/>
    <n v="0.89999999999999991"/>
    <n v="1.2"/>
  </r>
  <r>
    <n v="124"/>
    <n v="27"/>
    <n v="10"/>
    <n v="2023"/>
    <s v="Friday"/>
    <s v="October"/>
    <s v="2023"/>
    <d v="2023-10-27T00:00:00"/>
    <s v="CUST124"/>
    <x v="0"/>
    <x v="0"/>
    <n v="33"/>
    <x v="0"/>
    <n v="4"/>
    <n v="500"/>
    <n v="2000"/>
    <n v="30"/>
    <n v="40"/>
  </r>
  <r>
    <n v="125"/>
    <n v="8"/>
    <n v="8"/>
    <n v="2023"/>
    <s v="Tuesday"/>
    <s v="August"/>
    <s v="2023"/>
    <d v="2023-08-08T00:00:00"/>
    <s v="CUST125"/>
    <x v="0"/>
    <x v="0"/>
    <n v="48"/>
    <x v="0"/>
    <n v="2"/>
    <n v="50"/>
    <n v="100"/>
    <n v="1.5"/>
    <n v="2"/>
  </r>
  <r>
    <n v="126"/>
    <n v="26"/>
    <n v="10"/>
    <n v="2023"/>
    <s v="Thursday"/>
    <s v="October"/>
    <s v="2023"/>
    <d v="2023-10-26T00:00:00"/>
    <s v="CUST126"/>
    <x v="1"/>
    <x v="1"/>
    <n v="28"/>
    <x v="0"/>
    <n v="3"/>
    <n v="30"/>
    <n v="90"/>
    <n v="1.3499999999999999"/>
    <n v="1.8"/>
  </r>
  <r>
    <n v="127"/>
    <n v="24"/>
    <n v="7"/>
    <n v="2023"/>
    <s v="Monday"/>
    <s v="July"/>
    <s v="2023"/>
    <d v="2023-07-24T00:00:00"/>
    <s v="CUST127"/>
    <x v="1"/>
    <x v="0"/>
    <n v="33"/>
    <x v="0"/>
    <n v="2"/>
    <n v="25"/>
    <n v="50"/>
    <n v="0.75"/>
    <n v="1"/>
  </r>
  <r>
    <n v="128"/>
    <n v="5"/>
    <n v="7"/>
    <n v="2023"/>
    <s v="Wednesday"/>
    <s v="July"/>
    <s v="2023"/>
    <d v="2023-07-05T00:00:00"/>
    <s v="CUST128"/>
    <x v="0"/>
    <x v="1"/>
    <n v="25"/>
    <x v="0"/>
    <n v="1"/>
    <n v="500"/>
    <n v="500"/>
    <n v="7.5"/>
    <n v="10"/>
  </r>
  <r>
    <n v="129"/>
    <n v="23"/>
    <n v="4"/>
    <n v="2023"/>
    <s v="Sunday"/>
    <s v="April"/>
    <s v="2023"/>
    <d v="2023-04-23T00:00:00"/>
    <s v="CUST129"/>
    <x v="1"/>
    <x v="1"/>
    <n v="21"/>
    <x v="0"/>
    <n v="2"/>
    <n v="300"/>
    <n v="600"/>
    <n v="9"/>
    <n v="12"/>
  </r>
  <r>
    <n v="130"/>
    <n v="12"/>
    <n v="3"/>
    <n v="2023"/>
    <s v="Sunday"/>
    <s v="March"/>
    <s v="2023"/>
    <d v="2023-03-12T00:00:00"/>
    <s v="CUST130"/>
    <x v="1"/>
    <x v="2"/>
    <n v="57"/>
    <x v="0"/>
    <n v="1"/>
    <n v="500"/>
    <n v="500"/>
    <n v="7.5"/>
    <n v="10"/>
  </r>
  <r>
    <n v="131"/>
    <n v="18"/>
    <n v="9"/>
    <n v="2023"/>
    <s v="Monday"/>
    <s v="September"/>
    <s v="2023"/>
    <d v="2023-09-18T00:00:00"/>
    <s v="CUST131"/>
    <x v="1"/>
    <x v="1"/>
    <n v="21"/>
    <x v="0"/>
    <n v="2"/>
    <n v="300"/>
    <n v="600"/>
    <n v="9"/>
    <n v="12"/>
  </r>
  <r>
    <n v="132"/>
    <n v="10"/>
    <n v="9"/>
    <n v="2023"/>
    <s v="Sunday"/>
    <s v="September"/>
    <s v="2023"/>
    <d v="2023-09-10T00:00:00"/>
    <s v="CUST132"/>
    <x v="0"/>
    <x v="0"/>
    <n v="42"/>
    <x v="0"/>
    <n v="4"/>
    <n v="50"/>
    <n v="200"/>
    <n v="3"/>
    <n v="4"/>
  </r>
  <r>
    <n v="133"/>
    <n v="16"/>
    <n v="2"/>
    <n v="2023"/>
    <s v="Thursday"/>
    <s v="February"/>
    <s v="2023"/>
    <d v="2023-02-16T00:00:00"/>
    <s v="CUST133"/>
    <x v="0"/>
    <x v="1"/>
    <n v="20"/>
    <x v="0"/>
    <n v="3"/>
    <n v="300"/>
    <n v="900"/>
    <n v="13.5"/>
    <n v="18"/>
  </r>
  <r>
    <n v="134"/>
    <n v="25"/>
    <n v="1"/>
    <n v="2023"/>
    <s v="Wednesday"/>
    <s v="January"/>
    <s v="2023"/>
    <d v="2023-01-25T00:00:00"/>
    <s v="CUST134"/>
    <x v="0"/>
    <x v="0"/>
    <n v="49"/>
    <x v="0"/>
    <n v="1"/>
    <n v="50"/>
    <n v="50"/>
    <n v="0.75"/>
    <n v="1"/>
  </r>
  <r>
    <n v="135"/>
    <n v="26"/>
    <n v="2"/>
    <n v="2023"/>
    <s v="Sunday"/>
    <s v="February"/>
    <s v="2023"/>
    <d v="2023-02-26T00:00:00"/>
    <s v="CUST135"/>
    <x v="0"/>
    <x v="1"/>
    <n v="20"/>
    <x v="0"/>
    <n v="2"/>
    <n v="25"/>
    <n v="50"/>
    <n v="0.75"/>
    <n v="1"/>
  </r>
  <r>
    <n v="136"/>
    <n v="20"/>
    <n v="3"/>
    <n v="2023"/>
    <s v="Monday"/>
    <s v="March"/>
    <s v="2023"/>
    <d v="2023-03-20T00:00:00"/>
    <s v="CUST136"/>
    <x v="0"/>
    <x v="0"/>
    <n v="44"/>
    <x v="0"/>
    <n v="2"/>
    <n v="300"/>
    <n v="600"/>
    <n v="9"/>
    <n v="12"/>
  </r>
  <r>
    <n v="137"/>
    <n v="18"/>
    <n v="11"/>
    <n v="2023"/>
    <s v="Saturday"/>
    <s v="November"/>
    <s v="2023"/>
    <d v="2023-11-18T00:00:00"/>
    <s v="CUST137"/>
    <x v="0"/>
    <x v="0"/>
    <n v="46"/>
    <x v="0"/>
    <n v="2"/>
    <n v="500"/>
    <n v="1000"/>
    <n v="15"/>
    <n v="20"/>
  </r>
  <r>
    <n v="138"/>
    <n v="23"/>
    <n v="3"/>
    <n v="2023"/>
    <s v="Thursday"/>
    <s v="March"/>
    <s v="2023"/>
    <d v="2023-03-23T00:00:00"/>
    <s v="CUST138"/>
    <x v="0"/>
    <x v="0"/>
    <n v="49"/>
    <x v="0"/>
    <n v="4"/>
    <n v="50"/>
    <n v="200"/>
    <n v="3"/>
    <n v="4"/>
  </r>
  <r>
    <n v="139"/>
    <n v="15"/>
    <n v="12"/>
    <n v="2023"/>
    <s v="Friday"/>
    <s v="December"/>
    <s v="2023"/>
    <d v="2023-12-15T00:00:00"/>
    <s v="CUST139"/>
    <x v="0"/>
    <x v="0"/>
    <n v="36"/>
    <x v="0"/>
    <n v="4"/>
    <n v="500"/>
    <n v="2000"/>
    <n v="30"/>
    <n v="40"/>
  </r>
  <r>
    <n v="140"/>
    <n v="5"/>
    <n v="8"/>
    <n v="2023"/>
    <s v="Saturday"/>
    <s v="August"/>
    <s v="2023"/>
    <d v="2023-08-05T00:00:00"/>
    <s v="CUST140"/>
    <x v="0"/>
    <x v="0"/>
    <n v="38"/>
    <x v="0"/>
    <n v="1"/>
    <n v="30"/>
    <n v="30"/>
    <n v="0.44999999999999996"/>
    <n v="0.6"/>
  </r>
  <r>
    <n v="141"/>
    <n v="2"/>
    <n v="11"/>
    <n v="2023"/>
    <s v="Thursday"/>
    <s v="November"/>
    <s v="2023"/>
    <d v="2023-11-02T00:00:00"/>
    <s v="CUST141"/>
    <x v="1"/>
    <x v="1"/>
    <n v="22"/>
    <x v="0"/>
    <n v="1"/>
    <n v="50"/>
    <n v="50"/>
    <n v="0.75"/>
    <n v="1"/>
  </r>
  <r>
    <n v="142"/>
    <n v="2"/>
    <n v="2"/>
    <n v="2023"/>
    <s v="Thursday"/>
    <s v="February"/>
    <s v="2023"/>
    <d v="2023-02-02T00:00:00"/>
    <s v="CUST142"/>
    <x v="0"/>
    <x v="0"/>
    <n v="35"/>
    <x v="0"/>
    <n v="4"/>
    <n v="300"/>
    <n v="1200"/>
    <n v="18"/>
    <n v="24"/>
  </r>
  <r>
    <n v="143"/>
    <n v="17"/>
    <n v="7"/>
    <n v="2023"/>
    <s v="Monday"/>
    <s v="July"/>
    <s v="2023"/>
    <d v="2023-07-17T00:00:00"/>
    <s v="CUST143"/>
    <x v="1"/>
    <x v="0"/>
    <n v="45"/>
    <x v="0"/>
    <n v="1"/>
    <n v="50"/>
    <n v="50"/>
    <n v="0.75"/>
    <n v="1"/>
  </r>
  <r>
    <n v="144"/>
    <n v="15"/>
    <n v="7"/>
    <n v="2023"/>
    <s v="Saturday"/>
    <s v="July"/>
    <s v="2023"/>
    <d v="2023-07-15T00:00:00"/>
    <s v="CUST144"/>
    <x v="1"/>
    <x v="2"/>
    <n v="59"/>
    <x v="0"/>
    <n v="3"/>
    <n v="500"/>
    <n v="1500"/>
    <n v="22.5"/>
    <n v="30"/>
  </r>
  <r>
    <n v="145"/>
    <n v="2"/>
    <n v="11"/>
    <n v="2023"/>
    <s v="Thursday"/>
    <s v="November"/>
    <s v="2023"/>
    <d v="2023-11-02T00:00:00"/>
    <s v="CUST145"/>
    <x v="1"/>
    <x v="0"/>
    <n v="39"/>
    <x v="0"/>
    <n v="3"/>
    <n v="25"/>
    <n v="75"/>
    <n v="1.125"/>
    <n v="1.5"/>
  </r>
  <r>
    <n v="146"/>
    <n v="28"/>
    <n v="8"/>
    <n v="2023"/>
    <s v="Monday"/>
    <s v="August"/>
    <s v="2023"/>
    <d v="2023-08-28T00:00:00"/>
    <s v="CUST146"/>
    <x v="0"/>
    <x v="0"/>
    <n v="38"/>
    <x v="0"/>
    <n v="4"/>
    <n v="50"/>
    <n v="200"/>
    <n v="3"/>
    <n v="4"/>
  </r>
  <r>
    <n v="147"/>
    <n v="28"/>
    <n v="9"/>
    <n v="2023"/>
    <s v="Thursday"/>
    <s v="September"/>
    <s v="2023"/>
    <d v="2023-09-28T00:00:00"/>
    <s v="CUST147"/>
    <x v="0"/>
    <x v="1"/>
    <n v="23"/>
    <x v="0"/>
    <n v="1"/>
    <n v="300"/>
    <n v="300"/>
    <n v="4.5"/>
    <n v="6"/>
  </r>
  <r>
    <n v="148"/>
    <n v="9"/>
    <n v="5"/>
    <n v="2023"/>
    <s v="Tuesday"/>
    <s v="May"/>
    <s v="2023"/>
    <d v="2023-05-09T00:00:00"/>
    <s v="CUST148"/>
    <x v="0"/>
    <x v="1"/>
    <n v="18"/>
    <x v="0"/>
    <n v="2"/>
    <n v="30"/>
    <n v="60"/>
    <n v="0.89999999999999991"/>
    <n v="1.2"/>
  </r>
  <r>
    <n v="149"/>
    <n v="11"/>
    <n v="10"/>
    <n v="2023"/>
    <s v="Wednesday"/>
    <s v="October"/>
    <s v="2023"/>
    <d v="2023-10-11T00:00:00"/>
    <s v="CUST149"/>
    <x v="0"/>
    <x v="1"/>
    <n v="22"/>
    <x v="0"/>
    <n v="3"/>
    <n v="25"/>
    <n v="75"/>
    <n v="1.125"/>
    <n v="1.5"/>
  </r>
  <r>
    <n v="150"/>
    <n v="6"/>
    <n v="1"/>
    <n v="2023"/>
    <s v="Friday"/>
    <s v="January"/>
    <s v="2023"/>
    <d v="2023-01-06T00:00:00"/>
    <s v="CUST150"/>
    <x v="1"/>
    <x v="2"/>
    <n v="58"/>
    <x v="0"/>
    <n v="4"/>
    <n v="30"/>
    <n v="120"/>
    <n v="1.7999999999999998"/>
    <n v="2.4"/>
  </r>
  <r>
    <n v="151"/>
    <n v="15"/>
    <n v="12"/>
    <n v="2023"/>
    <s v="Friday"/>
    <s v="December"/>
    <s v="2023"/>
    <d v="2023-12-15T00:00:00"/>
    <s v="CUST151"/>
    <x v="0"/>
    <x v="1"/>
    <n v="29"/>
    <x v="0"/>
    <n v="1"/>
    <n v="50"/>
    <n v="50"/>
    <n v="0.75"/>
    <n v="1"/>
  </r>
  <r>
    <n v="152"/>
    <n v="28"/>
    <n v="2"/>
    <n v="2023"/>
    <s v="Tuesday"/>
    <s v="February"/>
    <s v="2023"/>
    <d v="2023-02-28T00:00:00"/>
    <s v="CUST152"/>
    <x v="0"/>
    <x v="0"/>
    <n v="43"/>
    <x v="0"/>
    <n v="4"/>
    <n v="500"/>
    <n v="2000"/>
    <n v="30"/>
    <n v="40"/>
  </r>
  <r>
    <n v="153"/>
    <n v="16"/>
    <n v="12"/>
    <n v="2023"/>
    <s v="Saturday"/>
    <s v="December"/>
    <s v="2023"/>
    <d v="2023-12-16T00:00:00"/>
    <s v="CUST153"/>
    <x v="0"/>
    <x v="2"/>
    <n v="63"/>
    <x v="0"/>
    <n v="2"/>
    <n v="500"/>
    <n v="1000"/>
    <n v="15"/>
    <n v="20"/>
  </r>
  <r>
    <n v="154"/>
    <n v="2"/>
    <n v="10"/>
    <n v="2023"/>
    <s v="Monday"/>
    <s v="October"/>
    <s v="2023"/>
    <d v="2023-10-02T00:00:00"/>
    <s v="CUST154"/>
    <x v="0"/>
    <x v="2"/>
    <n v="51"/>
    <x v="0"/>
    <n v="3"/>
    <n v="300"/>
    <n v="900"/>
    <n v="13.5"/>
    <n v="18"/>
  </r>
  <r>
    <n v="155"/>
    <n v="17"/>
    <n v="5"/>
    <n v="2023"/>
    <s v="Wednesday"/>
    <s v="May"/>
    <s v="2023"/>
    <d v="2023-05-17T00:00:00"/>
    <s v="CUST155"/>
    <x v="0"/>
    <x v="0"/>
    <n v="31"/>
    <x v="0"/>
    <n v="4"/>
    <n v="500"/>
    <n v="2000"/>
    <n v="30"/>
    <n v="40"/>
  </r>
  <r>
    <n v="156"/>
    <n v="25"/>
    <n v="11"/>
    <n v="2023"/>
    <s v="Saturday"/>
    <s v="November"/>
    <s v="2023"/>
    <d v="2023-11-25T00:00:00"/>
    <s v="CUST156"/>
    <x v="1"/>
    <x v="0"/>
    <n v="43"/>
    <x v="0"/>
    <n v="4"/>
    <n v="25"/>
    <n v="100"/>
    <n v="1.5"/>
    <n v="2"/>
  </r>
  <r>
    <n v="157"/>
    <n v="24"/>
    <n v="6"/>
    <n v="2023"/>
    <s v="Saturday"/>
    <s v="June"/>
    <s v="2023"/>
    <d v="2023-06-24T00:00:00"/>
    <s v="CUST157"/>
    <x v="0"/>
    <x v="2"/>
    <n v="62"/>
    <x v="0"/>
    <n v="4"/>
    <n v="500"/>
    <n v="2000"/>
    <n v="30"/>
    <n v="40"/>
  </r>
  <r>
    <n v="158"/>
    <n v="27"/>
    <n v="2"/>
    <n v="2023"/>
    <s v="Monday"/>
    <s v="February"/>
    <s v="2023"/>
    <d v="2023-02-27T00:00:00"/>
    <s v="CUST158"/>
    <x v="1"/>
    <x v="0"/>
    <n v="44"/>
    <x v="0"/>
    <n v="2"/>
    <n v="300"/>
    <n v="600"/>
    <n v="9"/>
    <n v="12"/>
  </r>
  <r>
    <n v="159"/>
    <n v="31"/>
    <n v="5"/>
    <n v="2023"/>
    <s v="Wednesday"/>
    <s v="May"/>
    <s v="2023"/>
    <d v="2023-05-31T00:00:00"/>
    <s v="CUST159"/>
    <x v="0"/>
    <x v="1"/>
    <n v="26"/>
    <x v="0"/>
    <n v="4"/>
    <n v="50"/>
    <n v="200"/>
    <n v="3"/>
    <n v="4"/>
  </r>
  <r>
    <n v="160"/>
    <n v="11"/>
    <n v="8"/>
    <n v="2023"/>
    <s v="Friday"/>
    <s v="August"/>
    <s v="2023"/>
    <d v="2023-08-11T00:00:00"/>
    <s v="CUST160"/>
    <x v="1"/>
    <x v="0"/>
    <n v="43"/>
    <x v="0"/>
    <n v="2"/>
    <n v="50"/>
    <n v="100"/>
    <n v="1.5"/>
    <n v="2"/>
  </r>
  <r>
    <n v="161"/>
    <n v="22"/>
    <n v="3"/>
    <n v="2023"/>
    <s v="Wednesday"/>
    <s v="March"/>
    <s v="2023"/>
    <d v="2023-03-22T00:00:00"/>
    <s v="CUST161"/>
    <x v="0"/>
    <x v="2"/>
    <n v="64"/>
    <x v="0"/>
    <n v="2"/>
    <n v="500"/>
    <n v="1000"/>
    <n v="15"/>
    <n v="20"/>
  </r>
  <r>
    <n v="162"/>
    <n v="21"/>
    <n v="8"/>
    <n v="2023"/>
    <s v="Monday"/>
    <s v="August"/>
    <s v="2023"/>
    <d v="2023-08-21T00:00:00"/>
    <s v="CUST162"/>
    <x v="0"/>
    <x v="0"/>
    <n v="39"/>
    <x v="0"/>
    <n v="2"/>
    <n v="30"/>
    <n v="60"/>
    <n v="0.89999999999999991"/>
    <n v="1.2"/>
  </r>
  <r>
    <n v="163"/>
    <n v="2"/>
    <n v="1"/>
    <n v="2023"/>
    <s v="Monday"/>
    <s v="January"/>
    <s v="2023"/>
    <d v="2023-01-02T00:00:00"/>
    <s v="CUST163"/>
    <x v="1"/>
    <x v="2"/>
    <n v="64"/>
    <x v="0"/>
    <n v="3"/>
    <n v="50"/>
    <n v="150"/>
    <n v="2.25"/>
    <n v="3"/>
  </r>
  <r>
    <n v="164"/>
    <n v="15"/>
    <n v="5"/>
    <n v="2023"/>
    <s v="Monday"/>
    <s v="May"/>
    <s v="2023"/>
    <d v="2023-05-15T00:00:00"/>
    <s v="CUST164"/>
    <x v="1"/>
    <x v="0"/>
    <n v="47"/>
    <x v="0"/>
    <n v="3"/>
    <n v="500"/>
    <n v="1500"/>
    <n v="22.5"/>
    <n v="30"/>
  </r>
  <r>
    <n v="165"/>
    <n v="14"/>
    <n v="9"/>
    <n v="2023"/>
    <s v="Thursday"/>
    <s v="September"/>
    <s v="2023"/>
    <d v="2023-09-14T00:00:00"/>
    <s v="CUST165"/>
    <x v="1"/>
    <x v="2"/>
    <n v="60"/>
    <x v="0"/>
    <n v="4"/>
    <n v="300"/>
    <n v="1200"/>
    <n v="18"/>
    <n v="24"/>
  </r>
  <r>
    <n v="166"/>
    <n v="2"/>
    <n v="4"/>
    <n v="2023"/>
    <s v="Sunday"/>
    <s v="April"/>
    <s v="2023"/>
    <d v="2023-04-02T00:00:00"/>
    <s v="CUST166"/>
    <x v="0"/>
    <x v="0"/>
    <n v="34"/>
    <x v="0"/>
    <n v="4"/>
    <n v="500"/>
    <n v="2000"/>
    <n v="30"/>
    <n v="40"/>
  </r>
  <r>
    <n v="167"/>
    <n v="17"/>
    <n v="9"/>
    <n v="2023"/>
    <s v="Sunday"/>
    <s v="September"/>
    <s v="2023"/>
    <d v="2023-09-17T00:00:00"/>
    <s v="CUST167"/>
    <x v="1"/>
    <x v="0"/>
    <n v="43"/>
    <x v="0"/>
    <n v="3"/>
    <n v="50"/>
    <n v="150"/>
    <n v="2.25"/>
    <n v="3"/>
  </r>
  <r>
    <n v="168"/>
    <n v="24"/>
    <n v="2"/>
    <n v="2023"/>
    <s v="Friday"/>
    <s v="February"/>
    <s v="2023"/>
    <d v="2023-02-24T00:00:00"/>
    <s v="CUST168"/>
    <x v="0"/>
    <x v="2"/>
    <n v="53"/>
    <x v="0"/>
    <n v="1"/>
    <n v="300"/>
    <n v="300"/>
    <n v="4.5"/>
    <n v="6"/>
  </r>
  <r>
    <n v="169"/>
    <n v="17"/>
    <n v="11"/>
    <n v="2023"/>
    <s v="Friday"/>
    <s v="November"/>
    <s v="2023"/>
    <d v="2023-11-17T00:00:00"/>
    <s v="CUST169"/>
    <x v="0"/>
    <x v="1"/>
    <n v="18"/>
    <x v="0"/>
    <n v="3"/>
    <n v="500"/>
    <n v="1500"/>
    <n v="22.5"/>
    <n v="30"/>
  </r>
  <r>
    <n v="170"/>
    <n v="2"/>
    <n v="6"/>
    <n v="2023"/>
    <s v="Friday"/>
    <s v="June"/>
    <s v="2023"/>
    <d v="2023-06-02T00:00:00"/>
    <s v="CUST170"/>
    <x v="1"/>
    <x v="1"/>
    <n v="25"/>
    <x v="0"/>
    <n v="2"/>
    <n v="25"/>
    <n v="50"/>
    <n v="0.75"/>
    <n v="1"/>
  </r>
  <r>
    <n v="171"/>
    <n v="24"/>
    <n v="11"/>
    <n v="2023"/>
    <s v="Friday"/>
    <s v="November"/>
    <s v="2023"/>
    <d v="2023-11-24T00:00:00"/>
    <s v="CUST171"/>
    <x v="1"/>
    <x v="2"/>
    <n v="52"/>
    <x v="0"/>
    <n v="3"/>
    <n v="300"/>
    <n v="900"/>
    <n v="13.5"/>
    <n v="18"/>
  </r>
  <r>
    <n v="172"/>
    <n v="17"/>
    <n v="9"/>
    <n v="2023"/>
    <s v="Sunday"/>
    <s v="September"/>
    <s v="2023"/>
    <d v="2023-09-17T00:00:00"/>
    <s v="CUST172"/>
    <x v="0"/>
    <x v="0"/>
    <n v="32"/>
    <x v="0"/>
    <n v="2"/>
    <n v="25"/>
    <n v="50"/>
    <n v="0.75"/>
    <n v="1"/>
  </r>
  <r>
    <n v="173"/>
    <n v="8"/>
    <n v="11"/>
    <n v="2023"/>
    <s v="Wednesday"/>
    <s v="November"/>
    <s v="2023"/>
    <d v="2023-11-08T00:00:00"/>
    <s v="CUST173"/>
    <x v="0"/>
    <x v="2"/>
    <n v="64"/>
    <x v="0"/>
    <n v="4"/>
    <n v="30"/>
    <n v="120"/>
    <n v="1.7999999999999998"/>
    <n v="2.4"/>
  </r>
  <r>
    <n v="174"/>
    <n v="12"/>
    <n v="4"/>
    <n v="2023"/>
    <s v="Wednesday"/>
    <s v="April"/>
    <s v="2023"/>
    <d v="2023-04-12T00:00:00"/>
    <s v="CUST174"/>
    <x v="1"/>
    <x v="0"/>
    <n v="39"/>
    <x v="0"/>
    <n v="1"/>
    <n v="300"/>
    <n v="300"/>
    <n v="4.5"/>
    <n v="6"/>
  </r>
  <r>
    <n v="175"/>
    <n v="20"/>
    <n v="3"/>
    <n v="2023"/>
    <s v="Monday"/>
    <s v="March"/>
    <s v="2023"/>
    <d v="2023-03-20T00:00:00"/>
    <s v="CUST175"/>
    <x v="1"/>
    <x v="0"/>
    <n v="31"/>
    <x v="0"/>
    <n v="4"/>
    <n v="25"/>
    <n v="100"/>
    <n v="1.5"/>
    <n v="2"/>
  </r>
  <r>
    <n v="176"/>
    <n v="11"/>
    <n v="7"/>
    <n v="2023"/>
    <s v="Tuesday"/>
    <s v="July"/>
    <s v="2023"/>
    <d v="2023-07-11T00:00:00"/>
    <s v="CUST176"/>
    <x v="1"/>
    <x v="0"/>
    <n v="43"/>
    <x v="0"/>
    <n v="2"/>
    <n v="50"/>
    <n v="100"/>
    <n v="1.5"/>
    <n v="2"/>
  </r>
  <r>
    <n v="177"/>
    <n v="24"/>
    <n v="3"/>
    <n v="2023"/>
    <s v="Friday"/>
    <s v="March"/>
    <s v="2023"/>
    <d v="2023-03-24T00:00:00"/>
    <s v="CUST177"/>
    <x v="0"/>
    <x v="0"/>
    <n v="45"/>
    <x v="0"/>
    <n v="2"/>
    <n v="50"/>
    <n v="100"/>
    <n v="1.5"/>
    <n v="2"/>
  </r>
  <r>
    <n v="178"/>
    <n v="4"/>
    <n v="10"/>
    <n v="2023"/>
    <s v="Wednesday"/>
    <s v="October"/>
    <s v="2023"/>
    <d v="2023-10-04T00:00:00"/>
    <s v="CUST178"/>
    <x v="0"/>
    <x v="0"/>
    <n v="40"/>
    <x v="0"/>
    <n v="2"/>
    <n v="30"/>
    <n v="60"/>
    <n v="0.89999999999999991"/>
    <n v="1.2"/>
  </r>
  <r>
    <n v="179"/>
    <n v="29"/>
    <n v="9"/>
    <n v="2023"/>
    <s v="Friday"/>
    <s v="September"/>
    <s v="2023"/>
    <d v="2023-09-29T00:00:00"/>
    <s v="CUST179"/>
    <x v="0"/>
    <x v="0"/>
    <n v="31"/>
    <x v="0"/>
    <n v="1"/>
    <n v="300"/>
    <n v="300"/>
    <n v="4.5"/>
    <n v="6"/>
  </r>
  <r>
    <n v="180"/>
    <n v="1"/>
    <n v="1"/>
    <n v="2023"/>
    <s v="Sunday"/>
    <s v="January"/>
    <s v="2023"/>
    <d v="2023-01-01T00:00:00"/>
    <s v="CUST180"/>
    <x v="0"/>
    <x v="0"/>
    <n v="41"/>
    <x v="0"/>
    <n v="3"/>
    <n v="300"/>
    <n v="900"/>
    <n v="13.5"/>
    <n v="18"/>
  </r>
  <r>
    <n v="181"/>
    <n v="3"/>
    <n v="11"/>
    <n v="2023"/>
    <s v="Friday"/>
    <s v="November"/>
    <s v="2023"/>
    <d v="2023-11-03T00:00:00"/>
    <s v="CUST181"/>
    <x v="0"/>
    <x v="1"/>
    <n v="19"/>
    <x v="0"/>
    <n v="4"/>
    <n v="300"/>
    <n v="1200"/>
    <n v="18"/>
    <n v="24"/>
  </r>
  <r>
    <n v="182"/>
    <n v="15"/>
    <n v="6"/>
    <n v="2023"/>
    <s v="Thursday"/>
    <s v="June"/>
    <s v="2023"/>
    <d v="2023-06-15T00:00:00"/>
    <s v="CUST182"/>
    <x v="0"/>
    <x v="2"/>
    <n v="62"/>
    <x v="0"/>
    <n v="4"/>
    <n v="30"/>
    <n v="120"/>
    <n v="1.7999999999999998"/>
    <n v="2.4"/>
  </r>
  <r>
    <n v="183"/>
    <n v="8"/>
    <n v="9"/>
    <n v="2023"/>
    <s v="Friday"/>
    <s v="September"/>
    <s v="2023"/>
    <d v="2023-09-08T00:00:00"/>
    <s v="CUST183"/>
    <x v="1"/>
    <x v="0"/>
    <n v="43"/>
    <x v="0"/>
    <n v="3"/>
    <n v="300"/>
    <n v="900"/>
    <n v="13.5"/>
    <n v="18"/>
  </r>
  <r>
    <n v="184"/>
    <n v="10"/>
    <n v="1"/>
    <n v="2023"/>
    <s v="Tuesday"/>
    <s v="January"/>
    <s v="2023"/>
    <d v="2023-01-10T00:00:00"/>
    <s v="CUST184"/>
    <x v="0"/>
    <x v="0"/>
    <n v="31"/>
    <x v="0"/>
    <n v="4"/>
    <n v="50"/>
    <n v="200"/>
    <n v="3"/>
    <n v="4"/>
  </r>
  <r>
    <n v="185"/>
    <n v="27"/>
    <n v="2"/>
    <n v="2023"/>
    <s v="Monday"/>
    <s v="February"/>
    <s v="2023"/>
    <d v="2023-02-27T00:00:00"/>
    <s v="CUST185"/>
    <x v="0"/>
    <x v="1"/>
    <n v="24"/>
    <x v="0"/>
    <n v="1"/>
    <n v="25"/>
    <n v="25"/>
    <n v="0.375"/>
    <n v="0.5"/>
  </r>
  <r>
    <n v="186"/>
    <n v="5"/>
    <n v="7"/>
    <n v="2023"/>
    <s v="Wednesday"/>
    <s v="July"/>
    <s v="2023"/>
    <d v="2023-07-05T00:00:00"/>
    <s v="CUST186"/>
    <x v="0"/>
    <x v="1"/>
    <n v="20"/>
    <x v="0"/>
    <n v="4"/>
    <n v="50"/>
    <n v="200"/>
    <n v="3"/>
    <n v="4"/>
  </r>
  <r>
    <n v="187"/>
    <n v="7"/>
    <n v="6"/>
    <n v="2023"/>
    <s v="Wednesday"/>
    <s v="June"/>
    <s v="2023"/>
    <d v="2023-06-07T00:00:00"/>
    <s v="CUST187"/>
    <x v="1"/>
    <x v="2"/>
    <n v="64"/>
    <x v="0"/>
    <n v="2"/>
    <n v="50"/>
    <n v="100"/>
    <n v="1.5"/>
    <n v="2"/>
  </r>
  <r>
    <n v="188"/>
    <n v="3"/>
    <n v="5"/>
    <n v="2023"/>
    <s v="Wednesday"/>
    <s v="May"/>
    <s v="2023"/>
    <d v="2023-05-03T00:00:00"/>
    <s v="CUST188"/>
    <x v="0"/>
    <x v="0"/>
    <n v="40"/>
    <x v="0"/>
    <n v="3"/>
    <n v="25"/>
    <n v="75"/>
    <n v="1.125"/>
    <n v="1.5"/>
  </r>
  <r>
    <n v="189"/>
    <n v="30"/>
    <n v="1"/>
    <n v="2023"/>
    <s v="Monday"/>
    <s v="January"/>
    <s v="2023"/>
    <d v="2023-01-30T00:00:00"/>
    <s v="CUST189"/>
    <x v="0"/>
    <x v="2"/>
    <n v="63"/>
    <x v="0"/>
    <n v="1"/>
    <n v="50"/>
    <n v="50"/>
    <n v="0.75"/>
    <n v="1"/>
  </r>
  <r>
    <n v="190"/>
    <n v="4"/>
    <n v="5"/>
    <n v="2023"/>
    <s v="Thursday"/>
    <s v="May"/>
    <s v="2023"/>
    <d v="2023-05-04T00:00:00"/>
    <s v="CUST190"/>
    <x v="1"/>
    <x v="2"/>
    <n v="60"/>
    <x v="0"/>
    <n v="3"/>
    <n v="30"/>
    <n v="90"/>
    <n v="1.3499999999999999"/>
    <n v="1.8"/>
  </r>
  <r>
    <n v="191"/>
    <n v="18"/>
    <n v="10"/>
    <n v="2023"/>
    <s v="Wednesday"/>
    <s v="October"/>
    <s v="2023"/>
    <d v="2023-10-18T00:00:00"/>
    <s v="CUST191"/>
    <x v="0"/>
    <x v="2"/>
    <n v="64"/>
    <x v="0"/>
    <n v="1"/>
    <n v="25"/>
    <n v="25"/>
    <n v="0.375"/>
    <n v="0.5"/>
  </r>
  <r>
    <n v="192"/>
    <n v="10"/>
    <n v="2"/>
    <n v="2023"/>
    <s v="Friday"/>
    <s v="February"/>
    <s v="2023"/>
    <d v="2023-02-10T00:00:00"/>
    <s v="CUST192"/>
    <x v="0"/>
    <x v="2"/>
    <n v="62"/>
    <x v="0"/>
    <n v="2"/>
    <n v="50"/>
    <n v="100"/>
    <n v="1.5"/>
    <n v="2"/>
  </r>
  <r>
    <n v="193"/>
    <n v="13"/>
    <n v="2"/>
    <n v="2023"/>
    <s v="Monday"/>
    <s v="February"/>
    <s v="2023"/>
    <d v="2023-02-13T00:00:00"/>
    <s v="CUST193"/>
    <x v="0"/>
    <x v="0"/>
    <n v="35"/>
    <x v="0"/>
    <n v="3"/>
    <n v="500"/>
    <n v="1500"/>
    <n v="22.5"/>
    <n v="30"/>
  </r>
  <r>
    <n v="194"/>
    <n v="6"/>
    <n v="9"/>
    <n v="2023"/>
    <s v="Wednesday"/>
    <s v="September"/>
    <s v="2023"/>
    <d v="2023-09-06T00:00:00"/>
    <s v="CUST194"/>
    <x v="0"/>
    <x v="2"/>
    <n v="55"/>
    <x v="0"/>
    <n v="4"/>
    <n v="50"/>
    <n v="200"/>
    <n v="3"/>
    <n v="4"/>
  </r>
  <r>
    <n v="195"/>
    <n v="5"/>
    <n v="2"/>
    <n v="2023"/>
    <s v="Sunday"/>
    <s v="February"/>
    <s v="2023"/>
    <d v="2023-02-05T00:00:00"/>
    <s v="CUST195"/>
    <x v="0"/>
    <x v="2"/>
    <n v="52"/>
    <x v="0"/>
    <n v="1"/>
    <n v="30"/>
    <n v="30"/>
    <n v="0.44999999999999996"/>
    <n v="0.6"/>
  </r>
  <r>
    <n v="196"/>
    <n v="30"/>
    <n v="9"/>
    <n v="2023"/>
    <s v="Saturday"/>
    <s v="September"/>
    <s v="2023"/>
    <d v="2023-09-30T00:00:00"/>
    <s v="CUST196"/>
    <x v="1"/>
    <x v="0"/>
    <n v="32"/>
    <x v="0"/>
    <n v="3"/>
    <n v="300"/>
    <n v="900"/>
    <n v="13.5"/>
    <n v="18"/>
  </r>
  <r>
    <n v="197"/>
    <n v="6"/>
    <n v="3"/>
    <n v="2023"/>
    <s v="Monday"/>
    <s v="March"/>
    <s v="2023"/>
    <d v="2023-03-06T00:00:00"/>
    <s v="CUST197"/>
    <x v="1"/>
    <x v="0"/>
    <n v="42"/>
    <x v="0"/>
    <n v="4"/>
    <n v="50"/>
    <n v="200"/>
    <n v="3"/>
    <n v="4"/>
  </r>
  <r>
    <n v="198"/>
    <n v="7"/>
    <n v="3"/>
    <n v="2023"/>
    <s v="Tuesday"/>
    <s v="March"/>
    <s v="2023"/>
    <d v="2023-03-07T00:00:00"/>
    <s v="CUST198"/>
    <x v="1"/>
    <x v="2"/>
    <n v="54"/>
    <x v="0"/>
    <n v="3"/>
    <n v="300"/>
    <n v="900"/>
    <n v="13.5"/>
    <n v="18"/>
  </r>
  <r>
    <n v="199"/>
    <n v="4"/>
    <n v="12"/>
    <n v="2023"/>
    <s v="Monday"/>
    <s v="December"/>
    <s v="2023"/>
    <d v="2023-12-04T00:00:00"/>
    <s v="CUST199"/>
    <x v="0"/>
    <x v="0"/>
    <n v="45"/>
    <x v="0"/>
    <n v="3"/>
    <n v="500"/>
    <n v="1500"/>
    <n v="22.5"/>
    <n v="30"/>
  </r>
  <r>
    <n v="200"/>
    <n v="1"/>
    <n v="9"/>
    <n v="2023"/>
    <s v="Friday"/>
    <s v="September"/>
    <s v="2023"/>
    <d v="2023-09-01T00:00:00"/>
    <s v="CUST200"/>
    <x v="0"/>
    <x v="1"/>
    <n v="27"/>
    <x v="0"/>
    <n v="3"/>
    <n v="50"/>
    <n v="150"/>
    <n v="2.25"/>
    <n v="3"/>
  </r>
  <r>
    <n v="201"/>
    <n v="9"/>
    <n v="10"/>
    <n v="2023"/>
    <s v="Monday"/>
    <s v="October"/>
    <s v="2023"/>
    <d v="2023-10-09T00:00:00"/>
    <s v="CUST201"/>
    <x v="0"/>
    <x v="2"/>
    <n v="56"/>
    <x v="0"/>
    <n v="1"/>
    <n v="25"/>
    <n v="25"/>
    <n v="0.375"/>
    <n v="0.5"/>
  </r>
  <r>
    <n v="202"/>
    <n v="26"/>
    <n v="3"/>
    <n v="2023"/>
    <s v="Sunday"/>
    <s v="March"/>
    <s v="2023"/>
    <d v="2023-03-26T00:00:00"/>
    <s v="CUST202"/>
    <x v="1"/>
    <x v="0"/>
    <n v="34"/>
    <x v="0"/>
    <n v="4"/>
    <n v="300"/>
    <n v="1200"/>
    <n v="18"/>
    <n v="24"/>
  </r>
  <r>
    <n v="203"/>
    <n v="16"/>
    <n v="5"/>
    <n v="2023"/>
    <s v="Tuesday"/>
    <s v="May"/>
    <s v="2023"/>
    <d v="2023-05-16T00:00:00"/>
    <s v="CUST203"/>
    <x v="0"/>
    <x v="2"/>
    <n v="56"/>
    <x v="0"/>
    <n v="2"/>
    <n v="500"/>
    <n v="1000"/>
    <n v="15"/>
    <n v="20"/>
  </r>
  <r>
    <n v="204"/>
    <n v="28"/>
    <n v="9"/>
    <n v="2023"/>
    <s v="Thursday"/>
    <s v="September"/>
    <s v="2023"/>
    <d v="2023-09-28T00:00:00"/>
    <s v="CUST204"/>
    <x v="0"/>
    <x v="0"/>
    <n v="39"/>
    <x v="0"/>
    <n v="1"/>
    <n v="25"/>
    <n v="25"/>
    <n v="0.375"/>
    <n v="0.5"/>
  </r>
  <r>
    <n v="205"/>
    <n v="7"/>
    <n v="11"/>
    <n v="2023"/>
    <s v="Tuesday"/>
    <s v="November"/>
    <s v="2023"/>
    <d v="2023-11-07T00:00:00"/>
    <s v="CUST205"/>
    <x v="1"/>
    <x v="0"/>
    <n v="43"/>
    <x v="0"/>
    <n v="1"/>
    <n v="25"/>
    <n v="25"/>
    <n v="0.375"/>
    <n v="0.5"/>
  </r>
  <r>
    <n v="206"/>
    <n v="5"/>
    <n v="8"/>
    <n v="2023"/>
    <s v="Saturday"/>
    <s v="August"/>
    <s v="2023"/>
    <d v="2023-08-05T00:00:00"/>
    <s v="CUST206"/>
    <x v="0"/>
    <x v="2"/>
    <n v="61"/>
    <x v="0"/>
    <n v="1"/>
    <n v="25"/>
    <n v="25"/>
    <n v="0.375"/>
    <n v="0.5"/>
  </r>
  <r>
    <n v="207"/>
    <n v="19"/>
    <n v="4"/>
    <n v="2023"/>
    <s v="Wednesday"/>
    <s v="April"/>
    <s v="2023"/>
    <d v="2023-04-19T00:00:00"/>
    <s v="CUST207"/>
    <x v="1"/>
    <x v="0"/>
    <n v="42"/>
    <x v="0"/>
    <n v="2"/>
    <n v="25"/>
    <n v="50"/>
    <n v="0.75"/>
    <n v="1"/>
  </r>
  <r>
    <n v="208"/>
    <n v="4"/>
    <n v="10"/>
    <n v="2023"/>
    <s v="Wednesday"/>
    <s v="October"/>
    <s v="2023"/>
    <d v="2023-10-04T00:00:00"/>
    <s v="CUST208"/>
    <x v="1"/>
    <x v="0"/>
    <n v="34"/>
    <x v="0"/>
    <n v="4"/>
    <n v="50"/>
    <n v="200"/>
    <n v="3"/>
    <n v="4"/>
  </r>
  <r>
    <n v="209"/>
    <n v="20"/>
    <n v="12"/>
    <n v="2023"/>
    <s v="Wednesday"/>
    <s v="December"/>
    <s v="2023"/>
    <d v="2023-12-20T00:00:00"/>
    <s v="CUST209"/>
    <x v="1"/>
    <x v="0"/>
    <n v="30"/>
    <x v="0"/>
    <n v="4"/>
    <n v="50"/>
    <n v="200"/>
    <n v="3"/>
    <n v="4"/>
  </r>
  <r>
    <n v="210"/>
    <n v="13"/>
    <n v="4"/>
    <n v="2023"/>
    <s v="Thursday"/>
    <s v="April"/>
    <s v="2023"/>
    <d v="2023-04-13T00:00:00"/>
    <s v="CUST210"/>
    <x v="0"/>
    <x v="0"/>
    <n v="37"/>
    <x v="0"/>
    <n v="4"/>
    <n v="50"/>
    <n v="200"/>
    <n v="3"/>
    <n v="4"/>
  </r>
  <r>
    <n v="211"/>
    <n v="1"/>
    <n v="1"/>
    <n v="2024"/>
    <s v="Monday"/>
    <s v="January"/>
    <s v="2024"/>
    <d v="2024-01-01T00:00:00"/>
    <s v="CUST211"/>
    <x v="0"/>
    <x v="0"/>
    <n v="42"/>
    <x v="0"/>
    <n v="3"/>
    <n v="500"/>
    <n v="1500"/>
    <n v="22.5"/>
    <n v="30"/>
  </r>
  <r>
    <n v="212"/>
    <n v="9"/>
    <n v="6"/>
    <n v="2023"/>
    <s v="Friday"/>
    <s v="June"/>
    <s v="2023"/>
    <d v="2023-06-09T00:00:00"/>
    <s v="CUST212"/>
    <x v="0"/>
    <x v="1"/>
    <n v="21"/>
    <x v="0"/>
    <n v="3"/>
    <n v="500"/>
    <n v="1500"/>
    <n v="22.5"/>
    <n v="30"/>
  </r>
  <r>
    <n v="213"/>
    <n v="24"/>
    <n v="7"/>
    <n v="2023"/>
    <s v="Monday"/>
    <s v="July"/>
    <s v="2023"/>
    <d v="2023-07-24T00:00:00"/>
    <s v="CUST213"/>
    <x v="0"/>
    <x v="1"/>
    <n v="27"/>
    <x v="0"/>
    <n v="3"/>
    <n v="500"/>
    <n v="1500"/>
    <n v="22.5"/>
    <n v="30"/>
  </r>
  <r>
    <n v="214"/>
    <n v="10"/>
    <n v="12"/>
    <n v="2023"/>
    <s v="Sunday"/>
    <s v="December"/>
    <s v="2023"/>
    <d v="2023-12-10T00:00:00"/>
    <s v="CUST214"/>
    <x v="0"/>
    <x v="1"/>
    <n v="20"/>
    <x v="0"/>
    <n v="2"/>
    <n v="30"/>
    <n v="60"/>
    <n v="0.89999999999999991"/>
    <n v="1.2"/>
  </r>
  <r>
    <n v="215"/>
    <n v="29"/>
    <n v="11"/>
    <n v="2023"/>
    <s v="Wednesday"/>
    <s v="November"/>
    <s v="2023"/>
    <d v="2023-11-29T00:00:00"/>
    <s v="CUST215"/>
    <x v="0"/>
    <x v="2"/>
    <n v="58"/>
    <x v="0"/>
    <n v="3"/>
    <n v="500"/>
    <n v="1500"/>
    <n v="22.5"/>
    <n v="30"/>
  </r>
  <r>
    <n v="216"/>
    <n v="11"/>
    <n v="7"/>
    <n v="2023"/>
    <s v="Tuesday"/>
    <s v="July"/>
    <s v="2023"/>
    <d v="2023-07-11T00:00:00"/>
    <s v="CUST216"/>
    <x v="0"/>
    <x v="2"/>
    <n v="62"/>
    <x v="0"/>
    <n v="2"/>
    <n v="50"/>
    <n v="100"/>
    <n v="1.5"/>
    <n v="2"/>
  </r>
  <r>
    <n v="217"/>
    <n v="13"/>
    <n v="8"/>
    <n v="2023"/>
    <s v="Sunday"/>
    <s v="August"/>
    <s v="2023"/>
    <d v="2023-08-13T00:00:00"/>
    <s v="CUST217"/>
    <x v="1"/>
    <x v="0"/>
    <n v="35"/>
    <x v="0"/>
    <n v="4"/>
    <n v="50"/>
    <n v="200"/>
    <n v="3"/>
    <n v="4"/>
  </r>
  <r>
    <n v="218"/>
    <n v="22"/>
    <n v="9"/>
    <n v="2023"/>
    <s v="Friday"/>
    <s v="September"/>
    <s v="2023"/>
    <d v="2023-09-22T00:00:00"/>
    <s v="CUST218"/>
    <x v="0"/>
    <x v="2"/>
    <n v="64"/>
    <x v="0"/>
    <n v="3"/>
    <n v="30"/>
    <n v="90"/>
    <n v="1.3499999999999999"/>
    <n v="1.8"/>
  </r>
  <r>
    <n v="219"/>
    <n v="20"/>
    <n v="8"/>
    <n v="2023"/>
    <s v="Sunday"/>
    <s v="August"/>
    <s v="2023"/>
    <d v="2023-08-20T00:00:00"/>
    <s v="CUST219"/>
    <x v="1"/>
    <x v="2"/>
    <n v="53"/>
    <x v="0"/>
    <n v="3"/>
    <n v="30"/>
    <n v="90"/>
    <n v="1.3499999999999999"/>
    <n v="1.8"/>
  </r>
  <r>
    <n v="220"/>
    <n v="3"/>
    <n v="3"/>
    <n v="2023"/>
    <s v="Friday"/>
    <s v="March"/>
    <s v="2023"/>
    <d v="2023-03-03T00:00:00"/>
    <s v="CUST220"/>
    <x v="0"/>
    <x v="2"/>
    <n v="64"/>
    <x v="0"/>
    <n v="1"/>
    <n v="500"/>
    <n v="500"/>
    <n v="7.5"/>
    <n v="10"/>
  </r>
  <r>
    <n v="221"/>
    <n v="7"/>
    <n v="5"/>
    <n v="2023"/>
    <s v="Sunday"/>
    <s v="May"/>
    <s v="2023"/>
    <d v="2023-05-07T00:00:00"/>
    <s v="CUST221"/>
    <x v="0"/>
    <x v="0"/>
    <n v="39"/>
    <x v="0"/>
    <n v="2"/>
    <n v="300"/>
    <n v="600"/>
    <n v="9"/>
    <n v="12"/>
  </r>
  <r>
    <n v="222"/>
    <n v="26"/>
    <n v="4"/>
    <n v="2023"/>
    <s v="Wednesday"/>
    <s v="April"/>
    <s v="2023"/>
    <d v="2023-04-26T00:00:00"/>
    <s v="CUST222"/>
    <x v="0"/>
    <x v="2"/>
    <n v="51"/>
    <x v="0"/>
    <n v="4"/>
    <n v="30"/>
    <n v="120"/>
    <n v="1.7999999999999998"/>
    <n v="2.4"/>
  </r>
  <r>
    <n v="223"/>
    <n v="2"/>
    <n v="2"/>
    <n v="2023"/>
    <s v="Thursday"/>
    <s v="February"/>
    <s v="2023"/>
    <d v="2023-02-02T00:00:00"/>
    <s v="CUST223"/>
    <x v="1"/>
    <x v="2"/>
    <n v="64"/>
    <x v="0"/>
    <n v="1"/>
    <n v="25"/>
    <n v="25"/>
    <n v="0.375"/>
    <n v="0.5"/>
  </r>
  <r>
    <n v="224"/>
    <n v="23"/>
    <n v="6"/>
    <n v="2023"/>
    <s v="Friday"/>
    <s v="June"/>
    <s v="2023"/>
    <d v="2023-06-23T00:00:00"/>
    <s v="CUST224"/>
    <x v="1"/>
    <x v="1"/>
    <n v="25"/>
    <x v="0"/>
    <n v="1"/>
    <n v="50"/>
    <n v="50"/>
    <n v="0.75"/>
    <n v="1"/>
  </r>
  <r>
    <n v="225"/>
    <n v="11"/>
    <n v="1"/>
    <n v="2023"/>
    <s v="Wednesday"/>
    <s v="January"/>
    <s v="2023"/>
    <d v="2023-01-11T00:00:00"/>
    <s v="CUST225"/>
    <x v="1"/>
    <x v="2"/>
    <n v="57"/>
    <x v="0"/>
    <n v="4"/>
    <n v="25"/>
    <n v="100"/>
    <n v="1.5"/>
    <n v="2"/>
  </r>
  <r>
    <n v="226"/>
    <n v="29"/>
    <n v="10"/>
    <n v="2023"/>
    <s v="Sunday"/>
    <s v="October"/>
    <s v="2023"/>
    <d v="2023-10-29T00:00:00"/>
    <s v="CUST226"/>
    <x v="1"/>
    <x v="2"/>
    <n v="61"/>
    <x v="0"/>
    <n v="1"/>
    <n v="50"/>
    <n v="50"/>
    <n v="0.75"/>
    <n v="1"/>
  </r>
  <r>
    <n v="227"/>
    <n v="11"/>
    <n v="10"/>
    <n v="2023"/>
    <s v="Wednesday"/>
    <s v="October"/>
    <s v="2023"/>
    <d v="2023-10-11T00:00:00"/>
    <s v="CUST227"/>
    <x v="0"/>
    <x v="0"/>
    <n v="36"/>
    <x v="0"/>
    <n v="2"/>
    <n v="50"/>
    <n v="100"/>
    <n v="1.5"/>
    <n v="2"/>
  </r>
  <r>
    <n v="228"/>
    <n v="28"/>
    <n v="4"/>
    <n v="2023"/>
    <s v="Friday"/>
    <s v="April"/>
    <s v="2023"/>
    <d v="2023-04-28T00:00:00"/>
    <s v="CUST228"/>
    <x v="1"/>
    <x v="2"/>
    <n v="59"/>
    <x v="0"/>
    <n v="2"/>
    <n v="30"/>
    <n v="60"/>
    <n v="0.89999999999999991"/>
    <n v="1.2"/>
  </r>
  <r>
    <n v="229"/>
    <n v="29"/>
    <n v="10"/>
    <n v="2023"/>
    <s v="Sunday"/>
    <s v="October"/>
    <s v="2023"/>
    <d v="2023-10-29T00:00:00"/>
    <s v="CUST229"/>
    <x v="0"/>
    <x v="2"/>
    <n v="58"/>
    <x v="0"/>
    <n v="3"/>
    <n v="30"/>
    <n v="90"/>
    <n v="1.3499999999999999"/>
    <n v="1.8"/>
  </r>
  <r>
    <n v="230"/>
    <n v="23"/>
    <n v="4"/>
    <n v="2023"/>
    <s v="Sunday"/>
    <s v="April"/>
    <s v="2023"/>
    <d v="2023-04-23T00:00:00"/>
    <s v="CUST230"/>
    <x v="0"/>
    <x v="2"/>
    <n v="54"/>
    <x v="0"/>
    <n v="1"/>
    <n v="25"/>
    <n v="25"/>
    <n v="0.375"/>
    <n v="0.5"/>
  </r>
  <r>
    <n v="231"/>
    <n v="4"/>
    <n v="1"/>
    <n v="2023"/>
    <s v="Wednesday"/>
    <s v="January"/>
    <s v="2023"/>
    <d v="2023-01-04T00:00:00"/>
    <s v="CUST231"/>
    <x v="1"/>
    <x v="1"/>
    <n v="23"/>
    <x v="0"/>
    <n v="3"/>
    <n v="50"/>
    <n v="150"/>
    <n v="2.25"/>
    <n v="3"/>
  </r>
  <r>
    <n v="232"/>
    <n v="6"/>
    <n v="2"/>
    <n v="2023"/>
    <s v="Monday"/>
    <s v="February"/>
    <s v="2023"/>
    <d v="2023-02-06T00:00:00"/>
    <s v="CUST232"/>
    <x v="1"/>
    <x v="0"/>
    <n v="43"/>
    <x v="0"/>
    <n v="1"/>
    <n v="25"/>
    <n v="25"/>
    <n v="0.375"/>
    <n v="0.5"/>
  </r>
  <r>
    <n v="233"/>
    <n v="29"/>
    <n v="12"/>
    <n v="2023"/>
    <s v="Friday"/>
    <s v="December"/>
    <s v="2023"/>
    <d v="2023-12-29T00:00:00"/>
    <s v="CUST233"/>
    <x v="1"/>
    <x v="2"/>
    <n v="51"/>
    <x v="0"/>
    <n v="2"/>
    <n v="300"/>
    <n v="600"/>
    <n v="9"/>
    <n v="12"/>
  </r>
  <r>
    <n v="234"/>
    <n v="20"/>
    <n v="11"/>
    <n v="2023"/>
    <s v="Monday"/>
    <s v="November"/>
    <s v="2023"/>
    <d v="2023-11-20T00:00:00"/>
    <s v="CUST234"/>
    <x v="1"/>
    <x v="2"/>
    <n v="62"/>
    <x v="0"/>
    <n v="2"/>
    <n v="25"/>
    <n v="50"/>
    <n v="0.75"/>
    <n v="1"/>
  </r>
  <r>
    <n v="235"/>
    <n v="31"/>
    <n v="1"/>
    <n v="2023"/>
    <s v="Tuesday"/>
    <s v="January"/>
    <s v="2023"/>
    <d v="2023-01-31T00:00:00"/>
    <s v="CUST235"/>
    <x v="1"/>
    <x v="1"/>
    <n v="23"/>
    <x v="0"/>
    <n v="2"/>
    <n v="500"/>
    <n v="1000"/>
    <n v="15"/>
    <n v="20"/>
  </r>
  <r>
    <n v="236"/>
    <n v="28"/>
    <n v="4"/>
    <n v="2023"/>
    <s v="Friday"/>
    <s v="April"/>
    <s v="2023"/>
    <d v="2023-04-28T00:00:00"/>
    <s v="CUST236"/>
    <x v="1"/>
    <x v="2"/>
    <n v="54"/>
    <x v="0"/>
    <n v="1"/>
    <n v="25"/>
    <n v="25"/>
    <n v="0.375"/>
    <n v="0.5"/>
  </r>
  <r>
    <n v="237"/>
    <n v="4"/>
    <n v="2"/>
    <n v="2023"/>
    <s v="Saturday"/>
    <s v="February"/>
    <s v="2023"/>
    <d v="2023-02-04T00:00:00"/>
    <s v="CUST237"/>
    <x v="1"/>
    <x v="0"/>
    <n v="50"/>
    <x v="0"/>
    <n v="2"/>
    <n v="500"/>
    <n v="1000"/>
    <n v="15"/>
    <n v="20"/>
  </r>
  <r>
    <n v="238"/>
    <n v="17"/>
    <n v="1"/>
    <n v="2023"/>
    <s v="Tuesday"/>
    <s v="January"/>
    <s v="2023"/>
    <d v="2023-01-17T00:00:00"/>
    <s v="CUST238"/>
    <x v="1"/>
    <x v="0"/>
    <n v="39"/>
    <x v="0"/>
    <n v="1"/>
    <n v="500"/>
    <n v="500"/>
    <n v="7.5"/>
    <n v="10"/>
  </r>
  <r>
    <n v="239"/>
    <n v="19"/>
    <n v="6"/>
    <n v="2023"/>
    <s v="Monday"/>
    <s v="June"/>
    <s v="2023"/>
    <d v="2023-06-19T00:00:00"/>
    <s v="CUST239"/>
    <x v="0"/>
    <x v="0"/>
    <n v="38"/>
    <x v="0"/>
    <n v="3"/>
    <n v="500"/>
    <n v="1500"/>
    <n v="22.5"/>
    <n v="30"/>
  </r>
  <r>
    <n v="240"/>
    <n v="6"/>
    <n v="2"/>
    <n v="2023"/>
    <s v="Monday"/>
    <s v="February"/>
    <s v="2023"/>
    <d v="2023-02-06T00:00:00"/>
    <s v="CUST240"/>
    <x v="1"/>
    <x v="1"/>
    <n v="23"/>
    <x v="0"/>
    <n v="1"/>
    <n v="300"/>
    <n v="300"/>
    <n v="4.5"/>
    <n v="6"/>
  </r>
  <r>
    <n v="241"/>
    <n v="21"/>
    <n v="9"/>
    <n v="2023"/>
    <s v="Thursday"/>
    <s v="September"/>
    <s v="2023"/>
    <d v="2023-09-21T00:00:00"/>
    <s v="CUST241"/>
    <x v="1"/>
    <x v="1"/>
    <n v="23"/>
    <x v="0"/>
    <n v="3"/>
    <n v="25"/>
    <n v="75"/>
    <n v="1.125"/>
    <n v="1.5"/>
  </r>
  <r>
    <n v="242"/>
    <n v="2"/>
    <n v="5"/>
    <n v="2023"/>
    <s v="Tuesday"/>
    <s v="May"/>
    <s v="2023"/>
    <d v="2023-05-02T00:00:00"/>
    <s v="CUST242"/>
    <x v="0"/>
    <x v="1"/>
    <n v="21"/>
    <x v="0"/>
    <n v="1"/>
    <n v="25"/>
    <n v="25"/>
    <n v="0.375"/>
    <n v="0.5"/>
  </r>
  <r>
    <n v="243"/>
    <n v="23"/>
    <n v="5"/>
    <n v="2023"/>
    <s v="Tuesday"/>
    <s v="May"/>
    <s v="2023"/>
    <d v="2023-05-23T00:00:00"/>
    <s v="CUST243"/>
    <x v="1"/>
    <x v="0"/>
    <n v="47"/>
    <x v="0"/>
    <n v="3"/>
    <n v="300"/>
    <n v="900"/>
    <n v="13.5"/>
    <n v="18"/>
  </r>
  <r>
    <n v="244"/>
    <n v="9"/>
    <n v="12"/>
    <n v="2023"/>
    <s v="Saturday"/>
    <s v="December"/>
    <s v="2023"/>
    <d v="2023-12-09T00:00:00"/>
    <s v="CUST244"/>
    <x v="0"/>
    <x v="1"/>
    <n v="28"/>
    <x v="0"/>
    <n v="2"/>
    <n v="50"/>
    <n v="100"/>
    <n v="1.5"/>
    <n v="2"/>
  </r>
  <r>
    <n v="245"/>
    <n v="6"/>
    <n v="9"/>
    <n v="2023"/>
    <s v="Wednesday"/>
    <s v="September"/>
    <s v="2023"/>
    <d v="2023-09-06T00:00:00"/>
    <s v="CUST245"/>
    <x v="0"/>
    <x v="0"/>
    <n v="47"/>
    <x v="0"/>
    <n v="3"/>
    <n v="30"/>
    <n v="90"/>
    <n v="1.3499999999999999"/>
    <n v="1.8"/>
  </r>
  <r>
    <n v="246"/>
    <n v="20"/>
    <n v="4"/>
    <n v="2023"/>
    <s v="Thursday"/>
    <s v="April"/>
    <s v="2023"/>
    <d v="2023-04-20T00:00:00"/>
    <s v="CUST246"/>
    <x v="1"/>
    <x v="0"/>
    <n v="48"/>
    <x v="0"/>
    <n v="2"/>
    <n v="25"/>
    <n v="50"/>
    <n v="0.75"/>
    <n v="1"/>
  </r>
  <r>
    <n v="247"/>
    <n v="4"/>
    <n v="10"/>
    <n v="2023"/>
    <s v="Wednesday"/>
    <s v="October"/>
    <s v="2023"/>
    <d v="2023-10-04T00:00:00"/>
    <s v="CUST247"/>
    <x v="0"/>
    <x v="0"/>
    <n v="41"/>
    <x v="0"/>
    <n v="2"/>
    <n v="30"/>
    <n v="60"/>
    <n v="0.89999999999999991"/>
    <n v="1.2"/>
  </r>
  <r>
    <n v="248"/>
    <n v="9"/>
    <n v="3"/>
    <n v="2023"/>
    <s v="Thursday"/>
    <s v="March"/>
    <s v="2023"/>
    <d v="2023-03-09T00:00:00"/>
    <s v="CUST248"/>
    <x v="0"/>
    <x v="1"/>
    <n v="26"/>
    <x v="0"/>
    <n v="3"/>
    <n v="300"/>
    <n v="900"/>
    <n v="13.5"/>
    <n v="18"/>
  </r>
  <r>
    <n v="249"/>
    <n v="20"/>
    <n v="10"/>
    <n v="2023"/>
    <s v="Friday"/>
    <s v="October"/>
    <s v="2023"/>
    <d v="2023-10-20T00:00:00"/>
    <s v="CUST249"/>
    <x v="0"/>
    <x v="1"/>
    <n v="20"/>
    <x v="0"/>
    <n v="1"/>
    <n v="50"/>
    <n v="50"/>
    <n v="0.75"/>
    <n v="1"/>
  </r>
  <r>
    <n v="250"/>
    <n v="23"/>
    <n v="10"/>
    <n v="2023"/>
    <s v="Monday"/>
    <s v="October"/>
    <s v="2023"/>
    <d v="2023-10-23T00:00:00"/>
    <s v="CUST250"/>
    <x v="0"/>
    <x v="0"/>
    <n v="48"/>
    <x v="0"/>
    <n v="1"/>
    <n v="50"/>
    <n v="50"/>
    <n v="0.75"/>
    <n v="1"/>
  </r>
  <r>
    <n v="251"/>
    <n v="31"/>
    <n v="8"/>
    <n v="2023"/>
    <s v="Thursday"/>
    <s v="August"/>
    <s v="2023"/>
    <d v="2023-08-31T00:00:00"/>
    <s v="CUST251"/>
    <x v="1"/>
    <x v="2"/>
    <n v="57"/>
    <x v="0"/>
    <n v="4"/>
    <n v="50"/>
    <n v="200"/>
    <n v="3"/>
    <n v="4"/>
  </r>
  <r>
    <n v="252"/>
    <n v="5"/>
    <n v="5"/>
    <n v="2023"/>
    <s v="Friday"/>
    <s v="May"/>
    <s v="2023"/>
    <d v="2023-05-05T00:00:00"/>
    <s v="CUST252"/>
    <x v="0"/>
    <x v="2"/>
    <n v="54"/>
    <x v="0"/>
    <n v="1"/>
    <n v="300"/>
    <n v="300"/>
    <n v="4.5"/>
    <n v="6"/>
  </r>
  <r>
    <n v="253"/>
    <n v="31"/>
    <n v="8"/>
    <n v="2023"/>
    <s v="Thursday"/>
    <s v="August"/>
    <s v="2023"/>
    <d v="2023-08-31T00:00:00"/>
    <s v="CUST253"/>
    <x v="1"/>
    <x v="2"/>
    <n v="53"/>
    <x v="0"/>
    <n v="4"/>
    <n v="500"/>
    <n v="2000"/>
    <n v="30"/>
    <n v="40"/>
  </r>
  <r>
    <n v="254"/>
    <n v="28"/>
    <n v="7"/>
    <n v="2023"/>
    <s v="Friday"/>
    <s v="July"/>
    <s v="2023"/>
    <d v="2023-07-28T00:00:00"/>
    <s v="CUST254"/>
    <x v="0"/>
    <x v="0"/>
    <n v="41"/>
    <x v="0"/>
    <n v="1"/>
    <n v="500"/>
    <n v="500"/>
    <n v="7.5"/>
    <n v="10"/>
  </r>
  <r>
    <n v="255"/>
    <n v="8"/>
    <n v="4"/>
    <n v="2023"/>
    <s v="Saturday"/>
    <s v="April"/>
    <s v="2023"/>
    <d v="2023-04-08T00:00:00"/>
    <s v="CUST255"/>
    <x v="0"/>
    <x v="0"/>
    <n v="48"/>
    <x v="0"/>
    <n v="1"/>
    <n v="30"/>
    <n v="30"/>
    <n v="0.44999999999999996"/>
    <n v="0.6"/>
  </r>
  <r>
    <n v="256"/>
    <n v="18"/>
    <n v="2"/>
    <n v="2023"/>
    <s v="Saturday"/>
    <s v="February"/>
    <s v="2023"/>
    <d v="2023-02-18T00:00:00"/>
    <s v="CUST256"/>
    <x v="0"/>
    <x v="1"/>
    <n v="23"/>
    <x v="0"/>
    <n v="2"/>
    <n v="500"/>
    <n v="1000"/>
    <n v="15"/>
    <n v="20"/>
  </r>
  <r>
    <n v="257"/>
    <n v="19"/>
    <n v="2"/>
    <n v="2023"/>
    <s v="Sunday"/>
    <s v="February"/>
    <s v="2023"/>
    <d v="2023-02-19T00:00:00"/>
    <s v="CUST257"/>
    <x v="0"/>
    <x v="1"/>
    <n v="19"/>
    <x v="0"/>
    <n v="4"/>
    <n v="500"/>
    <n v="2000"/>
    <n v="30"/>
    <n v="40"/>
  </r>
  <r>
    <n v="258"/>
    <n v="4"/>
    <n v="12"/>
    <n v="2023"/>
    <s v="Monday"/>
    <s v="December"/>
    <s v="2023"/>
    <d v="2023-12-04T00:00:00"/>
    <s v="CUST258"/>
    <x v="1"/>
    <x v="0"/>
    <n v="37"/>
    <x v="0"/>
    <n v="1"/>
    <n v="50"/>
    <n v="50"/>
    <n v="0.75"/>
    <n v="1"/>
  </r>
  <r>
    <n v="259"/>
    <n v="9"/>
    <n v="8"/>
    <n v="2023"/>
    <s v="Wednesday"/>
    <s v="August"/>
    <s v="2023"/>
    <d v="2023-08-09T00:00:00"/>
    <s v="CUST259"/>
    <x v="1"/>
    <x v="0"/>
    <n v="45"/>
    <x v="0"/>
    <n v="4"/>
    <n v="50"/>
    <n v="200"/>
    <n v="3"/>
    <n v="4"/>
  </r>
  <r>
    <n v="260"/>
    <n v="1"/>
    <n v="7"/>
    <n v="2023"/>
    <s v="Saturday"/>
    <s v="July"/>
    <s v="2023"/>
    <d v="2023-07-01T00:00:00"/>
    <s v="CUST260"/>
    <x v="0"/>
    <x v="1"/>
    <n v="28"/>
    <x v="0"/>
    <n v="2"/>
    <n v="30"/>
    <n v="60"/>
    <n v="0.89999999999999991"/>
    <n v="1.2"/>
  </r>
  <r>
    <n v="261"/>
    <n v="5"/>
    <n v="8"/>
    <n v="2023"/>
    <s v="Saturday"/>
    <s v="August"/>
    <s v="2023"/>
    <d v="2023-08-05T00:00:00"/>
    <s v="CUST261"/>
    <x v="0"/>
    <x v="1"/>
    <n v="21"/>
    <x v="0"/>
    <n v="2"/>
    <n v="25"/>
    <n v="50"/>
    <n v="0.75"/>
    <n v="1"/>
  </r>
  <r>
    <n v="262"/>
    <n v="30"/>
    <n v="7"/>
    <n v="2023"/>
    <s v="Sunday"/>
    <s v="July"/>
    <s v="2023"/>
    <d v="2023-07-30T00:00:00"/>
    <s v="CUST262"/>
    <x v="1"/>
    <x v="0"/>
    <n v="32"/>
    <x v="0"/>
    <n v="4"/>
    <n v="30"/>
    <n v="120"/>
    <n v="1.7999999999999998"/>
    <n v="2.4"/>
  </r>
  <r>
    <n v="263"/>
    <n v="28"/>
    <n v="8"/>
    <n v="2023"/>
    <s v="Monday"/>
    <s v="August"/>
    <s v="2023"/>
    <d v="2023-08-28T00:00:00"/>
    <s v="CUST263"/>
    <x v="0"/>
    <x v="1"/>
    <n v="23"/>
    <x v="0"/>
    <n v="2"/>
    <n v="30"/>
    <n v="60"/>
    <n v="0.89999999999999991"/>
    <n v="1.2"/>
  </r>
  <r>
    <n v="264"/>
    <n v="28"/>
    <n v="1"/>
    <n v="2023"/>
    <s v="Saturday"/>
    <s v="January"/>
    <s v="2023"/>
    <d v="2023-01-28T00:00:00"/>
    <s v="CUST264"/>
    <x v="0"/>
    <x v="0"/>
    <n v="47"/>
    <x v="0"/>
    <n v="3"/>
    <n v="300"/>
    <n v="900"/>
    <n v="13.5"/>
    <n v="18"/>
  </r>
  <r>
    <n v="265"/>
    <n v="11"/>
    <n v="12"/>
    <n v="2023"/>
    <s v="Monday"/>
    <s v="December"/>
    <s v="2023"/>
    <d v="2023-12-11T00:00:00"/>
    <s v="CUST265"/>
    <x v="0"/>
    <x v="2"/>
    <n v="55"/>
    <x v="0"/>
    <n v="3"/>
    <n v="300"/>
    <n v="900"/>
    <n v="13.5"/>
    <n v="18"/>
  </r>
  <r>
    <n v="266"/>
    <n v="1"/>
    <n v="12"/>
    <n v="2023"/>
    <s v="Friday"/>
    <s v="December"/>
    <s v="2023"/>
    <d v="2023-12-01T00:00:00"/>
    <s v="CUST266"/>
    <x v="1"/>
    <x v="1"/>
    <n v="19"/>
    <x v="0"/>
    <n v="2"/>
    <n v="30"/>
    <n v="60"/>
    <n v="0.89999999999999991"/>
    <n v="1.2"/>
  </r>
  <r>
    <n v="267"/>
    <n v="27"/>
    <n v="11"/>
    <n v="2023"/>
    <s v="Monday"/>
    <s v="November"/>
    <s v="2023"/>
    <d v="2023-11-27T00:00:00"/>
    <s v="CUST267"/>
    <x v="1"/>
    <x v="0"/>
    <n v="32"/>
    <x v="0"/>
    <n v="3"/>
    <n v="30"/>
    <n v="90"/>
    <n v="1.3499999999999999"/>
    <n v="1.8"/>
  </r>
  <r>
    <n v="268"/>
    <n v="20"/>
    <n v="2"/>
    <n v="2023"/>
    <s v="Monday"/>
    <s v="February"/>
    <s v="2023"/>
    <d v="2023-02-20T00:00:00"/>
    <s v="CUST268"/>
    <x v="1"/>
    <x v="1"/>
    <n v="28"/>
    <x v="0"/>
    <n v="1"/>
    <n v="30"/>
    <n v="30"/>
    <n v="0.44999999999999996"/>
    <n v="0.6"/>
  </r>
  <r>
    <n v="269"/>
    <n v="1"/>
    <n v="2"/>
    <n v="2023"/>
    <s v="Wednesday"/>
    <s v="February"/>
    <s v="2023"/>
    <d v="2023-02-01T00:00:00"/>
    <s v="CUST269"/>
    <x v="0"/>
    <x v="1"/>
    <n v="25"/>
    <x v="0"/>
    <n v="4"/>
    <n v="500"/>
    <n v="2000"/>
    <n v="30"/>
    <n v="40"/>
  </r>
  <r>
    <n v="270"/>
    <n v="26"/>
    <n v="7"/>
    <n v="2023"/>
    <s v="Wednesday"/>
    <s v="July"/>
    <s v="2023"/>
    <d v="2023-07-26T00:00:00"/>
    <s v="CUST270"/>
    <x v="0"/>
    <x v="0"/>
    <n v="43"/>
    <x v="0"/>
    <n v="1"/>
    <n v="300"/>
    <n v="300"/>
    <n v="4.5"/>
    <n v="6"/>
  </r>
  <r>
    <n v="271"/>
    <n v="23"/>
    <n v="6"/>
    <n v="2023"/>
    <s v="Friday"/>
    <s v="June"/>
    <s v="2023"/>
    <d v="2023-06-23T00:00:00"/>
    <s v="CUST271"/>
    <x v="1"/>
    <x v="2"/>
    <n v="62"/>
    <x v="0"/>
    <n v="4"/>
    <n v="30"/>
    <n v="120"/>
    <n v="1.7999999999999998"/>
    <n v="2.4"/>
  </r>
  <r>
    <n v="272"/>
    <n v="25"/>
    <n v="2"/>
    <n v="2023"/>
    <s v="Saturday"/>
    <s v="February"/>
    <s v="2023"/>
    <d v="2023-02-25T00:00:00"/>
    <s v="CUST272"/>
    <x v="1"/>
    <x v="2"/>
    <n v="61"/>
    <x v="0"/>
    <n v="2"/>
    <n v="50"/>
    <n v="100"/>
    <n v="1.5"/>
    <n v="2"/>
  </r>
  <r>
    <n v="273"/>
    <n v="8"/>
    <n v="5"/>
    <n v="2023"/>
    <s v="Monday"/>
    <s v="May"/>
    <s v="2023"/>
    <d v="2023-05-08T00:00:00"/>
    <s v="CUST273"/>
    <x v="1"/>
    <x v="1"/>
    <n v="22"/>
    <x v="0"/>
    <n v="1"/>
    <n v="50"/>
    <n v="50"/>
    <n v="0.75"/>
    <n v="1"/>
  </r>
  <r>
    <n v="274"/>
    <n v="9"/>
    <n v="4"/>
    <n v="2023"/>
    <s v="Sunday"/>
    <s v="April"/>
    <s v="2023"/>
    <d v="2023-04-09T00:00:00"/>
    <s v="CUST274"/>
    <x v="1"/>
    <x v="1"/>
    <n v="23"/>
    <x v="0"/>
    <n v="2"/>
    <n v="500"/>
    <n v="1000"/>
    <n v="15"/>
    <n v="20"/>
  </r>
  <r>
    <n v="275"/>
    <n v="8"/>
    <n v="4"/>
    <n v="2023"/>
    <s v="Saturday"/>
    <s v="April"/>
    <s v="2023"/>
    <d v="2023-04-08T00:00:00"/>
    <s v="CUST275"/>
    <x v="0"/>
    <x v="0"/>
    <n v="43"/>
    <x v="0"/>
    <n v="2"/>
    <n v="500"/>
    <n v="1000"/>
    <n v="15"/>
    <n v="20"/>
  </r>
  <r>
    <n v="276"/>
    <n v="2"/>
    <n v="10"/>
    <n v="2023"/>
    <s v="Monday"/>
    <s v="October"/>
    <s v="2023"/>
    <d v="2023-10-02T00:00:00"/>
    <s v="CUST276"/>
    <x v="1"/>
    <x v="1"/>
    <n v="21"/>
    <x v="0"/>
    <n v="4"/>
    <n v="25"/>
    <n v="100"/>
    <n v="1.5"/>
    <n v="2"/>
  </r>
  <r>
    <n v="277"/>
    <n v="18"/>
    <n v="8"/>
    <n v="2023"/>
    <s v="Friday"/>
    <s v="August"/>
    <s v="2023"/>
    <d v="2023-08-18T00:00:00"/>
    <s v="CUST277"/>
    <x v="0"/>
    <x v="0"/>
    <n v="36"/>
    <x v="0"/>
    <n v="4"/>
    <n v="25"/>
    <n v="100"/>
    <n v="1.5"/>
    <n v="2"/>
  </r>
  <r>
    <n v="278"/>
    <n v="13"/>
    <n v="3"/>
    <n v="2023"/>
    <s v="Monday"/>
    <s v="March"/>
    <s v="2023"/>
    <d v="2023-03-13T00:00:00"/>
    <s v="CUST278"/>
    <x v="1"/>
    <x v="0"/>
    <n v="37"/>
    <x v="0"/>
    <n v="4"/>
    <n v="25"/>
    <n v="100"/>
    <n v="1.5"/>
    <n v="2"/>
  </r>
  <r>
    <n v="279"/>
    <n v="5"/>
    <n v="8"/>
    <n v="2023"/>
    <s v="Saturday"/>
    <s v="August"/>
    <s v="2023"/>
    <d v="2023-08-05T00:00:00"/>
    <s v="CUST279"/>
    <x v="0"/>
    <x v="0"/>
    <n v="50"/>
    <x v="0"/>
    <n v="1"/>
    <n v="500"/>
    <n v="500"/>
    <n v="7.5"/>
    <n v="10"/>
  </r>
  <r>
    <n v="280"/>
    <n v="4"/>
    <n v="4"/>
    <n v="2023"/>
    <s v="Tuesday"/>
    <s v="April"/>
    <s v="2023"/>
    <d v="2023-04-04T00:00:00"/>
    <s v="CUST280"/>
    <x v="1"/>
    <x v="0"/>
    <n v="37"/>
    <x v="0"/>
    <n v="3"/>
    <n v="500"/>
    <n v="1500"/>
    <n v="22.5"/>
    <n v="30"/>
  </r>
  <r>
    <n v="281"/>
    <n v="23"/>
    <n v="5"/>
    <n v="2023"/>
    <s v="Tuesday"/>
    <s v="May"/>
    <s v="2023"/>
    <d v="2023-05-23T00:00:00"/>
    <s v="CUST281"/>
    <x v="1"/>
    <x v="1"/>
    <n v="29"/>
    <x v="0"/>
    <n v="4"/>
    <n v="500"/>
    <n v="2000"/>
    <n v="30"/>
    <n v="40"/>
  </r>
  <r>
    <n v="282"/>
    <n v="25"/>
    <n v="8"/>
    <n v="2023"/>
    <s v="Friday"/>
    <s v="August"/>
    <s v="2023"/>
    <d v="2023-08-25T00:00:00"/>
    <s v="CUST282"/>
    <x v="1"/>
    <x v="2"/>
    <n v="64"/>
    <x v="0"/>
    <n v="4"/>
    <n v="50"/>
    <n v="200"/>
    <n v="3"/>
    <n v="4"/>
  </r>
  <r>
    <n v="283"/>
    <n v="8"/>
    <n v="5"/>
    <n v="2023"/>
    <s v="Monday"/>
    <s v="May"/>
    <s v="2023"/>
    <d v="2023-05-08T00:00:00"/>
    <s v="CUST283"/>
    <x v="1"/>
    <x v="1"/>
    <n v="18"/>
    <x v="0"/>
    <n v="1"/>
    <n v="500"/>
    <n v="500"/>
    <n v="7.5"/>
    <n v="10"/>
  </r>
  <r>
    <n v="284"/>
    <n v="8"/>
    <n v="2"/>
    <n v="2023"/>
    <s v="Wednesday"/>
    <s v="February"/>
    <s v="2023"/>
    <d v="2023-02-08T00:00:00"/>
    <s v="CUST284"/>
    <x v="0"/>
    <x v="0"/>
    <n v="43"/>
    <x v="0"/>
    <n v="4"/>
    <n v="50"/>
    <n v="200"/>
    <n v="3"/>
    <n v="4"/>
  </r>
  <r>
    <n v="285"/>
    <n v="15"/>
    <n v="8"/>
    <n v="2023"/>
    <s v="Tuesday"/>
    <s v="August"/>
    <s v="2023"/>
    <d v="2023-08-15T00:00:00"/>
    <s v="CUST285"/>
    <x v="1"/>
    <x v="0"/>
    <n v="31"/>
    <x v="0"/>
    <n v="1"/>
    <n v="25"/>
    <n v="25"/>
    <n v="0.375"/>
    <n v="0.5"/>
  </r>
  <r>
    <n v="286"/>
    <n v="9"/>
    <n v="10"/>
    <n v="2023"/>
    <s v="Monday"/>
    <s v="October"/>
    <s v="2023"/>
    <d v="2023-10-09T00:00:00"/>
    <s v="CUST286"/>
    <x v="0"/>
    <x v="2"/>
    <n v="55"/>
    <x v="0"/>
    <n v="2"/>
    <n v="25"/>
    <n v="50"/>
    <n v="0.75"/>
    <n v="1"/>
  </r>
  <r>
    <n v="287"/>
    <n v="20"/>
    <n v="2"/>
    <n v="2023"/>
    <s v="Monday"/>
    <s v="February"/>
    <s v="2023"/>
    <d v="2023-02-20T00:00:00"/>
    <s v="CUST287"/>
    <x v="0"/>
    <x v="2"/>
    <n v="54"/>
    <x v="0"/>
    <n v="4"/>
    <n v="25"/>
    <n v="100"/>
    <n v="1.5"/>
    <n v="2"/>
  </r>
  <r>
    <n v="288"/>
    <n v="26"/>
    <n v="1"/>
    <n v="2023"/>
    <s v="Thursday"/>
    <s v="January"/>
    <s v="2023"/>
    <d v="2023-01-26T00:00:00"/>
    <s v="CUST288"/>
    <x v="0"/>
    <x v="1"/>
    <n v="28"/>
    <x v="0"/>
    <n v="4"/>
    <n v="30"/>
    <n v="120"/>
    <n v="1.7999999999999998"/>
    <n v="2.4"/>
  </r>
  <r>
    <n v="289"/>
    <n v="30"/>
    <n v="11"/>
    <n v="2023"/>
    <s v="Thursday"/>
    <s v="November"/>
    <s v="2023"/>
    <d v="2023-11-30T00:00:00"/>
    <s v="CUST289"/>
    <x v="0"/>
    <x v="2"/>
    <n v="53"/>
    <x v="0"/>
    <n v="2"/>
    <n v="30"/>
    <n v="60"/>
    <n v="0.89999999999999991"/>
    <n v="1.2"/>
  </r>
  <r>
    <n v="290"/>
    <n v="4"/>
    <n v="10"/>
    <n v="2023"/>
    <s v="Wednesday"/>
    <s v="October"/>
    <s v="2023"/>
    <d v="2023-10-04T00:00:00"/>
    <s v="CUST290"/>
    <x v="1"/>
    <x v="0"/>
    <n v="30"/>
    <x v="0"/>
    <n v="2"/>
    <n v="300"/>
    <n v="600"/>
    <n v="9"/>
    <n v="12"/>
  </r>
  <r>
    <n v="291"/>
    <n v="8"/>
    <n v="1"/>
    <n v="2023"/>
    <s v="Sunday"/>
    <s v="January"/>
    <s v="2023"/>
    <d v="2023-01-08T00:00:00"/>
    <s v="CUST291"/>
    <x v="0"/>
    <x v="2"/>
    <n v="60"/>
    <x v="0"/>
    <n v="2"/>
    <n v="300"/>
    <n v="600"/>
    <n v="9"/>
    <n v="12"/>
  </r>
  <r>
    <n v="292"/>
    <n v="17"/>
    <n v="2"/>
    <n v="2023"/>
    <s v="Friday"/>
    <s v="February"/>
    <s v="2023"/>
    <d v="2023-02-17T00:00:00"/>
    <s v="CUST292"/>
    <x v="0"/>
    <x v="1"/>
    <n v="20"/>
    <x v="0"/>
    <n v="4"/>
    <n v="300"/>
    <n v="1200"/>
    <n v="18"/>
    <n v="24"/>
  </r>
  <r>
    <n v="293"/>
    <n v="2"/>
    <n v="5"/>
    <n v="2023"/>
    <s v="Tuesday"/>
    <s v="May"/>
    <s v="2023"/>
    <d v="2023-05-02T00:00:00"/>
    <s v="CUST293"/>
    <x v="0"/>
    <x v="0"/>
    <n v="50"/>
    <x v="0"/>
    <n v="3"/>
    <n v="30"/>
    <n v="90"/>
    <n v="1.3499999999999999"/>
    <n v="1.8"/>
  </r>
  <r>
    <n v="294"/>
    <n v="27"/>
    <n v="3"/>
    <n v="2023"/>
    <s v="Monday"/>
    <s v="March"/>
    <s v="2023"/>
    <d v="2023-03-27T00:00:00"/>
    <s v="CUST294"/>
    <x v="1"/>
    <x v="1"/>
    <n v="23"/>
    <x v="0"/>
    <n v="3"/>
    <n v="30"/>
    <n v="90"/>
    <n v="1.3499999999999999"/>
    <n v="1.8"/>
  </r>
  <r>
    <n v="295"/>
    <n v="28"/>
    <n v="7"/>
    <n v="2023"/>
    <s v="Friday"/>
    <s v="July"/>
    <s v="2023"/>
    <d v="2023-07-28T00:00:00"/>
    <s v="CUST295"/>
    <x v="1"/>
    <x v="1"/>
    <n v="27"/>
    <x v="0"/>
    <n v="3"/>
    <n v="300"/>
    <n v="900"/>
    <n v="13.5"/>
    <n v="18"/>
  </r>
  <r>
    <n v="296"/>
    <n v="6"/>
    <n v="9"/>
    <n v="2023"/>
    <s v="Wednesday"/>
    <s v="September"/>
    <s v="2023"/>
    <d v="2023-09-06T00:00:00"/>
    <s v="CUST296"/>
    <x v="1"/>
    <x v="1"/>
    <n v="22"/>
    <x v="0"/>
    <n v="4"/>
    <n v="300"/>
    <n v="1200"/>
    <n v="18"/>
    <n v="24"/>
  </r>
  <r>
    <n v="297"/>
    <n v="4"/>
    <n v="9"/>
    <n v="2023"/>
    <s v="Monday"/>
    <s v="September"/>
    <s v="2023"/>
    <d v="2023-09-04T00:00:00"/>
    <s v="CUST297"/>
    <x v="1"/>
    <x v="0"/>
    <n v="40"/>
    <x v="0"/>
    <n v="2"/>
    <n v="500"/>
    <n v="1000"/>
    <n v="15"/>
    <n v="20"/>
  </r>
  <r>
    <n v="298"/>
    <n v="20"/>
    <n v="4"/>
    <n v="2023"/>
    <s v="Thursday"/>
    <s v="April"/>
    <s v="2023"/>
    <d v="2023-04-20T00:00:00"/>
    <s v="CUST298"/>
    <x v="0"/>
    <x v="1"/>
    <n v="27"/>
    <x v="0"/>
    <n v="4"/>
    <n v="300"/>
    <n v="1200"/>
    <n v="18"/>
    <n v="24"/>
  </r>
  <r>
    <n v="299"/>
    <n v="25"/>
    <n v="7"/>
    <n v="2023"/>
    <s v="Tuesday"/>
    <s v="July"/>
    <s v="2023"/>
    <d v="2023-07-25T00:00:00"/>
    <s v="CUST299"/>
    <x v="0"/>
    <x v="2"/>
    <n v="61"/>
    <x v="0"/>
    <n v="2"/>
    <n v="500"/>
    <n v="1000"/>
    <n v="15"/>
    <n v="20"/>
  </r>
  <r>
    <n v="300"/>
    <n v="31"/>
    <n v="1"/>
    <n v="2023"/>
    <s v="Tuesday"/>
    <s v="January"/>
    <s v="2023"/>
    <d v="2023-01-31T00:00:00"/>
    <s v="CUST300"/>
    <x v="1"/>
    <x v="1"/>
    <n v="19"/>
    <x v="0"/>
    <n v="4"/>
    <n v="50"/>
    <n v="200"/>
    <n v="3"/>
    <n v="4"/>
  </r>
  <r>
    <n v="301"/>
    <n v="26"/>
    <n v="3"/>
    <n v="2023"/>
    <s v="Sunday"/>
    <s v="March"/>
    <s v="2023"/>
    <d v="2023-03-26T00:00:00"/>
    <s v="CUST301"/>
    <x v="0"/>
    <x v="0"/>
    <n v="30"/>
    <x v="0"/>
    <n v="4"/>
    <n v="30"/>
    <n v="120"/>
    <n v="1.7999999999999998"/>
    <n v="2.4"/>
  </r>
  <r>
    <n v="302"/>
    <n v="14"/>
    <n v="7"/>
    <n v="2023"/>
    <s v="Friday"/>
    <s v="July"/>
    <s v="2023"/>
    <d v="2023-07-14T00:00:00"/>
    <s v="CUST302"/>
    <x v="0"/>
    <x v="2"/>
    <n v="57"/>
    <x v="0"/>
    <n v="2"/>
    <n v="300"/>
    <n v="600"/>
    <n v="9"/>
    <n v="12"/>
  </r>
  <r>
    <n v="303"/>
    <n v="2"/>
    <n v="1"/>
    <n v="2023"/>
    <s v="Monday"/>
    <s v="January"/>
    <s v="2023"/>
    <d v="2023-01-02T00:00:00"/>
    <s v="CUST303"/>
    <x v="0"/>
    <x v="1"/>
    <n v="19"/>
    <x v="0"/>
    <n v="3"/>
    <n v="30"/>
    <n v="90"/>
    <n v="1.3499999999999999"/>
    <n v="1.8"/>
  </r>
  <r>
    <n v="304"/>
    <n v="19"/>
    <n v="7"/>
    <n v="2023"/>
    <s v="Wednesday"/>
    <s v="July"/>
    <s v="2023"/>
    <d v="2023-07-19T00:00:00"/>
    <s v="CUST304"/>
    <x v="1"/>
    <x v="0"/>
    <n v="37"/>
    <x v="0"/>
    <n v="2"/>
    <n v="30"/>
    <n v="60"/>
    <n v="0.89999999999999991"/>
    <n v="1.2"/>
  </r>
  <r>
    <n v="305"/>
    <n v="16"/>
    <n v="5"/>
    <n v="2023"/>
    <s v="Tuesday"/>
    <s v="May"/>
    <s v="2023"/>
    <d v="2023-05-16T00:00:00"/>
    <s v="CUST305"/>
    <x v="1"/>
    <x v="1"/>
    <n v="18"/>
    <x v="0"/>
    <n v="1"/>
    <n v="30"/>
    <n v="30"/>
    <n v="0.44999999999999996"/>
    <n v="0.6"/>
  </r>
  <r>
    <n v="306"/>
    <n v="21"/>
    <n v="8"/>
    <n v="2023"/>
    <s v="Monday"/>
    <s v="August"/>
    <s v="2023"/>
    <d v="2023-08-21T00:00:00"/>
    <s v="CUST306"/>
    <x v="0"/>
    <x v="2"/>
    <n v="54"/>
    <x v="0"/>
    <n v="1"/>
    <n v="50"/>
    <n v="50"/>
    <n v="0.75"/>
    <n v="1"/>
  </r>
  <r>
    <n v="307"/>
    <n v="27"/>
    <n v="5"/>
    <n v="2023"/>
    <s v="Saturday"/>
    <s v="May"/>
    <s v="2023"/>
    <d v="2023-05-27T00:00:00"/>
    <s v="CUST307"/>
    <x v="1"/>
    <x v="1"/>
    <n v="26"/>
    <x v="0"/>
    <n v="2"/>
    <n v="25"/>
    <n v="50"/>
    <n v="0.75"/>
    <n v="1"/>
  </r>
  <r>
    <n v="308"/>
    <n v="5"/>
    <n v="8"/>
    <n v="2023"/>
    <s v="Saturday"/>
    <s v="August"/>
    <s v="2023"/>
    <d v="2023-08-05T00:00:00"/>
    <s v="CUST308"/>
    <x v="1"/>
    <x v="0"/>
    <n v="34"/>
    <x v="0"/>
    <n v="4"/>
    <n v="300"/>
    <n v="1200"/>
    <n v="18"/>
    <n v="24"/>
  </r>
  <r>
    <n v="309"/>
    <n v="23"/>
    <n v="12"/>
    <n v="2023"/>
    <s v="Saturday"/>
    <s v="December"/>
    <s v="2023"/>
    <d v="2023-12-23T00:00:00"/>
    <s v="CUST309"/>
    <x v="1"/>
    <x v="1"/>
    <n v="26"/>
    <x v="0"/>
    <n v="1"/>
    <n v="25"/>
    <n v="25"/>
    <n v="0.375"/>
    <n v="0.5"/>
  </r>
  <r>
    <n v="310"/>
    <n v="12"/>
    <n v="10"/>
    <n v="2023"/>
    <s v="Thursday"/>
    <s v="October"/>
    <s v="2023"/>
    <d v="2023-10-12T00:00:00"/>
    <s v="CUST310"/>
    <x v="1"/>
    <x v="1"/>
    <n v="28"/>
    <x v="0"/>
    <n v="1"/>
    <n v="25"/>
    <n v="25"/>
    <n v="0.375"/>
    <n v="0.5"/>
  </r>
  <r>
    <n v="311"/>
    <n v="5"/>
    <n v="12"/>
    <n v="2023"/>
    <s v="Tuesday"/>
    <s v="December"/>
    <s v="2023"/>
    <d v="2023-12-05T00:00:00"/>
    <s v="CUST311"/>
    <x v="1"/>
    <x v="0"/>
    <n v="32"/>
    <x v="0"/>
    <n v="4"/>
    <n v="25"/>
    <n v="100"/>
    <n v="1.5"/>
    <n v="2"/>
  </r>
  <r>
    <n v="312"/>
    <n v="7"/>
    <n v="9"/>
    <n v="2023"/>
    <s v="Thursday"/>
    <s v="September"/>
    <s v="2023"/>
    <d v="2023-09-07T00:00:00"/>
    <s v="CUST312"/>
    <x v="0"/>
    <x v="0"/>
    <n v="41"/>
    <x v="0"/>
    <n v="4"/>
    <n v="30"/>
    <n v="120"/>
    <n v="1.7999999999999998"/>
    <n v="2.4"/>
  </r>
  <r>
    <n v="313"/>
    <n v="21"/>
    <n v="3"/>
    <n v="2023"/>
    <s v="Tuesday"/>
    <s v="March"/>
    <s v="2023"/>
    <d v="2023-03-21T00:00:00"/>
    <s v="CUST313"/>
    <x v="1"/>
    <x v="2"/>
    <n v="55"/>
    <x v="0"/>
    <n v="3"/>
    <n v="500"/>
    <n v="1500"/>
    <n v="22.5"/>
    <n v="30"/>
  </r>
  <r>
    <n v="314"/>
    <n v="8"/>
    <n v="4"/>
    <n v="2023"/>
    <s v="Saturday"/>
    <s v="April"/>
    <s v="2023"/>
    <d v="2023-04-08T00:00:00"/>
    <s v="CUST314"/>
    <x v="0"/>
    <x v="2"/>
    <n v="52"/>
    <x v="0"/>
    <n v="4"/>
    <n v="30"/>
    <n v="120"/>
    <n v="1.7999999999999998"/>
    <n v="2.4"/>
  </r>
  <r>
    <n v="315"/>
    <n v="1"/>
    <n v="6"/>
    <n v="2023"/>
    <s v="Thursday"/>
    <s v="June"/>
    <s v="2023"/>
    <d v="2023-06-01T00:00:00"/>
    <s v="CUST315"/>
    <x v="0"/>
    <x v="0"/>
    <n v="47"/>
    <x v="0"/>
    <n v="2"/>
    <n v="30"/>
    <n v="60"/>
    <n v="0.89999999999999991"/>
    <n v="1.2"/>
  </r>
  <r>
    <n v="316"/>
    <n v="22"/>
    <n v="4"/>
    <n v="2023"/>
    <s v="Saturday"/>
    <s v="April"/>
    <s v="2023"/>
    <d v="2023-04-22T00:00:00"/>
    <s v="CUST316"/>
    <x v="1"/>
    <x v="0"/>
    <n v="48"/>
    <x v="0"/>
    <n v="2"/>
    <n v="25"/>
    <n v="50"/>
    <n v="0.75"/>
    <n v="1"/>
  </r>
  <r>
    <n v="317"/>
    <n v="30"/>
    <n v="1"/>
    <n v="2023"/>
    <s v="Monday"/>
    <s v="January"/>
    <s v="2023"/>
    <d v="2023-01-30T00:00:00"/>
    <s v="CUST317"/>
    <x v="0"/>
    <x v="1"/>
    <n v="22"/>
    <x v="0"/>
    <n v="3"/>
    <n v="30"/>
    <n v="90"/>
    <n v="1.3499999999999999"/>
    <n v="1.8"/>
  </r>
  <r>
    <n v="318"/>
    <n v="24"/>
    <n v="10"/>
    <n v="2023"/>
    <s v="Tuesday"/>
    <s v="October"/>
    <s v="2023"/>
    <d v="2023-10-24T00:00:00"/>
    <s v="CUST318"/>
    <x v="0"/>
    <x v="2"/>
    <n v="61"/>
    <x v="0"/>
    <n v="1"/>
    <n v="25"/>
    <n v="25"/>
    <n v="0.375"/>
    <n v="0.5"/>
  </r>
  <r>
    <n v="319"/>
    <n v="5"/>
    <n v="10"/>
    <n v="2023"/>
    <s v="Thursday"/>
    <s v="October"/>
    <s v="2023"/>
    <d v="2023-10-05T00:00:00"/>
    <s v="CUST319"/>
    <x v="0"/>
    <x v="0"/>
    <n v="31"/>
    <x v="0"/>
    <n v="1"/>
    <n v="500"/>
    <n v="500"/>
    <n v="7.5"/>
    <n v="10"/>
  </r>
  <r>
    <n v="320"/>
    <n v="1"/>
    <n v="2"/>
    <n v="2023"/>
    <s v="Wednesday"/>
    <s v="February"/>
    <s v="2023"/>
    <d v="2023-02-01T00:00:00"/>
    <s v="CUST320"/>
    <x v="1"/>
    <x v="1"/>
    <n v="28"/>
    <x v="0"/>
    <n v="4"/>
    <n v="300"/>
    <n v="1200"/>
    <n v="18"/>
    <n v="24"/>
  </r>
  <r>
    <n v="321"/>
    <n v="10"/>
    <n v="6"/>
    <n v="2023"/>
    <s v="Saturday"/>
    <s v="June"/>
    <s v="2023"/>
    <d v="2023-06-10T00:00:00"/>
    <s v="CUST321"/>
    <x v="1"/>
    <x v="1"/>
    <n v="26"/>
    <x v="0"/>
    <n v="2"/>
    <n v="25"/>
    <n v="50"/>
    <n v="0.75"/>
    <n v="1"/>
  </r>
  <r>
    <n v="322"/>
    <n v="30"/>
    <n v="1"/>
    <n v="2023"/>
    <s v="Monday"/>
    <s v="January"/>
    <s v="2023"/>
    <d v="2023-01-30T00:00:00"/>
    <s v="CUST322"/>
    <x v="0"/>
    <x v="2"/>
    <n v="51"/>
    <x v="0"/>
    <n v="1"/>
    <n v="500"/>
    <n v="500"/>
    <n v="7.5"/>
    <n v="10"/>
  </r>
  <r>
    <n v="323"/>
    <n v="26"/>
    <n v="1"/>
    <n v="2023"/>
    <s v="Thursday"/>
    <s v="January"/>
    <s v="2023"/>
    <d v="2023-01-26T00:00:00"/>
    <s v="CUST323"/>
    <x v="1"/>
    <x v="1"/>
    <n v="29"/>
    <x v="0"/>
    <n v="3"/>
    <n v="300"/>
    <n v="900"/>
    <n v="13.5"/>
    <n v="18"/>
  </r>
  <r>
    <n v="324"/>
    <n v="27"/>
    <n v="10"/>
    <n v="2023"/>
    <s v="Friday"/>
    <s v="October"/>
    <s v="2023"/>
    <d v="2023-10-27T00:00:00"/>
    <s v="CUST324"/>
    <x v="1"/>
    <x v="2"/>
    <n v="52"/>
    <x v="0"/>
    <n v="3"/>
    <n v="50"/>
    <n v="150"/>
    <n v="2.25"/>
    <n v="3"/>
  </r>
  <r>
    <n v="325"/>
    <n v="2"/>
    <n v="9"/>
    <n v="2023"/>
    <s v="Saturday"/>
    <s v="September"/>
    <s v="2023"/>
    <d v="2023-09-02T00:00:00"/>
    <s v="CUST325"/>
    <x v="1"/>
    <x v="2"/>
    <n v="52"/>
    <x v="0"/>
    <n v="2"/>
    <n v="25"/>
    <n v="50"/>
    <n v="0.75"/>
    <n v="1"/>
  </r>
  <r>
    <n v="326"/>
    <n v="15"/>
    <n v="9"/>
    <n v="2023"/>
    <s v="Friday"/>
    <s v="September"/>
    <s v="2023"/>
    <d v="2023-09-15T00:00:00"/>
    <s v="CUST326"/>
    <x v="1"/>
    <x v="1"/>
    <n v="18"/>
    <x v="0"/>
    <n v="3"/>
    <n v="25"/>
    <n v="75"/>
    <n v="1.125"/>
    <n v="1.5"/>
  </r>
  <r>
    <n v="327"/>
    <n v="29"/>
    <n v="9"/>
    <n v="2023"/>
    <s v="Friday"/>
    <s v="September"/>
    <s v="2023"/>
    <d v="2023-09-29T00:00:00"/>
    <s v="CUST327"/>
    <x v="0"/>
    <x v="2"/>
    <n v="57"/>
    <x v="0"/>
    <n v="3"/>
    <n v="50"/>
    <n v="150"/>
    <n v="2.25"/>
    <n v="3"/>
  </r>
  <r>
    <n v="328"/>
    <n v="22"/>
    <n v="3"/>
    <n v="2023"/>
    <s v="Wednesday"/>
    <s v="March"/>
    <s v="2023"/>
    <d v="2023-03-22T00:00:00"/>
    <s v="CUST328"/>
    <x v="0"/>
    <x v="0"/>
    <n v="39"/>
    <x v="0"/>
    <n v="2"/>
    <n v="50"/>
    <n v="100"/>
    <n v="1.5"/>
    <n v="2"/>
  </r>
  <r>
    <n v="329"/>
    <n v="30"/>
    <n v="1"/>
    <n v="2023"/>
    <s v="Monday"/>
    <s v="January"/>
    <s v="2023"/>
    <d v="2023-01-30T00:00:00"/>
    <s v="CUST329"/>
    <x v="1"/>
    <x v="0"/>
    <n v="46"/>
    <x v="0"/>
    <n v="4"/>
    <n v="25"/>
    <n v="100"/>
    <n v="1.5"/>
    <n v="2"/>
  </r>
  <r>
    <n v="330"/>
    <n v="18"/>
    <n v="9"/>
    <n v="2023"/>
    <s v="Monday"/>
    <s v="September"/>
    <s v="2023"/>
    <d v="2023-09-18T00:00:00"/>
    <s v="CUST330"/>
    <x v="1"/>
    <x v="1"/>
    <n v="25"/>
    <x v="0"/>
    <n v="4"/>
    <n v="50"/>
    <n v="200"/>
    <n v="3"/>
    <n v="4"/>
  </r>
  <r>
    <n v="331"/>
    <n v="11"/>
    <n v="2"/>
    <n v="2023"/>
    <s v="Saturday"/>
    <s v="February"/>
    <s v="2023"/>
    <d v="2023-02-11T00:00:00"/>
    <s v="CUST331"/>
    <x v="0"/>
    <x v="1"/>
    <n v="28"/>
    <x v="0"/>
    <n v="3"/>
    <n v="30"/>
    <n v="90"/>
    <n v="1.3499999999999999"/>
    <n v="1.8"/>
  </r>
  <r>
    <n v="332"/>
    <n v="6"/>
    <n v="4"/>
    <n v="2023"/>
    <s v="Thursday"/>
    <s v="April"/>
    <s v="2023"/>
    <d v="2023-04-06T00:00:00"/>
    <s v="CUST332"/>
    <x v="0"/>
    <x v="2"/>
    <n v="58"/>
    <x v="0"/>
    <n v="4"/>
    <n v="300"/>
    <n v="1200"/>
    <n v="18"/>
    <n v="24"/>
  </r>
  <r>
    <n v="333"/>
    <n v="5"/>
    <n v="2"/>
    <n v="2023"/>
    <s v="Sunday"/>
    <s v="February"/>
    <s v="2023"/>
    <d v="2023-02-05T00:00:00"/>
    <s v="CUST333"/>
    <x v="1"/>
    <x v="2"/>
    <n v="54"/>
    <x v="0"/>
    <n v="4"/>
    <n v="300"/>
    <n v="1200"/>
    <n v="18"/>
    <n v="24"/>
  </r>
  <r>
    <n v="334"/>
    <n v="1"/>
    <n v="11"/>
    <n v="2023"/>
    <s v="Wednesday"/>
    <s v="November"/>
    <s v="2023"/>
    <d v="2023-11-01T00:00:00"/>
    <s v="CUST334"/>
    <x v="0"/>
    <x v="0"/>
    <n v="31"/>
    <x v="0"/>
    <n v="3"/>
    <n v="300"/>
    <n v="900"/>
    <n v="13.5"/>
    <n v="18"/>
  </r>
  <r>
    <n v="335"/>
    <n v="4"/>
    <n v="2"/>
    <n v="2023"/>
    <s v="Saturday"/>
    <s v="February"/>
    <s v="2023"/>
    <d v="2023-02-04T00:00:00"/>
    <s v="CUST335"/>
    <x v="1"/>
    <x v="0"/>
    <n v="47"/>
    <x v="0"/>
    <n v="4"/>
    <n v="30"/>
    <n v="120"/>
    <n v="1.7999999999999998"/>
    <n v="2.4"/>
  </r>
  <r>
    <n v="336"/>
    <n v="12"/>
    <n v="12"/>
    <n v="2023"/>
    <s v="Tuesday"/>
    <s v="December"/>
    <s v="2023"/>
    <d v="2023-12-12T00:00:00"/>
    <s v="CUST336"/>
    <x v="1"/>
    <x v="2"/>
    <n v="52"/>
    <x v="0"/>
    <n v="3"/>
    <n v="50"/>
    <n v="150"/>
    <n v="2.25"/>
    <n v="3"/>
  </r>
  <r>
    <n v="337"/>
    <n v="1"/>
    <n v="5"/>
    <n v="2023"/>
    <s v="Monday"/>
    <s v="May"/>
    <s v="2023"/>
    <d v="2023-05-01T00:00:00"/>
    <s v="CUST337"/>
    <x v="0"/>
    <x v="0"/>
    <n v="38"/>
    <x v="0"/>
    <n v="1"/>
    <n v="500"/>
    <n v="500"/>
    <n v="7.5"/>
    <n v="10"/>
  </r>
  <r>
    <n v="338"/>
    <n v="26"/>
    <n v="7"/>
    <n v="2023"/>
    <s v="Wednesday"/>
    <s v="July"/>
    <s v="2023"/>
    <d v="2023-07-26T00:00:00"/>
    <s v="CUST338"/>
    <x v="0"/>
    <x v="2"/>
    <n v="54"/>
    <x v="0"/>
    <n v="2"/>
    <n v="50"/>
    <n v="100"/>
    <n v="1.5"/>
    <n v="2"/>
  </r>
  <r>
    <n v="339"/>
    <n v="3"/>
    <n v="3"/>
    <n v="2023"/>
    <s v="Friday"/>
    <s v="March"/>
    <s v="2023"/>
    <d v="2023-03-03T00:00:00"/>
    <s v="CUST339"/>
    <x v="1"/>
    <x v="1"/>
    <n v="22"/>
    <x v="0"/>
    <n v="2"/>
    <n v="25"/>
    <n v="50"/>
    <n v="0.75"/>
    <n v="1"/>
  </r>
  <r>
    <n v="340"/>
    <n v="19"/>
    <n v="10"/>
    <n v="2023"/>
    <s v="Thursday"/>
    <s v="October"/>
    <s v="2023"/>
    <d v="2023-10-19T00:00:00"/>
    <s v="CUST340"/>
    <x v="1"/>
    <x v="0"/>
    <n v="36"/>
    <x v="0"/>
    <n v="4"/>
    <n v="300"/>
    <n v="1200"/>
    <n v="18"/>
    <n v="24"/>
  </r>
  <r>
    <n v="341"/>
    <n v="7"/>
    <n v="5"/>
    <n v="2023"/>
    <s v="Sunday"/>
    <s v="May"/>
    <s v="2023"/>
    <d v="2023-05-07T00:00:00"/>
    <s v="CUST341"/>
    <x v="0"/>
    <x v="0"/>
    <n v="31"/>
    <x v="0"/>
    <n v="4"/>
    <n v="50"/>
    <n v="200"/>
    <n v="3"/>
    <n v="4"/>
  </r>
  <r>
    <n v="342"/>
    <n v="24"/>
    <n v="10"/>
    <n v="2023"/>
    <s v="Tuesday"/>
    <s v="October"/>
    <s v="2023"/>
    <d v="2023-10-24T00:00:00"/>
    <s v="CUST342"/>
    <x v="1"/>
    <x v="0"/>
    <n v="43"/>
    <x v="0"/>
    <n v="4"/>
    <n v="500"/>
    <n v="2000"/>
    <n v="30"/>
    <n v="40"/>
  </r>
  <r>
    <n v="343"/>
    <n v="1"/>
    <n v="11"/>
    <n v="2023"/>
    <s v="Wednesday"/>
    <s v="November"/>
    <s v="2023"/>
    <d v="2023-11-01T00:00:00"/>
    <s v="CUST343"/>
    <x v="0"/>
    <x v="1"/>
    <n v="21"/>
    <x v="0"/>
    <n v="2"/>
    <n v="25"/>
    <n v="50"/>
    <n v="0.75"/>
    <n v="1"/>
  </r>
  <r>
    <n v="344"/>
    <n v="21"/>
    <n v="1"/>
    <n v="2023"/>
    <s v="Saturday"/>
    <s v="January"/>
    <s v="2023"/>
    <d v="2023-01-21T00:00:00"/>
    <s v="CUST344"/>
    <x v="1"/>
    <x v="0"/>
    <n v="42"/>
    <x v="0"/>
    <n v="1"/>
    <n v="30"/>
    <n v="30"/>
    <n v="0.44999999999999996"/>
    <n v="0.6"/>
  </r>
  <r>
    <n v="345"/>
    <n v="14"/>
    <n v="11"/>
    <n v="2023"/>
    <s v="Tuesday"/>
    <s v="November"/>
    <s v="2023"/>
    <d v="2023-11-14T00:00:00"/>
    <s v="CUST345"/>
    <x v="0"/>
    <x v="2"/>
    <n v="62"/>
    <x v="0"/>
    <n v="1"/>
    <n v="30"/>
    <n v="30"/>
    <n v="0.44999999999999996"/>
    <n v="0.6"/>
  </r>
  <r>
    <n v="346"/>
    <n v="11"/>
    <n v="2"/>
    <n v="2023"/>
    <s v="Saturday"/>
    <s v="February"/>
    <s v="2023"/>
    <d v="2023-02-11T00:00:00"/>
    <s v="CUST346"/>
    <x v="0"/>
    <x v="2"/>
    <n v="59"/>
    <x v="0"/>
    <n v="2"/>
    <n v="500"/>
    <n v="1000"/>
    <n v="15"/>
    <n v="20"/>
  </r>
  <r>
    <n v="347"/>
    <n v="3"/>
    <n v="8"/>
    <n v="2023"/>
    <s v="Thursday"/>
    <s v="August"/>
    <s v="2023"/>
    <d v="2023-08-03T00:00:00"/>
    <s v="CUST347"/>
    <x v="0"/>
    <x v="0"/>
    <n v="42"/>
    <x v="0"/>
    <n v="1"/>
    <n v="25"/>
    <n v="25"/>
    <n v="0.375"/>
    <n v="0.5"/>
  </r>
  <r>
    <n v="348"/>
    <n v="3"/>
    <n v="12"/>
    <n v="2023"/>
    <s v="Sunday"/>
    <s v="December"/>
    <s v="2023"/>
    <d v="2023-12-03T00:00:00"/>
    <s v="CUST348"/>
    <x v="1"/>
    <x v="0"/>
    <n v="35"/>
    <x v="0"/>
    <n v="2"/>
    <n v="300"/>
    <n v="600"/>
    <n v="9"/>
    <n v="12"/>
  </r>
  <r>
    <n v="349"/>
    <n v="26"/>
    <n v="10"/>
    <n v="2023"/>
    <s v="Thursday"/>
    <s v="October"/>
    <s v="2023"/>
    <d v="2023-10-26T00:00:00"/>
    <s v="CUST349"/>
    <x v="1"/>
    <x v="2"/>
    <n v="57"/>
    <x v="0"/>
    <n v="1"/>
    <n v="50"/>
    <n v="50"/>
    <n v="0.75"/>
    <n v="1"/>
  </r>
  <r>
    <n v="350"/>
    <n v="17"/>
    <n v="10"/>
    <n v="2023"/>
    <s v="Tuesday"/>
    <s v="October"/>
    <s v="2023"/>
    <d v="2023-10-17T00:00:00"/>
    <s v="CUST350"/>
    <x v="0"/>
    <x v="1"/>
    <n v="25"/>
    <x v="0"/>
    <n v="3"/>
    <n v="25"/>
    <n v="75"/>
    <n v="1.125"/>
    <n v="1.5"/>
  </r>
  <r>
    <n v="351"/>
    <n v="25"/>
    <n v="9"/>
    <n v="2023"/>
    <s v="Monday"/>
    <s v="September"/>
    <s v="2023"/>
    <d v="2023-09-25T00:00:00"/>
    <s v="CUST351"/>
    <x v="1"/>
    <x v="2"/>
    <n v="56"/>
    <x v="0"/>
    <n v="3"/>
    <n v="30"/>
    <n v="90"/>
    <n v="1.3499999999999999"/>
    <n v="1.8"/>
  </r>
  <r>
    <n v="352"/>
    <n v="11"/>
    <n v="6"/>
    <n v="2023"/>
    <s v="Sunday"/>
    <s v="June"/>
    <s v="2023"/>
    <d v="2023-06-11T00:00:00"/>
    <s v="CUST352"/>
    <x v="0"/>
    <x v="2"/>
    <n v="57"/>
    <x v="0"/>
    <n v="2"/>
    <n v="500"/>
    <n v="1000"/>
    <n v="15"/>
    <n v="20"/>
  </r>
  <r>
    <n v="353"/>
    <n v="14"/>
    <n v="5"/>
    <n v="2023"/>
    <s v="Sunday"/>
    <s v="May"/>
    <s v="2023"/>
    <d v="2023-05-14T00:00:00"/>
    <s v="CUST353"/>
    <x v="0"/>
    <x v="0"/>
    <n v="31"/>
    <x v="0"/>
    <n v="1"/>
    <n v="500"/>
    <n v="500"/>
    <n v="7.5"/>
    <n v="10"/>
  </r>
  <r>
    <n v="354"/>
    <n v="15"/>
    <n v="4"/>
    <n v="2023"/>
    <s v="Saturday"/>
    <s v="April"/>
    <s v="2023"/>
    <d v="2023-04-15T00:00:00"/>
    <s v="CUST354"/>
    <x v="1"/>
    <x v="0"/>
    <n v="49"/>
    <x v="0"/>
    <n v="4"/>
    <n v="50"/>
    <n v="200"/>
    <n v="3"/>
    <n v="4"/>
  </r>
  <r>
    <n v="355"/>
    <n v="9"/>
    <n v="12"/>
    <n v="2023"/>
    <s v="Saturday"/>
    <s v="December"/>
    <s v="2023"/>
    <d v="2023-12-09T00:00:00"/>
    <s v="CUST355"/>
    <x v="1"/>
    <x v="2"/>
    <n v="55"/>
    <x v="0"/>
    <n v="1"/>
    <n v="500"/>
    <n v="500"/>
    <n v="7.5"/>
    <n v="10"/>
  </r>
  <r>
    <n v="356"/>
    <n v="10"/>
    <n v="6"/>
    <n v="2023"/>
    <s v="Saturday"/>
    <s v="June"/>
    <s v="2023"/>
    <d v="2023-06-10T00:00:00"/>
    <s v="CUST356"/>
    <x v="0"/>
    <x v="0"/>
    <n v="50"/>
    <x v="0"/>
    <n v="3"/>
    <n v="500"/>
    <n v="1500"/>
    <n v="22.5"/>
    <n v="30"/>
  </r>
  <r>
    <n v="357"/>
    <n v="3"/>
    <n v="5"/>
    <n v="2023"/>
    <s v="Wednesday"/>
    <s v="May"/>
    <s v="2023"/>
    <d v="2023-05-03T00:00:00"/>
    <s v="CUST357"/>
    <x v="1"/>
    <x v="0"/>
    <n v="40"/>
    <x v="0"/>
    <n v="3"/>
    <n v="25"/>
    <n v="75"/>
    <n v="1.125"/>
    <n v="1.5"/>
  </r>
  <r>
    <n v="358"/>
    <n v="16"/>
    <n v="5"/>
    <n v="2023"/>
    <s v="Tuesday"/>
    <s v="May"/>
    <s v="2023"/>
    <d v="2023-05-16T00:00:00"/>
    <s v="CUST358"/>
    <x v="1"/>
    <x v="0"/>
    <n v="32"/>
    <x v="0"/>
    <n v="1"/>
    <n v="300"/>
    <n v="300"/>
    <n v="4.5"/>
    <n v="6"/>
  </r>
  <r>
    <n v="359"/>
    <n v="22"/>
    <n v="7"/>
    <n v="2023"/>
    <s v="Saturday"/>
    <s v="July"/>
    <s v="2023"/>
    <d v="2023-07-22T00:00:00"/>
    <s v="CUST359"/>
    <x v="0"/>
    <x v="0"/>
    <n v="50"/>
    <x v="0"/>
    <n v="1"/>
    <n v="50"/>
    <n v="50"/>
    <n v="0.75"/>
    <n v="1"/>
  </r>
  <r>
    <n v="360"/>
    <n v="9"/>
    <n v="3"/>
    <n v="2023"/>
    <s v="Thursday"/>
    <s v="March"/>
    <s v="2023"/>
    <d v="2023-03-09T00:00:00"/>
    <s v="CUST360"/>
    <x v="0"/>
    <x v="0"/>
    <n v="42"/>
    <x v="0"/>
    <n v="4"/>
    <n v="25"/>
    <n v="100"/>
    <n v="1.5"/>
    <n v="2"/>
  </r>
  <r>
    <n v="361"/>
    <n v="10"/>
    <n v="12"/>
    <n v="2023"/>
    <s v="Sunday"/>
    <s v="December"/>
    <s v="2023"/>
    <d v="2023-12-10T00:00:00"/>
    <s v="CUST361"/>
    <x v="1"/>
    <x v="0"/>
    <n v="34"/>
    <x v="0"/>
    <n v="4"/>
    <n v="300"/>
    <n v="1200"/>
    <n v="18"/>
    <n v="24"/>
  </r>
  <r>
    <n v="362"/>
    <n v="27"/>
    <n v="11"/>
    <n v="2023"/>
    <s v="Monday"/>
    <s v="November"/>
    <s v="2023"/>
    <d v="2023-11-27T00:00:00"/>
    <s v="CUST362"/>
    <x v="0"/>
    <x v="0"/>
    <n v="50"/>
    <x v="0"/>
    <n v="1"/>
    <n v="25"/>
    <n v="25"/>
    <n v="0.375"/>
    <n v="0.5"/>
  </r>
  <r>
    <n v="363"/>
    <n v="3"/>
    <n v="6"/>
    <n v="2023"/>
    <s v="Saturday"/>
    <s v="June"/>
    <s v="2023"/>
    <d v="2023-06-03T00:00:00"/>
    <s v="CUST363"/>
    <x v="0"/>
    <x v="2"/>
    <n v="64"/>
    <x v="0"/>
    <n v="1"/>
    <n v="25"/>
    <n v="25"/>
    <n v="0.375"/>
    <n v="0.5"/>
  </r>
  <r>
    <n v="364"/>
    <n v="23"/>
    <n v="8"/>
    <n v="2023"/>
    <s v="Wednesday"/>
    <s v="August"/>
    <s v="2023"/>
    <d v="2023-08-23T00:00:00"/>
    <s v="CUST364"/>
    <x v="1"/>
    <x v="1"/>
    <n v="19"/>
    <x v="0"/>
    <n v="1"/>
    <n v="500"/>
    <n v="500"/>
    <n v="7.5"/>
    <n v="10"/>
  </r>
  <r>
    <n v="365"/>
    <n v="11"/>
    <n v="6"/>
    <n v="2023"/>
    <s v="Sunday"/>
    <s v="June"/>
    <s v="2023"/>
    <d v="2023-06-11T00:00:00"/>
    <s v="CUST365"/>
    <x v="0"/>
    <x v="0"/>
    <n v="31"/>
    <x v="0"/>
    <n v="1"/>
    <n v="300"/>
    <n v="300"/>
    <n v="4.5"/>
    <n v="6"/>
  </r>
  <r>
    <n v="366"/>
    <n v="7"/>
    <n v="2"/>
    <n v="2023"/>
    <s v="Tuesday"/>
    <s v="February"/>
    <s v="2023"/>
    <d v="2023-02-07T00:00:00"/>
    <s v="CUST366"/>
    <x v="0"/>
    <x v="2"/>
    <n v="57"/>
    <x v="0"/>
    <n v="2"/>
    <n v="50"/>
    <n v="100"/>
    <n v="1.5"/>
    <n v="2"/>
  </r>
  <r>
    <n v="367"/>
    <n v="5"/>
    <n v="1"/>
    <n v="2023"/>
    <s v="Thursday"/>
    <s v="January"/>
    <s v="2023"/>
    <d v="2023-01-05T00:00:00"/>
    <s v="CUST367"/>
    <x v="1"/>
    <x v="2"/>
    <n v="57"/>
    <x v="0"/>
    <n v="1"/>
    <n v="50"/>
    <n v="50"/>
    <n v="0.75"/>
    <n v="1"/>
  </r>
  <r>
    <n v="368"/>
    <n v="23"/>
    <n v="8"/>
    <n v="2023"/>
    <s v="Wednesday"/>
    <s v="August"/>
    <s v="2023"/>
    <d v="2023-08-23T00:00:00"/>
    <s v="CUST368"/>
    <x v="1"/>
    <x v="2"/>
    <n v="56"/>
    <x v="0"/>
    <n v="4"/>
    <n v="300"/>
    <n v="1200"/>
    <n v="18"/>
    <n v="24"/>
  </r>
  <r>
    <n v="369"/>
    <n v="15"/>
    <n v="11"/>
    <n v="2023"/>
    <s v="Wednesday"/>
    <s v="November"/>
    <s v="2023"/>
    <d v="2023-11-15T00:00:00"/>
    <s v="CUST369"/>
    <x v="0"/>
    <x v="1"/>
    <n v="23"/>
    <x v="0"/>
    <n v="3"/>
    <n v="500"/>
    <n v="1500"/>
    <n v="22.5"/>
    <n v="30"/>
  </r>
  <r>
    <n v="370"/>
    <n v="16"/>
    <n v="10"/>
    <n v="2023"/>
    <s v="Monday"/>
    <s v="October"/>
    <s v="2023"/>
    <d v="2023-10-16T00:00:00"/>
    <s v="CUST370"/>
    <x v="0"/>
    <x v="1"/>
    <n v="23"/>
    <x v="0"/>
    <n v="2"/>
    <n v="30"/>
    <n v="60"/>
    <n v="0.89999999999999991"/>
    <n v="1.2"/>
  </r>
  <r>
    <n v="371"/>
    <n v="21"/>
    <n v="2"/>
    <n v="2023"/>
    <s v="Tuesday"/>
    <s v="February"/>
    <s v="2023"/>
    <d v="2023-02-21T00:00:00"/>
    <s v="CUST371"/>
    <x v="1"/>
    <x v="1"/>
    <n v="20"/>
    <x v="0"/>
    <n v="1"/>
    <n v="25"/>
    <n v="25"/>
    <n v="0.375"/>
    <n v="0.5"/>
  </r>
  <r>
    <n v="372"/>
    <n v="7"/>
    <n v="2"/>
    <n v="2023"/>
    <s v="Tuesday"/>
    <s v="February"/>
    <s v="2023"/>
    <d v="2023-02-07T00:00:00"/>
    <s v="CUST372"/>
    <x v="1"/>
    <x v="1"/>
    <n v="24"/>
    <x v="0"/>
    <n v="3"/>
    <n v="500"/>
    <n v="1500"/>
    <n v="22.5"/>
    <n v="30"/>
  </r>
  <r>
    <n v="373"/>
    <n v="3"/>
    <n v="10"/>
    <n v="2023"/>
    <s v="Tuesday"/>
    <s v="October"/>
    <s v="2023"/>
    <d v="2023-10-03T00:00:00"/>
    <s v="CUST373"/>
    <x v="1"/>
    <x v="1"/>
    <n v="25"/>
    <x v="0"/>
    <n v="2"/>
    <n v="300"/>
    <n v="600"/>
    <n v="9"/>
    <n v="12"/>
  </r>
  <r>
    <n v="374"/>
    <n v="20"/>
    <n v="4"/>
    <n v="2023"/>
    <s v="Thursday"/>
    <s v="April"/>
    <s v="2023"/>
    <d v="2023-04-20T00:00:00"/>
    <s v="CUST374"/>
    <x v="1"/>
    <x v="2"/>
    <n v="59"/>
    <x v="0"/>
    <n v="3"/>
    <n v="25"/>
    <n v="75"/>
    <n v="1.125"/>
    <n v="1.5"/>
  </r>
  <r>
    <n v="375"/>
    <n v="17"/>
    <n v="9"/>
    <n v="2023"/>
    <s v="Sunday"/>
    <s v="September"/>
    <s v="2023"/>
    <d v="2023-09-17T00:00:00"/>
    <s v="CUST375"/>
    <x v="0"/>
    <x v="0"/>
    <n v="32"/>
    <x v="0"/>
    <n v="1"/>
    <n v="50"/>
    <n v="50"/>
    <n v="0.75"/>
    <n v="1"/>
  </r>
  <r>
    <n v="376"/>
    <n v="16"/>
    <n v="5"/>
    <n v="2023"/>
    <s v="Tuesday"/>
    <s v="May"/>
    <s v="2023"/>
    <d v="2023-05-16T00:00:00"/>
    <s v="CUST376"/>
    <x v="1"/>
    <x v="2"/>
    <n v="64"/>
    <x v="0"/>
    <n v="1"/>
    <n v="30"/>
    <n v="30"/>
    <n v="0.44999999999999996"/>
    <n v="0.6"/>
  </r>
  <r>
    <n v="377"/>
    <n v="9"/>
    <n v="3"/>
    <n v="2023"/>
    <s v="Thursday"/>
    <s v="March"/>
    <s v="2023"/>
    <d v="2023-03-09T00:00:00"/>
    <s v="CUST377"/>
    <x v="1"/>
    <x v="0"/>
    <n v="46"/>
    <x v="0"/>
    <n v="4"/>
    <n v="50"/>
    <n v="200"/>
    <n v="3"/>
    <n v="4"/>
  </r>
  <r>
    <n v="378"/>
    <n v="28"/>
    <n v="6"/>
    <n v="2023"/>
    <s v="Wednesday"/>
    <s v="June"/>
    <s v="2023"/>
    <d v="2023-06-28T00:00:00"/>
    <s v="CUST378"/>
    <x v="0"/>
    <x v="0"/>
    <n v="50"/>
    <x v="0"/>
    <n v="1"/>
    <n v="300"/>
    <n v="300"/>
    <n v="4.5"/>
    <n v="6"/>
  </r>
  <r>
    <n v="379"/>
    <n v="5"/>
    <n v="2"/>
    <n v="2023"/>
    <s v="Sunday"/>
    <s v="February"/>
    <s v="2023"/>
    <d v="2023-02-05T00:00:00"/>
    <s v="CUST379"/>
    <x v="1"/>
    <x v="0"/>
    <n v="47"/>
    <x v="0"/>
    <n v="1"/>
    <n v="25"/>
    <n v="25"/>
    <n v="0.375"/>
    <n v="0.5"/>
  </r>
  <r>
    <n v="380"/>
    <n v="6"/>
    <n v="5"/>
    <n v="2023"/>
    <s v="Saturday"/>
    <s v="May"/>
    <s v="2023"/>
    <d v="2023-05-06T00:00:00"/>
    <s v="CUST380"/>
    <x v="0"/>
    <x v="2"/>
    <n v="56"/>
    <x v="0"/>
    <n v="2"/>
    <n v="300"/>
    <n v="600"/>
    <n v="9"/>
    <n v="12"/>
  </r>
  <r>
    <n v="381"/>
    <n v="9"/>
    <n v="7"/>
    <n v="2023"/>
    <s v="Sunday"/>
    <s v="July"/>
    <s v="2023"/>
    <d v="2023-07-09T00:00:00"/>
    <s v="CUST381"/>
    <x v="1"/>
    <x v="0"/>
    <n v="44"/>
    <x v="0"/>
    <n v="4"/>
    <n v="25"/>
    <n v="100"/>
    <n v="1.5"/>
    <n v="2"/>
  </r>
  <r>
    <n v="382"/>
    <n v="26"/>
    <n v="5"/>
    <n v="2023"/>
    <s v="Friday"/>
    <s v="May"/>
    <s v="2023"/>
    <d v="2023-05-26T00:00:00"/>
    <s v="CUST382"/>
    <x v="1"/>
    <x v="2"/>
    <n v="53"/>
    <x v="0"/>
    <n v="2"/>
    <n v="500"/>
    <n v="1000"/>
    <n v="15"/>
    <n v="20"/>
  </r>
  <r>
    <n v="383"/>
    <n v="22"/>
    <n v="3"/>
    <n v="2023"/>
    <s v="Wednesday"/>
    <s v="March"/>
    <s v="2023"/>
    <d v="2023-03-22T00:00:00"/>
    <s v="CUST383"/>
    <x v="1"/>
    <x v="0"/>
    <n v="46"/>
    <x v="0"/>
    <n v="3"/>
    <n v="30"/>
    <n v="90"/>
    <n v="1.3499999999999999"/>
    <n v="1.8"/>
  </r>
  <r>
    <n v="384"/>
    <n v="13"/>
    <n v="8"/>
    <n v="2023"/>
    <s v="Sunday"/>
    <s v="August"/>
    <s v="2023"/>
    <d v="2023-08-13T00:00:00"/>
    <s v="CUST384"/>
    <x v="0"/>
    <x v="2"/>
    <n v="55"/>
    <x v="0"/>
    <n v="1"/>
    <n v="500"/>
    <n v="500"/>
    <n v="7.5"/>
    <n v="10"/>
  </r>
  <r>
    <n v="385"/>
    <n v="6"/>
    <n v="10"/>
    <n v="2023"/>
    <s v="Friday"/>
    <s v="October"/>
    <s v="2023"/>
    <d v="2023-10-06T00:00:00"/>
    <s v="CUST385"/>
    <x v="0"/>
    <x v="0"/>
    <n v="50"/>
    <x v="0"/>
    <n v="3"/>
    <n v="500"/>
    <n v="1500"/>
    <n v="22.5"/>
    <n v="30"/>
  </r>
  <r>
    <n v="386"/>
    <n v="27"/>
    <n v="12"/>
    <n v="2023"/>
    <s v="Wednesday"/>
    <s v="December"/>
    <s v="2023"/>
    <d v="2023-12-27T00:00:00"/>
    <s v="CUST386"/>
    <x v="1"/>
    <x v="2"/>
    <n v="54"/>
    <x v="0"/>
    <n v="2"/>
    <n v="300"/>
    <n v="600"/>
    <n v="9"/>
    <n v="12"/>
  </r>
  <r>
    <n v="387"/>
    <n v="4"/>
    <n v="6"/>
    <n v="2023"/>
    <s v="Sunday"/>
    <s v="June"/>
    <s v="2023"/>
    <d v="2023-06-04T00:00:00"/>
    <s v="CUST387"/>
    <x v="0"/>
    <x v="0"/>
    <n v="44"/>
    <x v="0"/>
    <n v="1"/>
    <n v="30"/>
    <n v="30"/>
    <n v="0.44999999999999996"/>
    <n v="0.6"/>
  </r>
  <r>
    <n v="388"/>
    <n v="10"/>
    <n v="11"/>
    <n v="2023"/>
    <s v="Friday"/>
    <s v="November"/>
    <s v="2023"/>
    <d v="2023-11-10T00:00:00"/>
    <s v="CUST388"/>
    <x v="0"/>
    <x v="0"/>
    <n v="50"/>
    <x v="0"/>
    <n v="1"/>
    <n v="25"/>
    <n v="25"/>
    <n v="0.375"/>
    <n v="0.5"/>
  </r>
  <r>
    <n v="389"/>
    <n v="1"/>
    <n v="12"/>
    <n v="2023"/>
    <s v="Friday"/>
    <s v="December"/>
    <s v="2023"/>
    <d v="2023-12-01T00:00:00"/>
    <s v="CUST389"/>
    <x v="0"/>
    <x v="1"/>
    <n v="21"/>
    <x v="0"/>
    <n v="2"/>
    <n v="25"/>
    <n v="50"/>
    <n v="0.75"/>
    <n v="1"/>
  </r>
  <r>
    <n v="390"/>
    <n v="28"/>
    <n v="9"/>
    <n v="2023"/>
    <s v="Thursday"/>
    <s v="September"/>
    <s v="2023"/>
    <d v="2023-09-28T00:00:00"/>
    <s v="CUST390"/>
    <x v="0"/>
    <x v="0"/>
    <n v="39"/>
    <x v="0"/>
    <n v="2"/>
    <n v="50"/>
    <n v="100"/>
    <n v="1.5"/>
    <n v="2"/>
  </r>
  <r>
    <n v="391"/>
    <n v="5"/>
    <n v="1"/>
    <n v="2023"/>
    <s v="Thursday"/>
    <s v="January"/>
    <s v="2023"/>
    <d v="2023-01-05T00:00:00"/>
    <s v="CUST391"/>
    <x v="0"/>
    <x v="1"/>
    <n v="19"/>
    <x v="0"/>
    <n v="2"/>
    <n v="25"/>
    <n v="50"/>
    <n v="0.75"/>
    <n v="1"/>
  </r>
  <r>
    <n v="392"/>
    <n v="8"/>
    <n v="12"/>
    <n v="2023"/>
    <s v="Friday"/>
    <s v="December"/>
    <s v="2023"/>
    <d v="2023-12-08T00:00:00"/>
    <s v="CUST392"/>
    <x v="0"/>
    <x v="1"/>
    <n v="27"/>
    <x v="0"/>
    <n v="2"/>
    <n v="300"/>
    <n v="600"/>
    <n v="9"/>
    <n v="12"/>
  </r>
  <r>
    <n v="393"/>
    <n v="11"/>
    <n v="10"/>
    <n v="2023"/>
    <s v="Wednesday"/>
    <s v="October"/>
    <s v="2023"/>
    <d v="2023-10-11T00:00:00"/>
    <s v="CUST393"/>
    <x v="1"/>
    <x v="1"/>
    <n v="22"/>
    <x v="0"/>
    <n v="2"/>
    <n v="500"/>
    <n v="1000"/>
    <n v="15"/>
    <n v="20"/>
  </r>
  <r>
    <n v="394"/>
    <n v="3"/>
    <n v="6"/>
    <n v="2023"/>
    <s v="Saturday"/>
    <s v="June"/>
    <s v="2023"/>
    <d v="2023-06-03T00:00:00"/>
    <s v="CUST394"/>
    <x v="1"/>
    <x v="1"/>
    <n v="27"/>
    <x v="0"/>
    <n v="1"/>
    <n v="500"/>
    <n v="500"/>
    <n v="7.5"/>
    <n v="10"/>
  </r>
  <r>
    <n v="395"/>
    <n v="6"/>
    <n v="12"/>
    <n v="2023"/>
    <s v="Wednesday"/>
    <s v="December"/>
    <s v="2023"/>
    <d v="2023-12-06T00:00:00"/>
    <s v="CUST395"/>
    <x v="0"/>
    <x v="0"/>
    <n v="50"/>
    <x v="0"/>
    <n v="2"/>
    <n v="500"/>
    <n v="1000"/>
    <n v="15"/>
    <n v="20"/>
  </r>
  <r>
    <n v="396"/>
    <n v="23"/>
    <n v="2"/>
    <n v="2023"/>
    <s v="Thursday"/>
    <s v="February"/>
    <s v="2023"/>
    <d v="2023-02-23T00:00:00"/>
    <s v="CUST396"/>
    <x v="1"/>
    <x v="2"/>
    <n v="55"/>
    <x v="0"/>
    <n v="1"/>
    <n v="30"/>
    <n v="30"/>
    <n v="0.44999999999999996"/>
    <n v="0.6"/>
  </r>
  <r>
    <n v="397"/>
    <n v="10"/>
    <n v="3"/>
    <n v="2023"/>
    <s v="Friday"/>
    <s v="March"/>
    <s v="2023"/>
    <d v="2023-03-10T00:00:00"/>
    <s v="CUST397"/>
    <x v="1"/>
    <x v="0"/>
    <n v="30"/>
    <x v="0"/>
    <n v="1"/>
    <n v="25"/>
    <n v="25"/>
    <n v="0.375"/>
    <n v="0.5"/>
  </r>
  <r>
    <n v="398"/>
    <n v="16"/>
    <n v="5"/>
    <n v="2023"/>
    <s v="Tuesday"/>
    <s v="May"/>
    <s v="2023"/>
    <d v="2023-05-16T00:00:00"/>
    <s v="CUST398"/>
    <x v="1"/>
    <x v="0"/>
    <n v="48"/>
    <x v="0"/>
    <n v="2"/>
    <n v="300"/>
    <n v="600"/>
    <n v="9"/>
    <n v="12"/>
  </r>
  <r>
    <n v="399"/>
    <n v="1"/>
    <n v="3"/>
    <n v="2023"/>
    <s v="Wednesday"/>
    <s v="March"/>
    <s v="2023"/>
    <d v="2023-03-01T00:00:00"/>
    <s v="CUST399"/>
    <x v="1"/>
    <x v="2"/>
    <n v="64"/>
    <x v="0"/>
    <n v="2"/>
    <n v="30"/>
    <n v="60"/>
    <n v="0.89999999999999991"/>
    <n v="1.2"/>
  </r>
  <r>
    <n v="400"/>
    <n v="24"/>
    <n v="2"/>
    <n v="2023"/>
    <s v="Friday"/>
    <s v="February"/>
    <s v="2023"/>
    <d v="2023-02-24T00:00:00"/>
    <s v="CUST400"/>
    <x v="0"/>
    <x v="2"/>
    <n v="53"/>
    <x v="0"/>
    <n v="4"/>
    <n v="50"/>
    <n v="200"/>
    <n v="3"/>
    <n v="4"/>
  </r>
  <r>
    <n v="401"/>
    <n v="11"/>
    <n v="10"/>
    <n v="2023"/>
    <s v="Wednesday"/>
    <s v="October"/>
    <s v="2023"/>
    <d v="2023-10-11T00:00:00"/>
    <s v="CUST401"/>
    <x v="1"/>
    <x v="2"/>
    <n v="62"/>
    <x v="0"/>
    <n v="1"/>
    <n v="300"/>
    <n v="300"/>
    <n v="4.5"/>
    <n v="6"/>
  </r>
  <r>
    <n v="402"/>
    <n v="21"/>
    <n v="3"/>
    <n v="2023"/>
    <s v="Tuesday"/>
    <s v="March"/>
    <s v="2023"/>
    <d v="2023-03-21T00:00:00"/>
    <s v="CUST402"/>
    <x v="1"/>
    <x v="0"/>
    <n v="41"/>
    <x v="0"/>
    <n v="2"/>
    <n v="300"/>
    <n v="600"/>
    <n v="9"/>
    <n v="12"/>
  </r>
  <r>
    <n v="403"/>
    <n v="20"/>
    <n v="5"/>
    <n v="2023"/>
    <s v="Saturday"/>
    <s v="May"/>
    <s v="2023"/>
    <d v="2023-05-20T00:00:00"/>
    <s v="CUST403"/>
    <x v="0"/>
    <x v="0"/>
    <n v="32"/>
    <x v="0"/>
    <n v="2"/>
    <n v="300"/>
    <n v="600"/>
    <n v="9"/>
    <n v="12"/>
  </r>
  <r>
    <n v="404"/>
    <n v="25"/>
    <n v="5"/>
    <n v="2023"/>
    <s v="Thursday"/>
    <s v="May"/>
    <s v="2023"/>
    <d v="2023-05-25T00:00:00"/>
    <s v="CUST404"/>
    <x v="0"/>
    <x v="0"/>
    <n v="46"/>
    <x v="0"/>
    <n v="2"/>
    <n v="500"/>
    <n v="1000"/>
    <n v="15"/>
    <n v="20"/>
  </r>
  <r>
    <n v="405"/>
    <n v="6"/>
    <n v="11"/>
    <n v="2023"/>
    <s v="Monday"/>
    <s v="November"/>
    <s v="2023"/>
    <d v="2023-11-06T00:00:00"/>
    <s v="CUST405"/>
    <x v="1"/>
    <x v="1"/>
    <n v="25"/>
    <x v="0"/>
    <n v="4"/>
    <n v="300"/>
    <n v="1200"/>
    <n v="18"/>
    <n v="24"/>
  </r>
  <r>
    <n v="406"/>
    <n v="18"/>
    <n v="4"/>
    <n v="2023"/>
    <s v="Tuesday"/>
    <s v="April"/>
    <s v="2023"/>
    <d v="2023-04-18T00:00:00"/>
    <s v="CUST406"/>
    <x v="1"/>
    <x v="1"/>
    <n v="22"/>
    <x v="0"/>
    <n v="4"/>
    <n v="25"/>
    <n v="100"/>
    <n v="1.5"/>
    <n v="2"/>
  </r>
  <r>
    <n v="407"/>
    <n v="25"/>
    <n v="6"/>
    <n v="2023"/>
    <s v="Sunday"/>
    <s v="June"/>
    <s v="2023"/>
    <d v="2023-06-25T00:00:00"/>
    <s v="CUST407"/>
    <x v="1"/>
    <x v="0"/>
    <n v="46"/>
    <x v="0"/>
    <n v="3"/>
    <n v="300"/>
    <n v="900"/>
    <n v="13.5"/>
    <n v="18"/>
  </r>
  <r>
    <n v="408"/>
    <n v="15"/>
    <n v="4"/>
    <n v="2023"/>
    <s v="Saturday"/>
    <s v="April"/>
    <s v="2023"/>
    <d v="2023-04-15T00:00:00"/>
    <s v="CUST408"/>
    <x v="1"/>
    <x v="2"/>
    <n v="64"/>
    <x v="0"/>
    <n v="1"/>
    <n v="500"/>
    <n v="500"/>
    <n v="7.5"/>
    <n v="10"/>
  </r>
  <r>
    <n v="409"/>
    <n v="18"/>
    <n v="12"/>
    <n v="2023"/>
    <s v="Monday"/>
    <s v="December"/>
    <s v="2023"/>
    <d v="2023-12-18T00:00:00"/>
    <s v="CUST409"/>
    <x v="1"/>
    <x v="1"/>
    <n v="21"/>
    <x v="0"/>
    <n v="3"/>
    <n v="300"/>
    <n v="900"/>
    <n v="13.5"/>
    <n v="18"/>
  </r>
  <r>
    <n v="410"/>
    <n v="21"/>
    <n v="11"/>
    <n v="2023"/>
    <s v="Tuesday"/>
    <s v="November"/>
    <s v="2023"/>
    <d v="2023-11-21T00:00:00"/>
    <s v="CUST410"/>
    <x v="1"/>
    <x v="1"/>
    <n v="29"/>
    <x v="0"/>
    <n v="2"/>
    <n v="50"/>
    <n v="100"/>
    <n v="1.5"/>
    <n v="2"/>
  </r>
  <r>
    <n v="411"/>
    <n v="16"/>
    <n v="5"/>
    <n v="2023"/>
    <s v="Tuesday"/>
    <s v="May"/>
    <s v="2023"/>
    <d v="2023-05-16T00:00:00"/>
    <s v="CUST411"/>
    <x v="0"/>
    <x v="2"/>
    <n v="62"/>
    <x v="0"/>
    <n v="4"/>
    <n v="50"/>
    <n v="200"/>
    <n v="3"/>
    <n v="4"/>
  </r>
  <r>
    <n v="412"/>
    <n v="16"/>
    <n v="9"/>
    <n v="2023"/>
    <s v="Saturday"/>
    <s v="September"/>
    <s v="2023"/>
    <d v="2023-09-16T00:00:00"/>
    <s v="CUST412"/>
    <x v="1"/>
    <x v="1"/>
    <n v="19"/>
    <x v="0"/>
    <n v="4"/>
    <n v="500"/>
    <n v="2000"/>
    <n v="30"/>
    <n v="40"/>
  </r>
  <r>
    <n v="413"/>
    <n v="8"/>
    <n v="9"/>
    <n v="2023"/>
    <s v="Friday"/>
    <s v="September"/>
    <s v="2023"/>
    <d v="2023-09-08T00:00:00"/>
    <s v="CUST413"/>
    <x v="1"/>
    <x v="0"/>
    <n v="44"/>
    <x v="0"/>
    <n v="3"/>
    <n v="25"/>
    <n v="75"/>
    <n v="1.125"/>
    <n v="1.5"/>
  </r>
  <r>
    <n v="414"/>
    <n v="9"/>
    <n v="5"/>
    <n v="2023"/>
    <s v="Tuesday"/>
    <s v="May"/>
    <s v="2023"/>
    <d v="2023-05-09T00:00:00"/>
    <s v="CUST414"/>
    <x v="0"/>
    <x v="0"/>
    <n v="48"/>
    <x v="0"/>
    <n v="4"/>
    <n v="25"/>
    <n v="100"/>
    <n v="1.5"/>
    <n v="2"/>
  </r>
  <r>
    <n v="415"/>
    <n v="27"/>
    <n v="1"/>
    <n v="2023"/>
    <s v="Friday"/>
    <s v="January"/>
    <s v="2023"/>
    <d v="2023-01-27T00:00:00"/>
    <s v="CUST415"/>
    <x v="0"/>
    <x v="2"/>
    <n v="53"/>
    <x v="0"/>
    <n v="2"/>
    <n v="30"/>
    <n v="60"/>
    <n v="0.89999999999999991"/>
    <n v="1.2"/>
  </r>
  <r>
    <n v="416"/>
    <n v="17"/>
    <n v="2"/>
    <n v="2023"/>
    <s v="Friday"/>
    <s v="February"/>
    <s v="2023"/>
    <d v="2023-02-17T00:00:00"/>
    <s v="CUST416"/>
    <x v="0"/>
    <x v="2"/>
    <n v="53"/>
    <x v="0"/>
    <n v="4"/>
    <n v="500"/>
    <n v="2000"/>
    <n v="30"/>
    <n v="40"/>
  </r>
  <r>
    <n v="417"/>
    <n v="21"/>
    <n v="11"/>
    <n v="2023"/>
    <s v="Tuesday"/>
    <s v="November"/>
    <s v="2023"/>
    <d v="2023-11-21T00:00:00"/>
    <s v="CUST417"/>
    <x v="0"/>
    <x v="0"/>
    <n v="43"/>
    <x v="0"/>
    <n v="3"/>
    <n v="300"/>
    <n v="900"/>
    <n v="13.5"/>
    <n v="18"/>
  </r>
  <r>
    <n v="418"/>
    <n v="5"/>
    <n v="8"/>
    <n v="2023"/>
    <s v="Saturday"/>
    <s v="August"/>
    <s v="2023"/>
    <d v="2023-08-05T00:00:00"/>
    <s v="CUST418"/>
    <x v="1"/>
    <x v="2"/>
    <n v="60"/>
    <x v="0"/>
    <n v="2"/>
    <n v="500"/>
    <n v="1000"/>
    <n v="15"/>
    <n v="20"/>
  </r>
  <r>
    <n v="419"/>
    <n v="22"/>
    <n v="5"/>
    <n v="2023"/>
    <s v="Monday"/>
    <s v="May"/>
    <s v="2023"/>
    <d v="2023-05-22T00:00:00"/>
    <s v="CUST419"/>
    <x v="1"/>
    <x v="0"/>
    <n v="44"/>
    <x v="0"/>
    <n v="3"/>
    <n v="30"/>
    <n v="90"/>
    <n v="1.3499999999999999"/>
    <n v="1.8"/>
  </r>
  <r>
    <n v="420"/>
    <n v="23"/>
    <n v="1"/>
    <n v="2023"/>
    <s v="Monday"/>
    <s v="January"/>
    <s v="2023"/>
    <d v="2023-01-23T00:00:00"/>
    <s v="CUST420"/>
    <x v="1"/>
    <x v="1"/>
    <n v="22"/>
    <x v="0"/>
    <n v="4"/>
    <n v="500"/>
    <n v="2000"/>
    <n v="30"/>
    <n v="40"/>
  </r>
  <r>
    <n v="421"/>
    <n v="2"/>
    <n v="1"/>
    <n v="2023"/>
    <s v="Monday"/>
    <s v="January"/>
    <s v="2023"/>
    <d v="2023-01-02T00:00:00"/>
    <s v="CUST421"/>
    <x v="1"/>
    <x v="0"/>
    <n v="37"/>
    <x v="0"/>
    <n v="3"/>
    <n v="500"/>
    <n v="1500"/>
    <n v="22.5"/>
    <n v="30"/>
  </r>
  <r>
    <n v="422"/>
    <n v="20"/>
    <n v="6"/>
    <n v="2023"/>
    <s v="Tuesday"/>
    <s v="June"/>
    <s v="2023"/>
    <d v="2023-06-20T00:00:00"/>
    <s v="CUST422"/>
    <x v="1"/>
    <x v="1"/>
    <n v="28"/>
    <x v="0"/>
    <n v="3"/>
    <n v="30"/>
    <n v="90"/>
    <n v="1.3499999999999999"/>
    <n v="1.8"/>
  </r>
  <r>
    <n v="423"/>
    <n v="8"/>
    <n v="3"/>
    <n v="2023"/>
    <s v="Wednesday"/>
    <s v="March"/>
    <s v="2023"/>
    <d v="2023-03-08T00:00:00"/>
    <s v="CUST423"/>
    <x v="1"/>
    <x v="1"/>
    <n v="27"/>
    <x v="0"/>
    <n v="1"/>
    <n v="25"/>
    <n v="25"/>
    <n v="0.375"/>
    <n v="0.5"/>
  </r>
  <r>
    <n v="424"/>
    <n v="23"/>
    <n v="11"/>
    <n v="2023"/>
    <s v="Thursday"/>
    <s v="November"/>
    <s v="2023"/>
    <d v="2023-11-23T00:00:00"/>
    <s v="CUST424"/>
    <x v="0"/>
    <x v="2"/>
    <n v="57"/>
    <x v="0"/>
    <n v="4"/>
    <n v="300"/>
    <n v="1200"/>
    <n v="18"/>
    <n v="24"/>
  </r>
  <r>
    <n v="425"/>
    <n v="15"/>
    <n v="5"/>
    <n v="2023"/>
    <s v="Monday"/>
    <s v="May"/>
    <s v="2023"/>
    <d v="2023-05-15T00:00:00"/>
    <s v="CUST425"/>
    <x v="1"/>
    <x v="2"/>
    <n v="55"/>
    <x v="0"/>
    <n v="4"/>
    <n v="30"/>
    <n v="120"/>
    <n v="1.7999999999999998"/>
    <n v="2.4"/>
  </r>
  <r>
    <n v="426"/>
    <n v="24"/>
    <n v="3"/>
    <n v="2023"/>
    <s v="Friday"/>
    <s v="March"/>
    <s v="2023"/>
    <d v="2023-03-24T00:00:00"/>
    <s v="CUST426"/>
    <x v="0"/>
    <x v="1"/>
    <n v="23"/>
    <x v="0"/>
    <n v="3"/>
    <n v="50"/>
    <n v="150"/>
    <n v="2.25"/>
    <n v="3"/>
  </r>
  <r>
    <n v="427"/>
    <n v="15"/>
    <n v="8"/>
    <n v="2023"/>
    <s v="Tuesday"/>
    <s v="August"/>
    <s v="2023"/>
    <d v="2023-08-15T00:00:00"/>
    <s v="CUST427"/>
    <x v="0"/>
    <x v="1"/>
    <n v="25"/>
    <x v="0"/>
    <n v="1"/>
    <n v="25"/>
    <n v="25"/>
    <n v="0.375"/>
    <n v="0.5"/>
  </r>
  <r>
    <n v="428"/>
    <n v="10"/>
    <n v="10"/>
    <n v="2023"/>
    <s v="Tuesday"/>
    <s v="October"/>
    <s v="2023"/>
    <d v="2023-10-10T00:00:00"/>
    <s v="CUST428"/>
    <x v="1"/>
    <x v="0"/>
    <n v="40"/>
    <x v="0"/>
    <n v="4"/>
    <n v="50"/>
    <n v="200"/>
    <n v="3"/>
    <n v="4"/>
  </r>
  <r>
    <n v="429"/>
    <n v="28"/>
    <n v="12"/>
    <n v="2023"/>
    <s v="Thursday"/>
    <s v="December"/>
    <s v="2023"/>
    <d v="2023-12-28T00:00:00"/>
    <s v="CUST429"/>
    <x v="0"/>
    <x v="2"/>
    <n v="64"/>
    <x v="0"/>
    <n v="2"/>
    <n v="25"/>
    <n v="50"/>
    <n v="0.75"/>
    <n v="1"/>
  </r>
  <r>
    <n v="430"/>
    <n v="7"/>
    <n v="8"/>
    <n v="2023"/>
    <s v="Monday"/>
    <s v="August"/>
    <s v="2023"/>
    <d v="2023-08-07T00:00:00"/>
    <s v="CUST430"/>
    <x v="1"/>
    <x v="0"/>
    <n v="43"/>
    <x v="0"/>
    <n v="3"/>
    <n v="300"/>
    <n v="900"/>
    <n v="13.5"/>
    <n v="18"/>
  </r>
  <r>
    <n v="431"/>
    <n v="15"/>
    <n v="10"/>
    <n v="2023"/>
    <s v="Sunday"/>
    <s v="October"/>
    <s v="2023"/>
    <d v="2023-10-15T00:00:00"/>
    <s v="CUST431"/>
    <x v="0"/>
    <x v="2"/>
    <n v="63"/>
    <x v="0"/>
    <n v="4"/>
    <n v="300"/>
    <n v="1200"/>
    <n v="18"/>
    <n v="24"/>
  </r>
  <r>
    <n v="432"/>
    <n v="5"/>
    <n v="1"/>
    <n v="2023"/>
    <s v="Thursday"/>
    <s v="January"/>
    <s v="2023"/>
    <d v="2023-01-05T00:00:00"/>
    <s v="CUST432"/>
    <x v="1"/>
    <x v="2"/>
    <n v="60"/>
    <x v="0"/>
    <n v="2"/>
    <n v="500"/>
    <n v="1000"/>
    <n v="15"/>
    <n v="20"/>
  </r>
  <r>
    <n v="433"/>
    <n v="27"/>
    <n v="2"/>
    <n v="2023"/>
    <s v="Monday"/>
    <s v="February"/>
    <s v="2023"/>
    <d v="2023-02-27T00:00:00"/>
    <s v="CUST433"/>
    <x v="0"/>
    <x v="1"/>
    <n v="29"/>
    <x v="0"/>
    <n v="4"/>
    <n v="50"/>
    <n v="200"/>
    <n v="3"/>
    <n v="4"/>
  </r>
  <r>
    <n v="434"/>
    <n v="8"/>
    <n v="2"/>
    <n v="2023"/>
    <s v="Wednesday"/>
    <s v="February"/>
    <s v="2023"/>
    <d v="2023-02-08T00:00:00"/>
    <s v="CUST434"/>
    <x v="1"/>
    <x v="0"/>
    <n v="43"/>
    <x v="0"/>
    <n v="2"/>
    <n v="25"/>
    <n v="50"/>
    <n v="0.75"/>
    <n v="1"/>
  </r>
  <r>
    <n v="435"/>
    <n v="20"/>
    <n v="12"/>
    <n v="2023"/>
    <s v="Wednesday"/>
    <s v="December"/>
    <s v="2023"/>
    <d v="2023-12-20T00:00:00"/>
    <s v="CUST435"/>
    <x v="1"/>
    <x v="0"/>
    <n v="30"/>
    <x v="0"/>
    <n v="3"/>
    <n v="300"/>
    <n v="900"/>
    <n v="13.5"/>
    <n v="18"/>
  </r>
  <r>
    <n v="436"/>
    <n v="18"/>
    <n v="3"/>
    <n v="2023"/>
    <s v="Saturday"/>
    <s v="March"/>
    <s v="2023"/>
    <d v="2023-03-18T00:00:00"/>
    <s v="CUST436"/>
    <x v="1"/>
    <x v="2"/>
    <n v="57"/>
    <x v="0"/>
    <n v="4"/>
    <n v="30"/>
    <n v="120"/>
    <n v="1.7999999999999998"/>
    <n v="2.4"/>
  </r>
  <r>
    <n v="437"/>
    <n v="7"/>
    <n v="10"/>
    <n v="2023"/>
    <s v="Saturday"/>
    <s v="October"/>
    <s v="2023"/>
    <d v="2023-10-07T00:00:00"/>
    <s v="CUST437"/>
    <x v="1"/>
    <x v="0"/>
    <n v="35"/>
    <x v="0"/>
    <n v="4"/>
    <n v="300"/>
    <n v="1200"/>
    <n v="18"/>
    <n v="24"/>
  </r>
  <r>
    <n v="438"/>
    <n v="19"/>
    <n v="1"/>
    <n v="2023"/>
    <s v="Thursday"/>
    <s v="January"/>
    <s v="2023"/>
    <d v="2023-01-19T00:00:00"/>
    <s v="CUST438"/>
    <x v="1"/>
    <x v="0"/>
    <n v="42"/>
    <x v="0"/>
    <n v="1"/>
    <n v="30"/>
    <n v="30"/>
    <n v="0.44999999999999996"/>
    <n v="0.6"/>
  </r>
  <r>
    <n v="439"/>
    <n v="9"/>
    <n v="7"/>
    <n v="2023"/>
    <s v="Sunday"/>
    <s v="July"/>
    <s v="2023"/>
    <d v="2023-07-09T00:00:00"/>
    <s v="CUST439"/>
    <x v="0"/>
    <x v="0"/>
    <n v="50"/>
    <x v="0"/>
    <n v="3"/>
    <n v="25"/>
    <n v="75"/>
    <n v="1.125"/>
    <n v="1.5"/>
  </r>
  <r>
    <n v="440"/>
    <n v="26"/>
    <n v="10"/>
    <n v="2023"/>
    <s v="Thursday"/>
    <s v="October"/>
    <s v="2023"/>
    <d v="2023-10-26T00:00:00"/>
    <s v="CUST440"/>
    <x v="0"/>
    <x v="2"/>
    <n v="64"/>
    <x v="0"/>
    <n v="2"/>
    <n v="300"/>
    <n v="600"/>
    <n v="9"/>
    <n v="12"/>
  </r>
  <r>
    <n v="441"/>
    <n v="10"/>
    <n v="10"/>
    <n v="2023"/>
    <s v="Tuesday"/>
    <s v="October"/>
    <s v="2023"/>
    <d v="2023-10-10T00:00:00"/>
    <s v="CUST441"/>
    <x v="0"/>
    <x v="2"/>
    <n v="57"/>
    <x v="0"/>
    <n v="4"/>
    <n v="300"/>
    <n v="1200"/>
    <n v="18"/>
    <n v="24"/>
  </r>
  <r>
    <n v="442"/>
    <n v="17"/>
    <n v="3"/>
    <n v="2023"/>
    <s v="Friday"/>
    <s v="March"/>
    <s v="2023"/>
    <d v="2023-03-17T00:00:00"/>
    <s v="CUST442"/>
    <x v="1"/>
    <x v="2"/>
    <n v="60"/>
    <x v="0"/>
    <n v="4"/>
    <n v="25"/>
    <n v="100"/>
    <n v="1.5"/>
    <n v="2"/>
  </r>
  <r>
    <n v="443"/>
    <n v="9"/>
    <n v="8"/>
    <n v="2023"/>
    <s v="Wednesday"/>
    <s v="August"/>
    <s v="2023"/>
    <d v="2023-08-09T00:00:00"/>
    <s v="CUST443"/>
    <x v="0"/>
    <x v="1"/>
    <n v="29"/>
    <x v="0"/>
    <n v="2"/>
    <n v="300"/>
    <n v="600"/>
    <n v="9"/>
    <n v="12"/>
  </r>
  <r>
    <n v="444"/>
    <n v="7"/>
    <n v="3"/>
    <n v="2023"/>
    <s v="Tuesday"/>
    <s v="March"/>
    <s v="2023"/>
    <d v="2023-03-07T00:00:00"/>
    <s v="CUST444"/>
    <x v="1"/>
    <x v="2"/>
    <n v="61"/>
    <x v="0"/>
    <n v="3"/>
    <n v="30"/>
    <n v="90"/>
    <n v="1.3499999999999999"/>
    <n v="1.8"/>
  </r>
  <r>
    <n v="445"/>
    <n v="22"/>
    <n v="1"/>
    <n v="2023"/>
    <s v="Sunday"/>
    <s v="January"/>
    <s v="2023"/>
    <d v="2023-01-22T00:00:00"/>
    <s v="CUST445"/>
    <x v="1"/>
    <x v="2"/>
    <n v="53"/>
    <x v="0"/>
    <n v="1"/>
    <n v="300"/>
    <n v="300"/>
    <n v="4.5"/>
    <n v="6"/>
  </r>
  <r>
    <n v="446"/>
    <n v="7"/>
    <n v="6"/>
    <n v="2023"/>
    <s v="Wednesday"/>
    <s v="June"/>
    <s v="2023"/>
    <d v="2023-06-07T00:00:00"/>
    <s v="CUST446"/>
    <x v="0"/>
    <x v="1"/>
    <n v="21"/>
    <x v="0"/>
    <n v="1"/>
    <n v="50"/>
    <n v="50"/>
    <n v="0.75"/>
    <n v="1"/>
  </r>
  <r>
    <n v="447"/>
    <n v="6"/>
    <n v="7"/>
    <n v="2023"/>
    <s v="Thursday"/>
    <s v="July"/>
    <s v="2023"/>
    <d v="2023-07-06T00:00:00"/>
    <s v="CUST447"/>
    <x v="0"/>
    <x v="1"/>
    <n v="22"/>
    <x v="0"/>
    <n v="4"/>
    <n v="500"/>
    <n v="2000"/>
    <n v="30"/>
    <n v="40"/>
  </r>
  <r>
    <n v="448"/>
    <n v="21"/>
    <n v="1"/>
    <n v="2023"/>
    <s v="Saturday"/>
    <s v="January"/>
    <s v="2023"/>
    <d v="2023-01-21T00:00:00"/>
    <s v="CUST448"/>
    <x v="1"/>
    <x v="2"/>
    <n v="54"/>
    <x v="0"/>
    <n v="2"/>
    <n v="30"/>
    <n v="60"/>
    <n v="0.89999999999999991"/>
    <n v="1.2"/>
  </r>
  <r>
    <n v="449"/>
    <n v="3"/>
    <n v="7"/>
    <n v="2023"/>
    <s v="Monday"/>
    <s v="July"/>
    <s v="2023"/>
    <d v="2023-07-03T00:00:00"/>
    <s v="CUST449"/>
    <x v="0"/>
    <x v="1"/>
    <n v="25"/>
    <x v="0"/>
    <n v="4"/>
    <n v="50"/>
    <n v="200"/>
    <n v="3"/>
    <n v="4"/>
  </r>
  <r>
    <n v="450"/>
    <n v="18"/>
    <n v="4"/>
    <n v="2023"/>
    <s v="Tuesday"/>
    <s v="April"/>
    <s v="2023"/>
    <d v="2023-04-18T00:00:00"/>
    <s v="CUST450"/>
    <x v="1"/>
    <x v="2"/>
    <n v="59"/>
    <x v="0"/>
    <n v="2"/>
    <n v="25"/>
    <n v="50"/>
    <n v="0.75"/>
    <n v="1"/>
  </r>
  <r>
    <n v="451"/>
    <n v="16"/>
    <n v="12"/>
    <n v="2023"/>
    <s v="Saturday"/>
    <s v="December"/>
    <s v="2023"/>
    <d v="2023-12-16T00:00:00"/>
    <s v="CUST451"/>
    <x v="1"/>
    <x v="0"/>
    <n v="45"/>
    <x v="0"/>
    <n v="1"/>
    <n v="30"/>
    <n v="30"/>
    <n v="0.44999999999999996"/>
    <n v="0.6"/>
  </r>
  <r>
    <n v="452"/>
    <n v="8"/>
    <n v="5"/>
    <n v="2023"/>
    <s v="Monday"/>
    <s v="May"/>
    <s v="2023"/>
    <d v="2023-05-08T00:00:00"/>
    <s v="CUST452"/>
    <x v="1"/>
    <x v="0"/>
    <n v="48"/>
    <x v="0"/>
    <n v="3"/>
    <n v="500"/>
    <n v="1500"/>
    <n v="22.5"/>
    <n v="30"/>
  </r>
  <r>
    <n v="453"/>
    <n v="8"/>
    <n v="12"/>
    <n v="2023"/>
    <s v="Friday"/>
    <s v="December"/>
    <s v="2023"/>
    <d v="2023-12-08T00:00:00"/>
    <s v="CUST453"/>
    <x v="1"/>
    <x v="1"/>
    <n v="26"/>
    <x v="0"/>
    <n v="2"/>
    <n v="500"/>
    <n v="1000"/>
    <n v="15"/>
    <n v="20"/>
  </r>
  <r>
    <n v="454"/>
    <n v="22"/>
    <n v="2"/>
    <n v="2023"/>
    <s v="Wednesday"/>
    <s v="February"/>
    <s v="2023"/>
    <d v="2023-02-22T00:00:00"/>
    <s v="CUST454"/>
    <x v="1"/>
    <x v="0"/>
    <n v="46"/>
    <x v="0"/>
    <n v="1"/>
    <n v="25"/>
    <n v="25"/>
    <n v="0.375"/>
    <n v="0.5"/>
  </r>
  <r>
    <n v="455"/>
    <n v="1"/>
    <n v="7"/>
    <n v="2023"/>
    <s v="Saturday"/>
    <s v="July"/>
    <s v="2023"/>
    <d v="2023-07-01T00:00:00"/>
    <s v="CUST455"/>
    <x v="0"/>
    <x v="0"/>
    <n v="31"/>
    <x v="0"/>
    <n v="4"/>
    <n v="25"/>
    <n v="100"/>
    <n v="1.5"/>
    <n v="2"/>
  </r>
  <r>
    <n v="456"/>
    <n v="14"/>
    <n v="10"/>
    <n v="2023"/>
    <s v="Saturday"/>
    <s v="October"/>
    <s v="2023"/>
    <d v="2023-10-14T00:00:00"/>
    <s v="CUST456"/>
    <x v="0"/>
    <x v="2"/>
    <n v="57"/>
    <x v="0"/>
    <n v="2"/>
    <n v="30"/>
    <n v="60"/>
    <n v="0.89999999999999991"/>
    <n v="1.2"/>
  </r>
  <r>
    <n v="457"/>
    <n v="28"/>
    <n v="7"/>
    <n v="2023"/>
    <s v="Friday"/>
    <s v="July"/>
    <s v="2023"/>
    <d v="2023-07-28T00:00:00"/>
    <s v="CUST457"/>
    <x v="1"/>
    <x v="2"/>
    <n v="58"/>
    <x v="0"/>
    <n v="3"/>
    <n v="300"/>
    <n v="900"/>
    <n v="13.5"/>
    <n v="18"/>
  </r>
  <r>
    <n v="458"/>
    <n v="14"/>
    <n v="11"/>
    <n v="2023"/>
    <s v="Tuesday"/>
    <s v="November"/>
    <s v="2023"/>
    <d v="2023-11-14T00:00:00"/>
    <s v="CUST458"/>
    <x v="1"/>
    <x v="0"/>
    <n v="39"/>
    <x v="0"/>
    <n v="4"/>
    <n v="25"/>
    <n v="100"/>
    <n v="1.5"/>
    <n v="2"/>
  </r>
  <r>
    <n v="459"/>
    <n v="21"/>
    <n v="3"/>
    <n v="2023"/>
    <s v="Tuesday"/>
    <s v="March"/>
    <s v="2023"/>
    <d v="2023-03-21T00:00:00"/>
    <s v="CUST459"/>
    <x v="0"/>
    <x v="1"/>
    <n v="28"/>
    <x v="0"/>
    <n v="4"/>
    <n v="300"/>
    <n v="1200"/>
    <n v="18"/>
    <n v="24"/>
  </r>
  <r>
    <n v="460"/>
    <n v="2"/>
    <n v="5"/>
    <n v="2023"/>
    <s v="Tuesday"/>
    <s v="May"/>
    <s v="2023"/>
    <d v="2023-05-02T00:00:00"/>
    <s v="CUST460"/>
    <x v="0"/>
    <x v="0"/>
    <n v="40"/>
    <x v="0"/>
    <n v="1"/>
    <n v="50"/>
    <n v="50"/>
    <n v="0.75"/>
    <n v="1"/>
  </r>
  <r>
    <n v="461"/>
    <n v="25"/>
    <n v="3"/>
    <n v="2023"/>
    <s v="Saturday"/>
    <s v="March"/>
    <s v="2023"/>
    <d v="2023-03-25T00:00:00"/>
    <s v="CUST461"/>
    <x v="1"/>
    <x v="1"/>
    <n v="18"/>
    <x v="0"/>
    <n v="2"/>
    <n v="500"/>
    <n v="1000"/>
    <n v="15"/>
    <n v="20"/>
  </r>
  <r>
    <n v="462"/>
    <n v="1"/>
    <n v="4"/>
    <n v="2023"/>
    <s v="Saturday"/>
    <s v="April"/>
    <s v="2023"/>
    <d v="2023-04-01T00:00:00"/>
    <s v="CUST462"/>
    <x v="0"/>
    <x v="2"/>
    <n v="63"/>
    <x v="0"/>
    <n v="4"/>
    <n v="300"/>
    <n v="1200"/>
    <n v="18"/>
    <n v="24"/>
  </r>
  <r>
    <n v="463"/>
    <n v="31"/>
    <n v="7"/>
    <n v="2023"/>
    <s v="Monday"/>
    <s v="July"/>
    <s v="2023"/>
    <d v="2023-07-31T00:00:00"/>
    <s v="CUST463"/>
    <x v="1"/>
    <x v="2"/>
    <n v="54"/>
    <x v="0"/>
    <n v="3"/>
    <n v="500"/>
    <n v="1500"/>
    <n v="22.5"/>
    <n v="30"/>
  </r>
  <r>
    <n v="464"/>
    <n v="13"/>
    <n v="1"/>
    <n v="2023"/>
    <s v="Friday"/>
    <s v="January"/>
    <s v="2023"/>
    <d v="2023-01-13T00:00:00"/>
    <s v="CUST464"/>
    <x v="0"/>
    <x v="0"/>
    <n v="38"/>
    <x v="0"/>
    <n v="2"/>
    <n v="300"/>
    <n v="600"/>
    <n v="9"/>
    <n v="12"/>
  </r>
  <r>
    <n v="465"/>
    <n v="2"/>
    <n v="4"/>
    <n v="2023"/>
    <s v="Sunday"/>
    <s v="April"/>
    <s v="2023"/>
    <d v="2023-04-02T00:00:00"/>
    <s v="CUST465"/>
    <x v="1"/>
    <x v="0"/>
    <n v="43"/>
    <x v="0"/>
    <n v="3"/>
    <n v="50"/>
    <n v="150"/>
    <n v="2.25"/>
    <n v="3"/>
  </r>
  <r>
    <n v="466"/>
    <n v="20"/>
    <n v="6"/>
    <n v="2023"/>
    <s v="Tuesday"/>
    <s v="June"/>
    <s v="2023"/>
    <d v="2023-06-20T00:00:00"/>
    <s v="CUST466"/>
    <x v="0"/>
    <x v="2"/>
    <n v="63"/>
    <x v="0"/>
    <n v="4"/>
    <n v="25"/>
    <n v="100"/>
    <n v="1.5"/>
    <n v="2"/>
  </r>
  <r>
    <n v="467"/>
    <n v="30"/>
    <n v="7"/>
    <n v="2023"/>
    <s v="Sunday"/>
    <s v="July"/>
    <s v="2023"/>
    <d v="2023-07-30T00:00:00"/>
    <s v="CUST467"/>
    <x v="1"/>
    <x v="2"/>
    <n v="53"/>
    <x v="0"/>
    <n v="3"/>
    <n v="50"/>
    <n v="150"/>
    <n v="2.25"/>
    <n v="3"/>
  </r>
  <r>
    <n v="468"/>
    <n v="9"/>
    <n v="12"/>
    <n v="2023"/>
    <s v="Saturday"/>
    <s v="December"/>
    <s v="2023"/>
    <d v="2023-12-09T00:00:00"/>
    <s v="CUST468"/>
    <x v="0"/>
    <x v="0"/>
    <n v="40"/>
    <x v="0"/>
    <n v="1"/>
    <n v="25"/>
    <n v="25"/>
    <n v="0.375"/>
    <n v="0.5"/>
  </r>
  <r>
    <n v="469"/>
    <n v="8"/>
    <n v="5"/>
    <n v="2023"/>
    <s v="Monday"/>
    <s v="May"/>
    <s v="2023"/>
    <d v="2023-05-08T00:00:00"/>
    <s v="CUST469"/>
    <x v="0"/>
    <x v="1"/>
    <n v="18"/>
    <x v="0"/>
    <n v="3"/>
    <n v="25"/>
    <n v="75"/>
    <n v="1.125"/>
    <n v="1.5"/>
  </r>
  <r>
    <n v="470"/>
    <n v="17"/>
    <n v="5"/>
    <n v="2023"/>
    <s v="Wednesday"/>
    <s v="May"/>
    <s v="2023"/>
    <d v="2023-05-17T00:00:00"/>
    <s v="CUST470"/>
    <x v="1"/>
    <x v="2"/>
    <n v="57"/>
    <x v="0"/>
    <n v="2"/>
    <n v="500"/>
    <n v="1000"/>
    <n v="15"/>
    <n v="20"/>
  </r>
  <r>
    <n v="471"/>
    <n v="23"/>
    <n v="3"/>
    <n v="2023"/>
    <s v="Thursday"/>
    <s v="March"/>
    <s v="2023"/>
    <d v="2023-03-23T00:00:00"/>
    <s v="CUST471"/>
    <x v="0"/>
    <x v="0"/>
    <n v="32"/>
    <x v="0"/>
    <n v="3"/>
    <n v="50"/>
    <n v="150"/>
    <n v="2.25"/>
    <n v="3"/>
  </r>
  <r>
    <n v="472"/>
    <n v="26"/>
    <n v="12"/>
    <n v="2023"/>
    <s v="Tuesday"/>
    <s v="December"/>
    <s v="2023"/>
    <d v="2023-12-26T00:00:00"/>
    <s v="CUST472"/>
    <x v="1"/>
    <x v="0"/>
    <n v="38"/>
    <x v="0"/>
    <n v="3"/>
    <n v="300"/>
    <n v="900"/>
    <n v="13.5"/>
    <n v="18"/>
  </r>
  <r>
    <n v="473"/>
    <n v="25"/>
    <n v="2"/>
    <n v="2023"/>
    <s v="Saturday"/>
    <s v="February"/>
    <s v="2023"/>
    <d v="2023-02-25T00:00:00"/>
    <s v="CUST473"/>
    <x v="0"/>
    <x v="2"/>
    <n v="64"/>
    <x v="0"/>
    <n v="1"/>
    <n v="50"/>
    <n v="50"/>
    <n v="0.75"/>
    <n v="1"/>
  </r>
  <r>
    <n v="474"/>
    <n v="15"/>
    <n v="7"/>
    <n v="2023"/>
    <s v="Saturday"/>
    <s v="July"/>
    <s v="2023"/>
    <d v="2023-07-15T00:00:00"/>
    <s v="CUST474"/>
    <x v="1"/>
    <x v="1"/>
    <n v="26"/>
    <x v="0"/>
    <n v="3"/>
    <n v="500"/>
    <n v="1500"/>
    <n v="22.5"/>
    <n v="30"/>
  </r>
  <r>
    <n v="475"/>
    <n v="20"/>
    <n v="1"/>
    <n v="2023"/>
    <s v="Friday"/>
    <s v="January"/>
    <s v="2023"/>
    <d v="2023-01-20T00:00:00"/>
    <s v="CUST475"/>
    <x v="0"/>
    <x v="1"/>
    <n v="26"/>
    <x v="0"/>
    <n v="3"/>
    <n v="25"/>
    <n v="75"/>
    <n v="1.125"/>
    <n v="1.5"/>
  </r>
  <r>
    <n v="476"/>
    <n v="29"/>
    <n v="8"/>
    <n v="2023"/>
    <s v="Tuesday"/>
    <s v="August"/>
    <s v="2023"/>
    <d v="2023-08-29T00:00:00"/>
    <s v="CUST476"/>
    <x v="1"/>
    <x v="1"/>
    <n v="27"/>
    <x v="0"/>
    <n v="4"/>
    <n v="500"/>
    <n v="2000"/>
    <n v="30"/>
    <n v="40"/>
  </r>
  <r>
    <n v="477"/>
    <n v="24"/>
    <n v="4"/>
    <n v="2023"/>
    <s v="Monday"/>
    <s v="April"/>
    <s v="2023"/>
    <d v="2023-04-24T00:00:00"/>
    <s v="CUST477"/>
    <x v="0"/>
    <x v="0"/>
    <n v="43"/>
    <x v="0"/>
    <n v="4"/>
    <n v="30"/>
    <n v="120"/>
    <n v="1.7999999999999998"/>
    <n v="2.4"/>
  </r>
  <r>
    <n v="478"/>
    <n v="13"/>
    <n v="4"/>
    <n v="2023"/>
    <s v="Thursday"/>
    <s v="April"/>
    <s v="2023"/>
    <d v="2023-04-13T00:00:00"/>
    <s v="CUST478"/>
    <x v="1"/>
    <x v="2"/>
    <n v="58"/>
    <x v="0"/>
    <n v="2"/>
    <n v="30"/>
    <n v="60"/>
    <n v="0.89999999999999991"/>
    <n v="1.2"/>
  </r>
  <r>
    <n v="479"/>
    <n v="24"/>
    <n v="8"/>
    <n v="2023"/>
    <s v="Thursday"/>
    <s v="August"/>
    <s v="2023"/>
    <d v="2023-08-24T00:00:00"/>
    <s v="CUST479"/>
    <x v="0"/>
    <x v="2"/>
    <n v="52"/>
    <x v="0"/>
    <n v="4"/>
    <n v="300"/>
    <n v="1200"/>
    <n v="18"/>
    <n v="24"/>
  </r>
  <r>
    <n v="480"/>
    <n v="29"/>
    <n v="6"/>
    <n v="2023"/>
    <s v="Thursday"/>
    <s v="June"/>
    <s v="2023"/>
    <d v="2023-06-29T00:00:00"/>
    <s v="CUST480"/>
    <x v="1"/>
    <x v="0"/>
    <n v="42"/>
    <x v="0"/>
    <n v="4"/>
    <n v="500"/>
    <n v="2000"/>
    <n v="30"/>
    <n v="40"/>
  </r>
  <r>
    <n v="481"/>
    <n v="6"/>
    <n v="6"/>
    <n v="2023"/>
    <s v="Tuesday"/>
    <s v="June"/>
    <s v="2023"/>
    <d v="2023-06-06T00:00:00"/>
    <s v="CUST481"/>
    <x v="1"/>
    <x v="0"/>
    <n v="43"/>
    <x v="0"/>
    <n v="4"/>
    <n v="300"/>
    <n v="1200"/>
    <n v="18"/>
    <n v="24"/>
  </r>
  <r>
    <n v="482"/>
    <n v="27"/>
    <n v="4"/>
    <n v="2023"/>
    <s v="Thursday"/>
    <s v="April"/>
    <s v="2023"/>
    <d v="2023-04-27T00:00:00"/>
    <s v="CUST482"/>
    <x v="1"/>
    <x v="1"/>
    <n v="28"/>
    <x v="0"/>
    <n v="4"/>
    <n v="300"/>
    <n v="1200"/>
    <n v="18"/>
    <n v="24"/>
  </r>
  <r>
    <n v="483"/>
    <n v="25"/>
    <n v="4"/>
    <n v="2023"/>
    <s v="Tuesday"/>
    <s v="April"/>
    <s v="2023"/>
    <d v="2023-04-25T00:00:00"/>
    <s v="CUST483"/>
    <x v="0"/>
    <x v="2"/>
    <n v="55"/>
    <x v="0"/>
    <n v="1"/>
    <n v="30"/>
    <n v="30"/>
    <n v="0.44999999999999996"/>
    <n v="0.6"/>
  </r>
  <r>
    <n v="484"/>
    <n v="13"/>
    <n v="1"/>
    <n v="2023"/>
    <s v="Friday"/>
    <s v="January"/>
    <s v="2023"/>
    <d v="2023-01-13T00:00:00"/>
    <s v="CUST484"/>
    <x v="1"/>
    <x v="1"/>
    <n v="19"/>
    <x v="0"/>
    <n v="4"/>
    <n v="300"/>
    <n v="1200"/>
    <n v="18"/>
    <n v="24"/>
  </r>
  <r>
    <n v="485"/>
    <n v="4"/>
    <n v="12"/>
    <n v="2023"/>
    <s v="Monday"/>
    <s v="December"/>
    <s v="2023"/>
    <d v="2023-12-04T00:00:00"/>
    <s v="CUST485"/>
    <x v="0"/>
    <x v="1"/>
    <n v="24"/>
    <x v="0"/>
    <n v="1"/>
    <n v="30"/>
    <n v="30"/>
    <n v="0.44999999999999996"/>
    <n v="0.6"/>
  </r>
  <r>
    <n v="486"/>
    <n v="9"/>
    <n v="4"/>
    <n v="2023"/>
    <s v="Sunday"/>
    <s v="April"/>
    <s v="2023"/>
    <d v="2023-04-09T00:00:00"/>
    <s v="CUST486"/>
    <x v="1"/>
    <x v="0"/>
    <n v="35"/>
    <x v="0"/>
    <n v="1"/>
    <n v="25"/>
    <n v="25"/>
    <n v="0.375"/>
    <n v="0.5"/>
  </r>
  <r>
    <n v="487"/>
    <n v="24"/>
    <n v="7"/>
    <n v="2023"/>
    <s v="Monday"/>
    <s v="July"/>
    <s v="2023"/>
    <d v="2023-07-24T00:00:00"/>
    <s v="CUST487"/>
    <x v="0"/>
    <x v="0"/>
    <n v="44"/>
    <x v="0"/>
    <n v="4"/>
    <n v="500"/>
    <n v="2000"/>
    <n v="30"/>
    <n v="40"/>
  </r>
  <r>
    <n v="488"/>
    <n v="18"/>
    <n v="6"/>
    <n v="2023"/>
    <s v="Sunday"/>
    <s v="June"/>
    <s v="2023"/>
    <d v="2023-06-18T00:00:00"/>
    <s v="CUST488"/>
    <x v="1"/>
    <x v="2"/>
    <n v="51"/>
    <x v="0"/>
    <n v="3"/>
    <n v="300"/>
    <n v="900"/>
    <n v="13.5"/>
    <n v="18"/>
  </r>
  <r>
    <n v="489"/>
    <n v="23"/>
    <n v="5"/>
    <n v="2023"/>
    <s v="Tuesday"/>
    <s v="May"/>
    <s v="2023"/>
    <d v="2023-05-23T00:00:00"/>
    <s v="CUST489"/>
    <x v="0"/>
    <x v="0"/>
    <n v="44"/>
    <x v="0"/>
    <n v="1"/>
    <n v="30"/>
    <n v="30"/>
    <n v="0.44999999999999996"/>
    <n v="0.6"/>
  </r>
  <r>
    <n v="490"/>
    <n v="5"/>
    <n v="2"/>
    <n v="2023"/>
    <s v="Sunday"/>
    <s v="February"/>
    <s v="2023"/>
    <d v="2023-02-05T00:00:00"/>
    <s v="CUST490"/>
    <x v="0"/>
    <x v="0"/>
    <n v="34"/>
    <x v="0"/>
    <n v="3"/>
    <n v="50"/>
    <n v="150"/>
    <n v="2.25"/>
    <n v="3"/>
  </r>
  <r>
    <n v="491"/>
    <n v="23"/>
    <n v="5"/>
    <n v="2023"/>
    <s v="Tuesday"/>
    <s v="May"/>
    <s v="2023"/>
    <d v="2023-05-23T00:00:00"/>
    <s v="CUST491"/>
    <x v="1"/>
    <x v="2"/>
    <n v="60"/>
    <x v="0"/>
    <n v="3"/>
    <n v="300"/>
    <n v="900"/>
    <n v="13.5"/>
    <n v="18"/>
  </r>
  <r>
    <n v="492"/>
    <n v="29"/>
    <n v="6"/>
    <n v="2023"/>
    <s v="Thursday"/>
    <s v="June"/>
    <s v="2023"/>
    <d v="2023-06-29T00:00:00"/>
    <s v="CUST492"/>
    <x v="0"/>
    <x v="2"/>
    <n v="61"/>
    <x v="0"/>
    <n v="4"/>
    <n v="25"/>
    <n v="100"/>
    <n v="1.5"/>
    <n v="2"/>
  </r>
  <r>
    <n v="493"/>
    <n v="25"/>
    <n v="11"/>
    <n v="2023"/>
    <s v="Saturday"/>
    <s v="November"/>
    <s v="2023"/>
    <d v="2023-11-25T00:00:00"/>
    <s v="CUST493"/>
    <x v="0"/>
    <x v="0"/>
    <n v="41"/>
    <x v="0"/>
    <n v="2"/>
    <n v="25"/>
    <n v="50"/>
    <n v="0.75"/>
    <n v="1"/>
  </r>
  <r>
    <n v="494"/>
    <n v="18"/>
    <n v="9"/>
    <n v="2023"/>
    <s v="Monday"/>
    <s v="September"/>
    <s v="2023"/>
    <d v="2023-09-18T00:00:00"/>
    <s v="CUST494"/>
    <x v="1"/>
    <x v="0"/>
    <n v="42"/>
    <x v="0"/>
    <n v="4"/>
    <n v="50"/>
    <n v="200"/>
    <n v="3"/>
    <n v="4"/>
  </r>
  <r>
    <n v="495"/>
    <n v="24"/>
    <n v="7"/>
    <n v="2023"/>
    <s v="Monday"/>
    <s v="July"/>
    <s v="2023"/>
    <d v="2023-07-24T00:00:00"/>
    <s v="CUST495"/>
    <x v="0"/>
    <x v="1"/>
    <n v="24"/>
    <x v="0"/>
    <n v="2"/>
    <n v="30"/>
    <n v="60"/>
    <n v="0.89999999999999991"/>
    <n v="1.2"/>
  </r>
  <r>
    <n v="496"/>
    <n v="14"/>
    <n v="12"/>
    <n v="2023"/>
    <s v="Thursday"/>
    <s v="December"/>
    <s v="2023"/>
    <d v="2023-12-14T00:00:00"/>
    <s v="CUST496"/>
    <x v="0"/>
    <x v="1"/>
    <n v="23"/>
    <x v="0"/>
    <n v="2"/>
    <n v="300"/>
    <n v="600"/>
    <n v="9"/>
    <n v="12"/>
  </r>
  <r>
    <n v="497"/>
    <n v="2"/>
    <n v="10"/>
    <n v="2023"/>
    <s v="Monday"/>
    <s v="October"/>
    <s v="2023"/>
    <d v="2023-10-02T00:00:00"/>
    <s v="CUST497"/>
    <x v="0"/>
    <x v="0"/>
    <n v="41"/>
    <x v="0"/>
    <n v="4"/>
    <n v="30"/>
    <n v="120"/>
    <n v="1.7999999999999998"/>
    <n v="2.4"/>
  </r>
  <r>
    <n v="498"/>
    <n v="19"/>
    <n v="6"/>
    <n v="2023"/>
    <s v="Monday"/>
    <s v="June"/>
    <s v="2023"/>
    <d v="2023-06-19T00:00:00"/>
    <s v="CUST498"/>
    <x v="1"/>
    <x v="0"/>
    <n v="50"/>
    <x v="0"/>
    <n v="4"/>
    <n v="25"/>
    <n v="100"/>
    <n v="1.5"/>
    <n v="2"/>
  </r>
  <r>
    <n v="499"/>
    <n v="15"/>
    <n v="1"/>
    <n v="2023"/>
    <s v="Sunday"/>
    <s v="January"/>
    <s v="2023"/>
    <d v="2023-01-15T00:00:00"/>
    <s v="CUST499"/>
    <x v="0"/>
    <x v="0"/>
    <n v="46"/>
    <x v="0"/>
    <n v="2"/>
    <n v="30"/>
    <n v="60"/>
    <n v="0.89999999999999991"/>
    <n v="1.2"/>
  </r>
  <r>
    <n v="500"/>
    <n v="1"/>
    <n v="3"/>
    <n v="2023"/>
    <s v="Wednesday"/>
    <s v="March"/>
    <s v="2023"/>
    <d v="2023-03-01T00:00:00"/>
    <s v="CUST500"/>
    <x v="1"/>
    <x v="2"/>
    <n v="60"/>
    <x v="0"/>
    <n v="4"/>
    <n v="25"/>
    <n v="100"/>
    <n v="1.5"/>
    <n v="2"/>
  </r>
  <r>
    <n v="501"/>
    <n v="14"/>
    <n v="5"/>
    <n v="2023"/>
    <s v="Sunday"/>
    <s v="May"/>
    <s v="2023"/>
    <d v="2023-05-14T00:00:00"/>
    <s v="CUST501"/>
    <x v="0"/>
    <x v="0"/>
    <n v="39"/>
    <x v="0"/>
    <n v="2"/>
    <n v="30"/>
    <n v="60"/>
    <n v="0.89999999999999991"/>
    <n v="1.2"/>
  </r>
  <r>
    <n v="502"/>
    <n v="2"/>
    <n v="4"/>
    <n v="2023"/>
    <s v="Sunday"/>
    <s v="April"/>
    <s v="2023"/>
    <d v="2023-04-02T00:00:00"/>
    <s v="CUST502"/>
    <x v="0"/>
    <x v="0"/>
    <n v="43"/>
    <x v="0"/>
    <n v="3"/>
    <n v="50"/>
    <n v="150"/>
    <n v="2.25"/>
    <n v="3"/>
  </r>
  <r>
    <n v="503"/>
    <n v="25"/>
    <n v="10"/>
    <n v="2023"/>
    <s v="Wednesday"/>
    <s v="October"/>
    <s v="2023"/>
    <d v="2023-10-25T00:00:00"/>
    <s v="CUST503"/>
    <x v="0"/>
    <x v="0"/>
    <n v="45"/>
    <x v="0"/>
    <n v="4"/>
    <n v="500"/>
    <n v="2000"/>
    <n v="30"/>
    <n v="40"/>
  </r>
  <r>
    <n v="504"/>
    <n v="16"/>
    <n v="5"/>
    <n v="2023"/>
    <s v="Tuesday"/>
    <s v="May"/>
    <s v="2023"/>
    <d v="2023-05-16T00:00:00"/>
    <s v="CUST504"/>
    <x v="1"/>
    <x v="0"/>
    <n v="38"/>
    <x v="0"/>
    <n v="3"/>
    <n v="50"/>
    <n v="150"/>
    <n v="2.25"/>
    <n v="3"/>
  </r>
  <r>
    <n v="505"/>
    <n v="20"/>
    <n v="1"/>
    <n v="2023"/>
    <s v="Friday"/>
    <s v="January"/>
    <s v="2023"/>
    <d v="2023-01-20T00:00:00"/>
    <s v="CUST505"/>
    <x v="0"/>
    <x v="1"/>
    <n v="24"/>
    <x v="0"/>
    <n v="1"/>
    <n v="50"/>
    <n v="50"/>
    <n v="0.75"/>
    <n v="1"/>
  </r>
  <r>
    <n v="506"/>
    <n v="25"/>
    <n v="2"/>
    <n v="2023"/>
    <s v="Saturday"/>
    <s v="February"/>
    <s v="2023"/>
    <d v="2023-02-25T00:00:00"/>
    <s v="CUST506"/>
    <x v="0"/>
    <x v="0"/>
    <n v="34"/>
    <x v="0"/>
    <n v="3"/>
    <n v="500"/>
    <n v="1500"/>
    <n v="22.5"/>
    <n v="30"/>
  </r>
  <r>
    <n v="507"/>
    <n v="2"/>
    <n v="11"/>
    <n v="2023"/>
    <s v="Thursday"/>
    <s v="November"/>
    <s v="2023"/>
    <d v="2023-11-02T00:00:00"/>
    <s v="CUST507"/>
    <x v="1"/>
    <x v="0"/>
    <n v="37"/>
    <x v="0"/>
    <n v="3"/>
    <n v="500"/>
    <n v="1500"/>
    <n v="22.5"/>
    <n v="30"/>
  </r>
  <r>
    <n v="508"/>
    <n v="11"/>
    <n v="8"/>
    <n v="2023"/>
    <s v="Friday"/>
    <s v="August"/>
    <s v="2023"/>
    <d v="2023-08-11T00:00:00"/>
    <s v="CUST508"/>
    <x v="0"/>
    <x v="2"/>
    <n v="58"/>
    <x v="0"/>
    <n v="2"/>
    <n v="300"/>
    <n v="600"/>
    <n v="9"/>
    <n v="12"/>
  </r>
  <r>
    <n v="509"/>
    <n v="26"/>
    <n v="6"/>
    <n v="2023"/>
    <s v="Monday"/>
    <s v="June"/>
    <s v="2023"/>
    <d v="2023-06-26T00:00:00"/>
    <s v="CUST509"/>
    <x v="1"/>
    <x v="0"/>
    <n v="37"/>
    <x v="0"/>
    <n v="3"/>
    <n v="300"/>
    <n v="900"/>
    <n v="13.5"/>
    <n v="18"/>
  </r>
  <r>
    <n v="510"/>
    <n v="10"/>
    <n v="6"/>
    <n v="2023"/>
    <s v="Saturday"/>
    <s v="June"/>
    <s v="2023"/>
    <d v="2023-06-10T00:00:00"/>
    <s v="CUST510"/>
    <x v="1"/>
    <x v="0"/>
    <n v="39"/>
    <x v="0"/>
    <n v="4"/>
    <n v="50"/>
    <n v="200"/>
    <n v="3"/>
    <n v="4"/>
  </r>
  <r>
    <n v="511"/>
    <n v="12"/>
    <n v="8"/>
    <n v="2023"/>
    <s v="Saturday"/>
    <s v="August"/>
    <s v="2023"/>
    <d v="2023-08-12T00:00:00"/>
    <s v="CUST511"/>
    <x v="0"/>
    <x v="0"/>
    <n v="45"/>
    <x v="0"/>
    <n v="2"/>
    <n v="50"/>
    <n v="100"/>
    <n v="1.5"/>
    <n v="2"/>
  </r>
  <r>
    <n v="512"/>
    <n v="7"/>
    <n v="11"/>
    <n v="2023"/>
    <s v="Tuesday"/>
    <s v="November"/>
    <s v="2023"/>
    <d v="2023-11-07T00:00:00"/>
    <s v="CUST512"/>
    <x v="1"/>
    <x v="2"/>
    <n v="57"/>
    <x v="0"/>
    <n v="1"/>
    <n v="25"/>
    <n v="25"/>
    <n v="0.375"/>
    <n v="0.5"/>
  </r>
  <r>
    <n v="513"/>
    <n v="19"/>
    <n v="9"/>
    <n v="2023"/>
    <s v="Tuesday"/>
    <s v="September"/>
    <s v="2023"/>
    <d v="2023-09-19T00:00:00"/>
    <s v="CUST513"/>
    <x v="0"/>
    <x v="1"/>
    <n v="24"/>
    <x v="0"/>
    <n v="4"/>
    <n v="25"/>
    <n v="100"/>
    <n v="1.5"/>
    <n v="2"/>
  </r>
  <r>
    <n v="514"/>
    <n v="1"/>
    <n v="3"/>
    <n v="2023"/>
    <s v="Wednesday"/>
    <s v="March"/>
    <s v="2023"/>
    <d v="2023-03-01T00:00:00"/>
    <s v="CUST514"/>
    <x v="1"/>
    <x v="1"/>
    <n v="18"/>
    <x v="0"/>
    <n v="1"/>
    <n v="300"/>
    <n v="300"/>
    <n v="4.5"/>
    <n v="6"/>
  </r>
  <r>
    <n v="515"/>
    <n v="17"/>
    <n v="7"/>
    <n v="2023"/>
    <s v="Monday"/>
    <s v="July"/>
    <s v="2023"/>
    <d v="2023-07-17T00:00:00"/>
    <s v="CUST515"/>
    <x v="1"/>
    <x v="0"/>
    <n v="49"/>
    <x v="0"/>
    <n v="3"/>
    <n v="300"/>
    <n v="900"/>
    <n v="13.5"/>
    <n v="18"/>
  </r>
  <r>
    <n v="516"/>
    <n v="23"/>
    <n v="10"/>
    <n v="2023"/>
    <s v="Monday"/>
    <s v="October"/>
    <s v="2023"/>
    <d v="2023-10-23T00:00:00"/>
    <s v="CUST516"/>
    <x v="0"/>
    <x v="0"/>
    <n v="30"/>
    <x v="0"/>
    <n v="4"/>
    <n v="25"/>
    <n v="100"/>
    <n v="1.5"/>
    <n v="2"/>
  </r>
  <r>
    <n v="517"/>
    <n v="8"/>
    <n v="4"/>
    <n v="2023"/>
    <s v="Saturday"/>
    <s v="April"/>
    <s v="2023"/>
    <d v="2023-04-08T00:00:00"/>
    <s v="CUST517"/>
    <x v="1"/>
    <x v="0"/>
    <n v="47"/>
    <x v="0"/>
    <n v="4"/>
    <n v="25"/>
    <n v="100"/>
    <n v="1.5"/>
    <n v="2"/>
  </r>
  <r>
    <n v="518"/>
    <n v="11"/>
    <n v="5"/>
    <n v="2023"/>
    <s v="Thursday"/>
    <s v="May"/>
    <s v="2023"/>
    <d v="2023-05-11T00:00:00"/>
    <s v="CUST518"/>
    <x v="1"/>
    <x v="0"/>
    <n v="40"/>
    <x v="0"/>
    <n v="1"/>
    <n v="30"/>
    <n v="30"/>
    <n v="0.44999999999999996"/>
    <n v="0.6"/>
  </r>
  <r>
    <n v="519"/>
    <n v="23"/>
    <n v="1"/>
    <n v="2023"/>
    <s v="Monday"/>
    <s v="January"/>
    <s v="2023"/>
    <d v="2023-01-23T00:00:00"/>
    <s v="CUST519"/>
    <x v="1"/>
    <x v="0"/>
    <n v="36"/>
    <x v="0"/>
    <n v="4"/>
    <n v="30"/>
    <n v="120"/>
    <n v="1.7999999999999998"/>
    <n v="2.4"/>
  </r>
  <r>
    <n v="520"/>
    <n v="29"/>
    <n v="12"/>
    <n v="2023"/>
    <s v="Friday"/>
    <s v="December"/>
    <s v="2023"/>
    <d v="2023-12-29T00:00:00"/>
    <s v="CUST520"/>
    <x v="1"/>
    <x v="0"/>
    <n v="49"/>
    <x v="1"/>
    <n v="4"/>
    <n v="25"/>
    <n v="100"/>
    <n v="1.5"/>
    <n v="2"/>
  </r>
  <r>
    <n v="521"/>
    <n v="12"/>
    <n v="8"/>
    <n v="2023"/>
    <s v="Saturday"/>
    <s v="August"/>
    <s v="2023"/>
    <d v="2023-08-12T00:00:00"/>
    <s v="CUST521"/>
    <x v="1"/>
    <x v="0"/>
    <n v="47"/>
    <x v="2"/>
    <n v="4"/>
    <n v="30"/>
    <n v="120"/>
    <n v="1.7999999999999998"/>
    <n v="2.4"/>
  </r>
  <r>
    <n v="522"/>
    <n v="1"/>
    <n v="1"/>
    <n v="2023"/>
    <s v="Sunday"/>
    <s v="January"/>
    <s v="2023"/>
    <d v="2023-01-01T00:00:00"/>
    <s v="CUST522"/>
    <x v="0"/>
    <x v="0"/>
    <n v="46"/>
    <x v="0"/>
    <n v="3"/>
    <n v="500"/>
    <n v="1500"/>
    <n v="22.5"/>
    <n v="30"/>
  </r>
  <r>
    <n v="523"/>
    <n v="24"/>
    <n v="9"/>
    <n v="2023"/>
    <s v="Sunday"/>
    <s v="September"/>
    <s v="2023"/>
    <d v="2023-09-24T00:00:00"/>
    <s v="CUST523"/>
    <x v="1"/>
    <x v="2"/>
    <n v="62"/>
    <x v="1"/>
    <n v="1"/>
    <n v="300"/>
    <n v="300"/>
    <n v="4.5"/>
    <n v="6"/>
  </r>
  <r>
    <n v="524"/>
    <n v="3"/>
    <n v="10"/>
    <n v="2023"/>
    <s v="Tuesday"/>
    <s v="October"/>
    <s v="2023"/>
    <d v="2023-10-03T00:00:00"/>
    <s v="CUST524"/>
    <x v="0"/>
    <x v="0"/>
    <n v="46"/>
    <x v="0"/>
    <n v="4"/>
    <n v="300"/>
    <n v="1200"/>
    <n v="18"/>
    <n v="24"/>
  </r>
  <r>
    <n v="525"/>
    <n v="18"/>
    <n v="12"/>
    <n v="2023"/>
    <s v="Monday"/>
    <s v="December"/>
    <s v="2023"/>
    <d v="2023-12-18T00:00:00"/>
    <s v="CUST525"/>
    <x v="1"/>
    <x v="0"/>
    <n v="47"/>
    <x v="0"/>
    <n v="2"/>
    <n v="25"/>
    <n v="50"/>
    <n v="0.75"/>
    <n v="1"/>
  </r>
  <r>
    <n v="526"/>
    <n v="10"/>
    <n v="12"/>
    <n v="2023"/>
    <s v="Sunday"/>
    <s v="December"/>
    <s v="2023"/>
    <d v="2023-12-10T00:00:00"/>
    <s v="CUST526"/>
    <x v="0"/>
    <x v="0"/>
    <n v="33"/>
    <x v="2"/>
    <n v="2"/>
    <n v="50"/>
    <n v="100"/>
    <n v="1.5"/>
    <n v="2"/>
  </r>
  <r>
    <n v="527"/>
    <n v="11"/>
    <n v="4"/>
    <n v="2023"/>
    <s v="Tuesday"/>
    <s v="April"/>
    <s v="2023"/>
    <d v="2023-04-11T00:00:00"/>
    <s v="CUST527"/>
    <x v="0"/>
    <x v="2"/>
    <n v="57"/>
    <x v="2"/>
    <n v="2"/>
    <n v="25"/>
    <n v="50"/>
    <n v="0.75"/>
    <n v="1"/>
  </r>
  <r>
    <n v="528"/>
    <n v="6"/>
    <n v="7"/>
    <n v="2023"/>
    <s v="Thursday"/>
    <s v="July"/>
    <s v="2023"/>
    <d v="2023-07-06T00:00:00"/>
    <s v="CUST528"/>
    <x v="1"/>
    <x v="0"/>
    <n v="36"/>
    <x v="2"/>
    <n v="2"/>
    <n v="30"/>
    <n v="60"/>
    <n v="0.89999999999999991"/>
    <n v="1.2"/>
  </r>
  <r>
    <n v="529"/>
    <n v="9"/>
    <n v="8"/>
    <n v="2023"/>
    <s v="Wednesday"/>
    <s v="August"/>
    <s v="2023"/>
    <d v="2023-08-09T00:00:00"/>
    <s v="CUST529"/>
    <x v="1"/>
    <x v="0"/>
    <n v="35"/>
    <x v="2"/>
    <n v="3"/>
    <n v="50"/>
    <n v="150"/>
    <n v="2.25"/>
    <n v="3"/>
  </r>
  <r>
    <n v="530"/>
    <n v="5"/>
    <n v="2"/>
    <n v="2023"/>
    <s v="Sunday"/>
    <s v="February"/>
    <s v="2023"/>
    <d v="2023-02-05T00:00:00"/>
    <s v="CUST530"/>
    <x v="1"/>
    <x v="1"/>
    <n v="18"/>
    <x v="1"/>
    <n v="4"/>
    <n v="30"/>
    <n v="120"/>
    <n v="1.7999999999999998"/>
    <n v="2.4"/>
  </r>
  <r>
    <n v="531"/>
    <n v="7"/>
    <n v="12"/>
    <n v="2023"/>
    <s v="Thursday"/>
    <s v="December"/>
    <s v="2023"/>
    <d v="2023-12-07T00:00:00"/>
    <s v="CUST531"/>
    <x v="0"/>
    <x v="0"/>
    <n v="31"/>
    <x v="1"/>
    <n v="1"/>
    <n v="500"/>
    <n v="500"/>
    <n v="7.5"/>
    <n v="10"/>
  </r>
  <r>
    <n v="532"/>
    <n v="19"/>
    <n v="6"/>
    <n v="2023"/>
    <s v="Monday"/>
    <s v="June"/>
    <s v="2023"/>
    <d v="2023-06-19T00:00:00"/>
    <s v="CUST532"/>
    <x v="1"/>
    <x v="2"/>
    <n v="64"/>
    <x v="2"/>
    <n v="4"/>
    <n v="30"/>
    <n v="120"/>
    <n v="1.7999999999999998"/>
    <n v="2.4"/>
  </r>
  <r>
    <n v="533"/>
    <n v="16"/>
    <n v="11"/>
    <n v="2023"/>
    <s v="Thursday"/>
    <s v="November"/>
    <s v="2023"/>
    <d v="2023-11-16T00:00:00"/>
    <s v="CUST533"/>
    <x v="0"/>
    <x v="1"/>
    <n v="19"/>
    <x v="1"/>
    <n v="3"/>
    <n v="500"/>
    <n v="1500"/>
    <n v="22.5"/>
    <n v="30"/>
  </r>
  <r>
    <n v="534"/>
    <n v="10"/>
    <n v="6"/>
    <n v="2023"/>
    <s v="Saturday"/>
    <s v="June"/>
    <s v="2023"/>
    <d v="2023-06-10T00:00:00"/>
    <s v="CUST534"/>
    <x v="0"/>
    <x v="0"/>
    <n v="45"/>
    <x v="2"/>
    <n v="2"/>
    <n v="500"/>
    <n v="1000"/>
    <n v="15"/>
    <n v="20"/>
  </r>
  <r>
    <n v="535"/>
    <n v="6"/>
    <n v="12"/>
    <n v="2023"/>
    <s v="Wednesday"/>
    <s v="December"/>
    <s v="2023"/>
    <d v="2023-12-06T00:00:00"/>
    <s v="CUST535"/>
    <x v="0"/>
    <x v="0"/>
    <n v="47"/>
    <x v="0"/>
    <n v="3"/>
    <n v="30"/>
    <n v="90"/>
    <n v="1.3499999999999999"/>
    <n v="1.8"/>
  </r>
  <r>
    <n v="536"/>
    <n v="5"/>
    <n v="3"/>
    <n v="2023"/>
    <s v="Sunday"/>
    <s v="March"/>
    <s v="2023"/>
    <d v="2023-03-05T00:00:00"/>
    <s v="CUST536"/>
    <x v="1"/>
    <x v="2"/>
    <n v="55"/>
    <x v="0"/>
    <n v="4"/>
    <n v="30"/>
    <n v="120"/>
    <n v="1.7999999999999998"/>
    <n v="2.4"/>
  </r>
  <r>
    <n v="537"/>
    <n v="3"/>
    <n v="6"/>
    <n v="2023"/>
    <s v="Saturday"/>
    <s v="June"/>
    <s v="2023"/>
    <d v="2023-06-03T00:00:00"/>
    <s v="CUST537"/>
    <x v="1"/>
    <x v="1"/>
    <n v="21"/>
    <x v="0"/>
    <n v="1"/>
    <n v="500"/>
    <n v="500"/>
    <n v="7.5"/>
    <n v="10"/>
  </r>
  <r>
    <n v="538"/>
    <n v="17"/>
    <n v="9"/>
    <n v="2023"/>
    <s v="Sunday"/>
    <s v="September"/>
    <s v="2023"/>
    <d v="2023-09-17T00:00:00"/>
    <s v="CUST538"/>
    <x v="0"/>
    <x v="1"/>
    <n v="18"/>
    <x v="2"/>
    <n v="3"/>
    <n v="50"/>
    <n v="150"/>
    <n v="2.25"/>
    <n v="3"/>
  </r>
  <r>
    <n v="539"/>
    <n v="8"/>
    <n v="6"/>
    <n v="2023"/>
    <s v="Thursday"/>
    <s v="June"/>
    <s v="2023"/>
    <d v="2023-06-08T00:00:00"/>
    <s v="CUST539"/>
    <x v="0"/>
    <x v="1"/>
    <n v="25"/>
    <x v="0"/>
    <n v="1"/>
    <n v="500"/>
    <n v="500"/>
    <n v="7.5"/>
    <n v="10"/>
  </r>
  <r>
    <n v="540"/>
    <n v="8"/>
    <n v="12"/>
    <n v="2023"/>
    <s v="Friday"/>
    <s v="December"/>
    <s v="2023"/>
    <d v="2023-12-08T00:00:00"/>
    <s v="CUST540"/>
    <x v="1"/>
    <x v="0"/>
    <n v="46"/>
    <x v="1"/>
    <n v="3"/>
    <n v="300"/>
    <n v="900"/>
    <n v="13.5"/>
    <n v="18"/>
  </r>
  <r>
    <n v="541"/>
    <n v="29"/>
    <n v="7"/>
    <n v="2023"/>
    <s v="Saturday"/>
    <s v="July"/>
    <s v="2023"/>
    <d v="2023-07-29T00:00:00"/>
    <s v="CUST541"/>
    <x v="0"/>
    <x v="2"/>
    <n v="56"/>
    <x v="0"/>
    <n v="1"/>
    <n v="500"/>
    <n v="500"/>
    <n v="7.5"/>
    <n v="10"/>
  </r>
  <r>
    <n v="542"/>
    <n v="17"/>
    <n v="6"/>
    <n v="2023"/>
    <s v="Saturday"/>
    <s v="June"/>
    <s v="2023"/>
    <d v="2023-06-17T00:00:00"/>
    <s v="CUST542"/>
    <x v="1"/>
    <x v="1"/>
    <n v="20"/>
    <x v="0"/>
    <n v="1"/>
    <n v="50"/>
    <n v="50"/>
    <n v="0.75"/>
    <n v="1"/>
  </r>
  <r>
    <n v="543"/>
    <n v="26"/>
    <n v="7"/>
    <n v="2023"/>
    <s v="Wednesday"/>
    <s v="July"/>
    <s v="2023"/>
    <d v="2023-07-26T00:00:00"/>
    <s v="CUST543"/>
    <x v="0"/>
    <x v="0"/>
    <n v="49"/>
    <x v="0"/>
    <n v="2"/>
    <n v="300"/>
    <n v="600"/>
    <n v="9"/>
    <n v="12"/>
  </r>
  <r>
    <n v="544"/>
    <n v="23"/>
    <n v="12"/>
    <n v="2023"/>
    <s v="Saturday"/>
    <s v="December"/>
    <s v="2023"/>
    <d v="2023-12-23T00:00:00"/>
    <s v="CUST544"/>
    <x v="1"/>
    <x v="1"/>
    <n v="27"/>
    <x v="1"/>
    <n v="1"/>
    <n v="25"/>
    <n v="25"/>
    <n v="0.375"/>
    <n v="0.5"/>
  </r>
  <r>
    <n v="545"/>
    <n v="1"/>
    <n v="6"/>
    <n v="2023"/>
    <s v="Thursday"/>
    <s v="June"/>
    <s v="2023"/>
    <d v="2023-06-01T00:00:00"/>
    <s v="CUST545"/>
    <x v="0"/>
    <x v="1"/>
    <n v="27"/>
    <x v="2"/>
    <n v="2"/>
    <n v="25"/>
    <n v="50"/>
    <n v="0.75"/>
    <n v="1"/>
  </r>
  <r>
    <n v="546"/>
    <n v="11"/>
    <n v="10"/>
    <n v="2023"/>
    <s v="Wednesday"/>
    <s v="October"/>
    <s v="2023"/>
    <d v="2023-10-11T00:00:00"/>
    <s v="CUST546"/>
    <x v="1"/>
    <x v="0"/>
    <n v="36"/>
    <x v="1"/>
    <n v="4"/>
    <n v="50"/>
    <n v="200"/>
    <n v="3"/>
    <n v="4"/>
  </r>
  <r>
    <n v="547"/>
    <n v="7"/>
    <n v="3"/>
    <n v="2023"/>
    <s v="Tuesday"/>
    <s v="March"/>
    <s v="2023"/>
    <d v="2023-03-07T00:00:00"/>
    <s v="CUST547"/>
    <x v="0"/>
    <x v="2"/>
    <n v="63"/>
    <x v="2"/>
    <n v="4"/>
    <n v="500"/>
    <n v="2000"/>
    <n v="30"/>
    <n v="40"/>
  </r>
  <r>
    <n v="548"/>
    <n v="9"/>
    <n v="4"/>
    <n v="2023"/>
    <s v="Sunday"/>
    <s v="April"/>
    <s v="2023"/>
    <d v="2023-04-09T00:00:00"/>
    <s v="CUST548"/>
    <x v="1"/>
    <x v="2"/>
    <n v="51"/>
    <x v="2"/>
    <n v="2"/>
    <n v="30"/>
    <n v="60"/>
    <n v="0.89999999999999991"/>
    <n v="1.2"/>
  </r>
  <r>
    <n v="549"/>
    <n v="4"/>
    <n v="8"/>
    <n v="2023"/>
    <s v="Friday"/>
    <s v="August"/>
    <s v="2023"/>
    <d v="2023-08-04T00:00:00"/>
    <s v="CUST549"/>
    <x v="1"/>
    <x v="0"/>
    <n v="50"/>
    <x v="0"/>
    <n v="2"/>
    <n v="50"/>
    <n v="100"/>
    <n v="1.5"/>
    <n v="2"/>
  </r>
  <r>
    <n v="550"/>
    <n v="7"/>
    <n v="12"/>
    <n v="2023"/>
    <s v="Thursday"/>
    <s v="December"/>
    <s v="2023"/>
    <d v="2023-12-07T00:00:00"/>
    <s v="CUST550"/>
    <x v="0"/>
    <x v="0"/>
    <n v="40"/>
    <x v="2"/>
    <n v="3"/>
    <n v="300"/>
    <n v="900"/>
    <n v="13.5"/>
    <n v="18"/>
  </r>
  <r>
    <n v="551"/>
    <n v="14"/>
    <n v="7"/>
    <n v="2023"/>
    <s v="Friday"/>
    <s v="July"/>
    <s v="2023"/>
    <d v="2023-07-14T00:00:00"/>
    <s v="CUST551"/>
    <x v="0"/>
    <x v="0"/>
    <n v="45"/>
    <x v="1"/>
    <n v="3"/>
    <n v="300"/>
    <n v="900"/>
    <n v="13.5"/>
    <n v="18"/>
  </r>
  <r>
    <n v="552"/>
    <n v="13"/>
    <n v="12"/>
    <n v="2023"/>
    <s v="Wednesday"/>
    <s v="December"/>
    <s v="2023"/>
    <d v="2023-12-13T00:00:00"/>
    <s v="CUST552"/>
    <x v="1"/>
    <x v="0"/>
    <n v="49"/>
    <x v="1"/>
    <n v="3"/>
    <n v="25"/>
    <n v="75"/>
    <n v="1.125"/>
    <n v="1.5"/>
  </r>
  <r>
    <n v="553"/>
    <n v="31"/>
    <n v="3"/>
    <n v="2023"/>
    <s v="Friday"/>
    <s v="March"/>
    <s v="2023"/>
    <d v="2023-03-31T00:00:00"/>
    <s v="CUST553"/>
    <x v="0"/>
    <x v="1"/>
    <n v="24"/>
    <x v="2"/>
    <n v="4"/>
    <n v="300"/>
    <n v="1200"/>
    <n v="18"/>
    <n v="24"/>
  </r>
  <r>
    <n v="554"/>
    <n v="12"/>
    <n v="11"/>
    <n v="2023"/>
    <s v="Sunday"/>
    <s v="November"/>
    <s v="2023"/>
    <d v="2023-11-12T00:00:00"/>
    <s v="CUST554"/>
    <x v="1"/>
    <x v="0"/>
    <n v="46"/>
    <x v="0"/>
    <n v="3"/>
    <n v="50"/>
    <n v="150"/>
    <n v="2.25"/>
    <n v="3"/>
  </r>
  <r>
    <n v="555"/>
    <n v="19"/>
    <n v="10"/>
    <n v="2023"/>
    <s v="Thursday"/>
    <s v="October"/>
    <s v="2023"/>
    <d v="2023-10-19T00:00:00"/>
    <s v="CUST555"/>
    <x v="0"/>
    <x v="1"/>
    <n v="25"/>
    <x v="0"/>
    <n v="1"/>
    <n v="300"/>
    <n v="300"/>
    <n v="4.5"/>
    <n v="6"/>
  </r>
  <r>
    <n v="556"/>
    <n v="4"/>
    <n v="6"/>
    <n v="2023"/>
    <s v="Sunday"/>
    <s v="June"/>
    <s v="2023"/>
    <d v="2023-06-04T00:00:00"/>
    <s v="CUST556"/>
    <x v="1"/>
    <x v="1"/>
    <n v="18"/>
    <x v="1"/>
    <n v="1"/>
    <n v="50"/>
    <n v="50"/>
    <n v="0.75"/>
    <n v="1"/>
  </r>
  <r>
    <n v="557"/>
    <n v="27"/>
    <n v="7"/>
    <n v="2023"/>
    <s v="Thursday"/>
    <s v="July"/>
    <s v="2023"/>
    <d v="2023-07-27T00:00:00"/>
    <s v="CUST557"/>
    <x v="1"/>
    <x v="1"/>
    <n v="20"/>
    <x v="0"/>
    <n v="3"/>
    <n v="30"/>
    <n v="90"/>
    <n v="1.3499999999999999"/>
    <n v="1.8"/>
  </r>
  <r>
    <n v="558"/>
    <n v="8"/>
    <n v="10"/>
    <n v="2023"/>
    <s v="Sunday"/>
    <s v="October"/>
    <s v="2023"/>
    <d v="2023-10-08T00:00:00"/>
    <s v="CUST558"/>
    <x v="1"/>
    <x v="0"/>
    <n v="41"/>
    <x v="2"/>
    <n v="1"/>
    <n v="25"/>
    <n v="25"/>
    <n v="0.375"/>
    <n v="0.5"/>
  </r>
  <r>
    <n v="559"/>
    <n v="1"/>
    <n v="1"/>
    <n v="2023"/>
    <s v="Sunday"/>
    <s v="January"/>
    <s v="2023"/>
    <d v="2023-01-01T00:00:00"/>
    <s v="CUST559"/>
    <x v="1"/>
    <x v="0"/>
    <n v="40"/>
    <x v="2"/>
    <n v="4"/>
    <n v="300"/>
    <n v="1200"/>
    <n v="18"/>
    <n v="24"/>
  </r>
  <r>
    <n v="560"/>
    <n v="5"/>
    <n v="6"/>
    <n v="2023"/>
    <s v="Monday"/>
    <s v="June"/>
    <s v="2023"/>
    <d v="2023-06-05T00:00:00"/>
    <s v="CUST560"/>
    <x v="1"/>
    <x v="1"/>
    <n v="25"/>
    <x v="1"/>
    <n v="1"/>
    <n v="50"/>
    <n v="50"/>
    <n v="0.75"/>
    <n v="1"/>
  </r>
  <r>
    <n v="561"/>
    <n v="27"/>
    <n v="5"/>
    <n v="2023"/>
    <s v="Saturday"/>
    <s v="May"/>
    <s v="2023"/>
    <d v="2023-05-27T00:00:00"/>
    <s v="CUST561"/>
    <x v="1"/>
    <x v="2"/>
    <n v="64"/>
    <x v="2"/>
    <n v="4"/>
    <n v="500"/>
    <n v="2000"/>
    <n v="30"/>
    <n v="40"/>
  </r>
  <r>
    <n v="562"/>
    <n v="18"/>
    <n v="4"/>
    <n v="2023"/>
    <s v="Tuesday"/>
    <s v="April"/>
    <s v="2023"/>
    <d v="2023-04-18T00:00:00"/>
    <s v="CUST562"/>
    <x v="0"/>
    <x v="2"/>
    <n v="54"/>
    <x v="1"/>
    <n v="2"/>
    <n v="25"/>
    <n v="50"/>
    <n v="0.75"/>
    <n v="1"/>
  </r>
  <r>
    <n v="563"/>
    <n v="9"/>
    <n v="8"/>
    <n v="2023"/>
    <s v="Wednesday"/>
    <s v="August"/>
    <s v="2023"/>
    <d v="2023-08-09T00:00:00"/>
    <s v="CUST563"/>
    <x v="0"/>
    <x v="1"/>
    <n v="20"/>
    <x v="2"/>
    <n v="2"/>
    <n v="30"/>
    <n v="60"/>
    <n v="0.89999999999999991"/>
    <n v="1.2"/>
  </r>
  <r>
    <n v="564"/>
    <n v="24"/>
    <n v="10"/>
    <n v="2023"/>
    <s v="Tuesday"/>
    <s v="October"/>
    <s v="2023"/>
    <d v="2023-10-24T00:00:00"/>
    <s v="CUST564"/>
    <x v="0"/>
    <x v="0"/>
    <n v="50"/>
    <x v="1"/>
    <n v="2"/>
    <n v="50"/>
    <n v="100"/>
    <n v="1.5"/>
    <n v="2"/>
  </r>
  <r>
    <n v="565"/>
    <n v="7"/>
    <n v="11"/>
    <n v="2023"/>
    <s v="Tuesday"/>
    <s v="November"/>
    <s v="2023"/>
    <d v="2023-11-07T00:00:00"/>
    <s v="CUST565"/>
    <x v="1"/>
    <x v="0"/>
    <n v="45"/>
    <x v="0"/>
    <n v="2"/>
    <n v="30"/>
    <n v="60"/>
    <n v="0.89999999999999991"/>
    <n v="1.2"/>
  </r>
  <r>
    <n v="566"/>
    <n v="2"/>
    <n v="12"/>
    <n v="2023"/>
    <s v="Saturday"/>
    <s v="December"/>
    <s v="2023"/>
    <d v="2023-12-02T00:00:00"/>
    <s v="CUST566"/>
    <x v="1"/>
    <x v="2"/>
    <n v="64"/>
    <x v="2"/>
    <n v="1"/>
    <n v="30"/>
    <n v="30"/>
    <n v="0.44999999999999996"/>
    <n v="0.6"/>
  </r>
  <r>
    <n v="567"/>
    <n v="14"/>
    <n v="6"/>
    <n v="2023"/>
    <s v="Wednesday"/>
    <s v="June"/>
    <s v="2023"/>
    <d v="2023-06-14T00:00:00"/>
    <s v="CUST567"/>
    <x v="1"/>
    <x v="1"/>
    <n v="25"/>
    <x v="2"/>
    <n v="3"/>
    <n v="300"/>
    <n v="900"/>
    <n v="13.5"/>
    <n v="18"/>
  </r>
  <r>
    <n v="568"/>
    <n v="27"/>
    <n v="8"/>
    <n v="2023"/>
    <s v="Sunday"/>
    <s v="August"/>
    <s v="2023"/>
    <d v="2023-08-27T00:00:00"/>
    <s v="CUST568"/>
    <x v="1"/>
    <x v="2"/>
    <n v="51"/>
    <x v="1"/>
    <n v="1"/>
    <n v="300"/>
    <n v="300"/>
    <n v="4.5"/>
    <n v="6"/>
  </r>
  <r>
    <n v="569"/>
    <n v="15"/>
    <n v="8"/>
    <n v="2023"/>
    <s v="Tuesday"/>
    <s v="August"/>
    <s v="2023"/>
    <d v="2023-08-15T00:00:00"/>
    <s v="CUST569"/>
    <x v="0"/>
    <x v="2"/>
    <n v="52"/>
    <x v="1"/>
    <n v="4"/>
    <n v="50"/>
    <n v="200"/>
    <n v="3"/>
    <n v="4"/>
  </r>
  <r>
    <n v="570"/>
    <n v="15"/>
    <n v="8"/>
    <n v="2023"/>
    <s v="Tuesday"/>
    <s v="August"/>
    <s v="2023"/>
    <d v="2023-08-15T00:00:00"/>
    <s v="CUST570"/>
    <x v="0"/>
    <x v="0"/>
    <n v="49"/>
    <x v="2"/>
    <n v="1"/>
    <n v="500"/>
    <n v="500"/>
    <n v="7.5"/>
    <n v="10"/>
  </r>
  <r>
    <n v="571"/>
    <n v="12"/>
    <n v="12"/>
    <n v="2023"/>
    <s v="Tuesday"/>
    <s v="December"/>
    <s v="2023"/>
    <d v="2023-12-12T00:00:00"/>
    <s v="CUST571"/>
    <x v="1"/>
    <x v="0"/>
    <n v="41"/>
    <x v="1"/>
    <n v="1"/>
    <n v="50"/>
    <n v="50"/>
    <n v="0.75"/>
    <n v="1"/>
  </r>
  <r>
    <n v="572"/>
    <n v="20"/>
    <n v="4"/>
    <n v="2023"/>
    <s v="Thursday"/>
    <s v="April"/>
    <s v="2023"/>
    <d v="2023-04-20T00:00:00"/>
    <s v="CUST572"/>
    <x v="0"/>
    <x v="0"/>
    <n v="31"/>
    <x v="2"/>
    <n v="4"/>
    <n v="500"/>
    <n v="2000"/>
    <n v="30"/>
    <n v="40"/>
  </r>
  <r>
    <n v="573"/>
    <n v="19"/>
    <n v="9"/>
    <n v="2023"/>
    <s v="Tuesday"/>
    <s v="September"/>
    <s v="2023"/>
    <d v="2023-09-19T00:00:00"/>
    <s v="CUST573"/>
    <x v="0"/>
    <x v="0"/>
    <n v="49"/>
    <x v="0"/>
    <n v="2"/>
    <n v="30"/>
    <n v="60"/>
    <n v="0.89999999999999991"/>
    <n v="1.2"/>
  </r>
  <r>
    <n v="574"/>
    <n v="31"/>
    <n v="8"/>
    <n v="2023"/>
    <s v="Thursday"/>
    <s v="August"/>
    <s v="2023"/>
    <d v="2023-08-31T00:00:00"/>
    <s v="CUST574"/>
    <x v="1"/>
    <x v="2"/>
    <n v="63"/>
    <x v="1"/>
    <n v="2"/>
    <n v="25"/>
    <n v="50"/>
    <n v="0.75"/>
    <n v="1"/>
  </r>
  <r>
    <n v="575"/>
    <n v="28"/>
    <n v="3"/>
    <n v="2023"/>
    <s v="Tuesday"/>
    <s v="March"/>
    <s v="2023"/>
    <d v="2023-03-28T00:00:00"/>
    <s v="CUST575"/>
    <x v="0"/>
    <x v="2"/>
    <n v="60"/>
    <x v="2"/>
    <n v="2"/>
    <n v="50"/>
    <n v="100"/>
    <n v="1.5"/>
    <n v="2"/>
  </r>
  <r>
    <n v="576"/>
    <n v="4"/>
    <n v="12"/>
    <n v="2023"/>
    <s v="Monday"/>
    <s v="December"/>
    <s v="2023"/>
    <d v="2023-12-04T00:00:00"/>
    <s v="CUST576"/>
    <x v="1"/>
    <x v="0"/>
    <n v="33"/>
    <x v="0"/>
    <n v="3"/>
    <n v="50"/>
    <n v="150"/>
    <n v="2.25"/>
    <n v="3"/>
  </r>
  <r>
    <n v="577"/>
    <n v="13"/>
    <n v="2"/>
    <n v="2023"/>
    <s v="Monday"/>
    <s v="February"/>
    <s v="2023"/>
    <d v="2023-02-13T00:00:00"/>
    <s v="CUST577"/>
    <x v="0"/>
    <x v="1"/>
    <n v="21"/>
    <x v="0"/>
    <n v="4"/>
    <n v="500"/>
    <n v="2000"/>
    <n v="30"/>
    <n v="40"/>
  </r>
  <r>
    <n v="578"/>
    <n v="26"/>
    <n v="5"/>
    <n v="2023"/>
    <s v="Friday"/>
    <s v="May"/>
    <s v="2023"/>
    <d v="2023-05-26T00:00:00"/>
    <s v="CUST578"/>
    <x v="1"/>
    <x v="2"/>
    <n v="54"/>
    <x v="2"/>
    <n v="4"/>
    <n v="30"/>
    <n v="120"/>
    <n v="1.7999999999999998"/>
    <n v="2.4"/>
  </r>
  <r>
    <n v="579"/>
    <n v="21"/>
    <n v="9"/>
    <n v="2023"/>
    <s v="Thursday"/>
    <s v="September"/>
    <s v="2023"/>
    <d v="2023-09-21T00:00:00"/>
    <s v="CUST579"/>
    <x v="1"/>
    <x v="0"/>
    <n v="38"/>
    <x v="1"/>
    <n v="1"/>
    <n v="30"/>
    <n v="30"/>
    <n v="0.44999999999999996"/>
    <n v="0.6"/>
  </r>
  <r>
    <n v="580"/>
    <n v="6"/>
    <n v="12"/>
    <n v="2023"/>
    <s v="Wednesday"/>
    <s v="December"/>
    <s v="2023"/>
    <d v="2023-12-06T00:00:00"/>
    <s v="CUST580"/>
    <x v="1"/>
    <x v="0"/>
    <n v="31"/>
    <x v="2"/>
    <n v="3"/>
    <n v="500"/>
    <n v="1500"/>
    <n v="22.5"/>
    <n v="30"/>
  </r>
  <r>
    <n v="581"/>
    <n v="21"/>
    <n v="11"/>
    <n v="2023"/>
    <s v="Tuesday"/>
    <s v="November"/>
    <s v="2023"/>
    <d v="2023-11-21T00:00:00"/>
    <s v="CUST581"/>
    <x v="1"/>
    <x v="0"/>
    <n v="48"/>
    <x v="0"/>
    <n v="2"/>
    <n v="30"/>
    <n v="60"/>
    <n v="0.89999999999999991"/>
    <n v="1.2"/>
  </r>
  <r>
    <n v="582"/>
    <n v="14"/>
    <n v="11"/>
    <n v="2023"/>
    <s v="Tuesday"/>
    <s v="November"/>
    <s v="2023"/>
    <d v="2023-11-14T00:00:00"/>
    <s v="CUST582"/>
    <x v="0"/>
    <x v="0"/>
    <n v="35"/>
    <x v="2"/>
    <n v="3"/>
    <n v="300"/>
    <n v="900"/>
    <n v="13.5"/>
    <n v="18"/>
  </r>
  <r>
    <n v="583"/>
    <n v="21"/>
    <n v="6"/>
    <n v="2023"/>
    <s v="Wednesday"/>
    <s v="June"/>
    <s v="2023"/>
    <d v="2023-06-21T00:00:00"/>
    <s v="CUST583"/>
    <x v="1"/>
    <x v="1"/>
    <n v="24"/>
    <x v="1"/>
    <n v="4"/>
    <n v="25"/>
    <n v="100"/>
    <n v="1.5"/>
    <n v="2"/>
  </r>
  <r>
    <n v="584"/>
    <n v="17"/>
    <n v="2"/>
    <n v="2023"/>
    <s v="Friday"/>
    <s v="February"/>
    <s v="2023"/>
    <d v="2023-02-17T00:00:00"/>
    <s v="CUST584"/>
    <x v="1"/>
    <x v="1"/>
    <n v="27"/>
    <x v="0"/>
    <n v="4"/>
    <n v="50"/>
    <n v="200"/>
    <n v="3"/>
    <n v="4"/>
  </r>
  <r>
    <n v="585"/>
    <n v="1"/>
    <n v="5"/>
    <n v="2023"/>
    <s v="Monday"/>
    <s v="May"/>
    <s v="2023"/>
    <d v="2023-05-01T00:00:00"/>
    <s v="CUST585"/>
    <x v="1"/>
    <x v="1"/>
    <n v="24"/>
    <x v="2"/>
    <n v="1"/>
    <n v="25"/>
    <n v="25"/>
    <n v="0.375"/>
    <n v="0.5"/>
  </r>
  <r>
    <n v="586"/>
    <n v="11"/>
    <n v="12"/>
    <n v="2023"/>
    <s v="Monday"/>
    <s v="December"/>
    <s v="2023"/>
    <d v="2023-12-11T00:00:00"/>
    <s v="CUST586"/>
    <x v="0"/>
    <x v="0"/>
    <n v="50"/>
    <x v="1"/>
    <n v="1"/>
    <n v="50"/>
    <n v="50"/>
    <n v="0.75"/>
    <n v="1"/>
  </r>
  <r>
    <n v="587"/>
    <n v="8"/>
    <n v="6"/>
    <n v="2023"/>
    <s v="Thursday"/>
    <s v="June"/>
    <s v="2023"/>
    <d v="2023-06-08T00:00:00"/>
    <s v="CUST587"/>
    <x v="1"/>
    <x v="0"/>
    <n v="40"/>
    <x v="0"/>
    <n v="4"/>
    <n v="300"/>
    <n v="1200"/>
    <n v="18"/>
    <n v="24"/>
  </r>
  <r>
    <n v="588"/>
    <n v="26"/>
    <n v="4"/>
    <n v="2023"/>
    <s v="Wednesday"/>
    <s v="April"/>
    <s v="2023"/>
    <d v="2023-04-26T00:00:00"/>
    <s v="CUST588"/>
    <x v="0"/>
    <x v="0"/>
    <n v="38"/>
    <x v="1"/>
    <n v="2"/>
    <n v="30"/>
    <n v="60"/>
    <n v="0.89999999999999991"/>
    <n v="1.2"/>
  </r>
  <r>
    <n v="589"/>
    <n v="12"/>
    <n v="4"/>
    <n v="2023"/>
    <s v="Wednesday"/>
    <s v="April"/>
    <s v="2023"/>
    <d v="2023-04-12T00:00:00"/>
    <s v="CUST589"/>
    <x v="1"/>
    <x v="0"/>
    <n v="36"/>
    <x v="0"/>
    <n v="2"/>
    <n v="500"/>
    <n v="1000"/>
    <n v="15"/>
    <n v="20"/>
  </r>
  <r>
    <n v="590"/>
    <n v="17"/>
    <n v="3"/>
    <n v="2023"/>
    <s v="Friday"/>
    <s v="March"/>
    <s v="2023"/>
    <d v="2023-03-17T00:00:00"/>
    <s v="CUST590"/>
    <x v="0"/>
    <x v="0"/>
    <n v="36"/>
    <x v="2"/>
    <n v="3"/>
    <n v="300"/>
    <n v="900"/>
    <n v="13.5"/>
    <n v="18"/>
  </r>
  <r>
    <n v="591"/>
    <n v="13"/>
    <n v="1"/>
    <n v="2023"/>
    <s v="Friday"/>
    <s v="January"/>
    <s v="2023"/>
    <d v="2023-01-13T00:00:00"/>
    <s v="CUST591"/>
    <x v="0"/>
    <x v="2"/>
    <n v="53"/>
    <x v="1"/>
    <n v="4"/>
    <n v="25"/>
    <n v="100"/>
    <n v="1.5"/>
    <n v="2"/>
  </r>
  <r>
    <n v="592"/>
    <n v="24"/>
    <n v="1"/>
    <n v="2023"/>
    <s v="Tuesday"/>
    <s v="January"/>
    <s v="2023"/>
    <d v="2023-01-24T00:00:00"/>
    <s v="CUST592"/>
    <x v="1"/>
    <x v="0"/>
    <n v="46"/>
    <x v="0"/>
    <n v="4"/>
    <n v="500"/>
    <n v="2000"/>
    <n v="30"/>
    <n v="40"/>
  </r>
  <r>
    <n v="593"/>
    <n v="6"/>
    <n v="5"/>
    <n v="2023"/>
    <s v="Saturday"/>
    <s v="May"/>
    <s v="2023"/>
    <d v="2023-05-06T00:00:00"/>
    <s v="CUST593"/>
    <x v="0"/>
    <x v="0"/>
    <n v="35"/>
    <x v="1"/>
    <n v="2"/>
    <n v="30"/>
    <n v="60"/>
    <n v="0.89999999999999991"/>
    <n v="1.2"/>
  </r>
  <r>
    <n v="594"/>
    <n v="1"/>
    <n v="9"/>
    <n v="2023"/>
    <s v="Friday"/>
    <s v="September"/>
    <s v="2023"/>
    <d v="2023-09-01T00:00:00"/>
    <s v="CUST594"/>
    <x v="1"/>
    <x v="1"/>
    <n v="19"/>
    <x v="1"/>
    <n v="2"/>
    <n v="300"/>
    <n v="600"/>
    <n v="9"/>
    <n v="12"/>
  </r>
  <r>
    <n v="595"/>
    <n v="9"/>
    <n v="11"/>
    <n v="2023"/>
    <s v="Thursday"/>
    <s v="November"/>
    <s v="2023"/>
    <d v="2023-11-09T00:00:00"/>
    <s v="CUST595"/>
    <x v="1"/>
    <x v="1"/>
    <n v="18"/>
    <x v="2"/>
    <n v="4"/>
    <n v="500"/>
    <n v="2000"/>
    <n v="30"/>
    <n v="40"/>
  </r>
  <r>
    <n v="596"/>
    <n v="7"/>
    <n v="2"/>
    <n v="2023"/>
    <s v="Tuesday"/>
    <s v="February"/>
    <s v="2023"/>
    <d v="2023-02-07T00:00:00"/>
    <s v="CUST596"/>
    <x v="1"/>
    <x v="2"/>
    <n v="64"/>
    <x v="1"/>
    <n v="1"/>
    <n v="300"/>
    <n v="300"/>
    <n v="4.5"/>
    <n v="6"/>
  </r>
  <r>
    <n v="597"/>
    <n v="22"/>
    <n v="8"/>
    <n v="2023"/>
    <s v="Tuesday"/>
    <s v="August"/>
    <s v="2023"/>
    <d v="2023-08-22T00:00:00"/>
    <s v="CUST597"/>
    <x v="0"/>
    <x v="1"/>
    <n v="22"/>
    <x v="0"/>
    <n v="4"/>
    <n v="300"/>
    <n v="1200"/>
    <n v="18"/>
    <n v="24"/>
  </r>
  <r>
    <n v="598"/>
    <n v="1"/>
    <n v="8"/>
    <n v="2023"/>
    <s v="Tuesday"/>
    <s v="August"/>
    <s v="2023"/>
    <d v="2023-08-01T00:00:00"/>
    <s v="CUST598"/>
    <x v="0"/>
    <x v="0"/>
    <n v="37"/>
    <x v="0"/>
    <n v="4"/>
    <n v="30"/>
    <n v="120"/>
    <n v="1.7999999999999998"/>
    <n v="2.4"/>
  </r>
  <r>
    <n v="599"/>
    <n v="19"/>
    <n v="11"/>
    <n v="2023"/>
    <s v="Sunday"/>
    <s v="November"/>
    <s v="2023"/>
    <d v="2023-11-19T00:00:00"/>
    <s v="CUST599"/>
    <x v="1"/>
    <x v="1"/>
    <n v="28"/>
    <x v="0"/>
    <n v="2"/>
    <n v="50"/>
    <n v="100"/>
    <n v="1.5"/>
    <n v="2"/>
  </r>
  <r>
    <n v="600"/>
    <n v="22"/>
    <n v="10"/>
    <n v="2023"/>
    <s v="Sunday"/>
    <s v="October"/>
    <s v="2023"/>
    <d v="2023-10-22T00:00:00"/>
    <s v="CUST600"/>
    <x v="1"/>
    <x v="2"/>
    <n v="59"/>
    <x v="0"/>
    <n v="2"/>
    <n v="500"/>
    <n v="1000"/>
    <n v="15"/>
    <n v="20"/>
  </r>
  <r>
    <n v="601"/>
    <n v="10"/>
    <n v="4"/>
    <n v="2023"/>
    <s v="Monday"/>
    <s v="April"/>
    <s v="2023"/>
    <d v="2023-04-10T00:00:00"/>
    <s v="CUST601"/>
    <x v="0"/>
    <x v="1"/>
    <n v="19"/>
    <x v="2"/>
    <n v="1"/>
    <n v="30"/>
    <n v="30"/>
    <n v="0.44999999999999996"/>
    <n v="0.6"/>
  </r>
  <r>
    <n v="602"/>
    <n v="23"/>
    <n v="12"/>
    <n v="2023"/>
    <s v="Saturday"/>
    <s v="December"/>
    <s v="2023"/>
    <d v="2023-12-23T00:00:00"/>
    <s v="CUST602"/>
    <x v="1"/>
    <x v="1"/>
    <n v="20"/>
    <x v="1"/>
    <n v="1"/>
    <n v="300"/>
    <n v="300"/>
    <n v="4.5"/>
    <n v="6"/>
  </r>
  <r>
    <n v="603"/>
    <n v="16"/>
    <n v="7"/>
    <n v="2023"/>
    <s v="Sunday"/>
    <s v="July"/>
    <s v="2023"/>
    <d v="2023-07-16T00:00:00"/>
    <s v="CUST603"/>
    <x v="1"/>
    <x v="0"/>
    <n v="40"/>
    <x v="2"/>
    <n v="3"/>
    <n v="30"/>
    <n v="90"/>
    <n v="1.3499999999999999"/>
    <n v="1.8"/>
  </r>
  <r>
    <n v="604"/>
    <n v="11"/>
    <n v="9"/>
    <n v="2023"/>
    <s v="Monday"/>
    <s v="September"/>
    <s v="2023"/>
    <d v="2023-09-11T00:00:00"/>
    <s v="CUST604"/>
    <x v="1"/>
    <x v="1"/>
    <n v="29"/>
    <x v="1"/>
    <n v="4"/>
    <n v="50"/>
    <n v="200"/>
    <n v="3"/>
    <n v="4"/>
  </r>
  <r>
    <n v="605"/>
    <n v="24"/>
    <n v="7"/>
    <n v="2023"/>
    <s v="Monday"/>
    <s v="July"/>
    <s v="2023"/>
    <d v="2023-07-24T00:00:00"/>
    <s v="CUST605"/>
    <x v="0"/>
    <x v="0"/>
    <n v="37"/>
    <x v="1"/>
    <n v="2"/>
    <n v="500"/>
    <n v="1000"/>
    <n v="15"/>
    <n v="20"/>
  </r>
  <r>
    <n v="606"/>
    <n v="5"/>
    <n v="5"/>
    <n v="2023"/>
    <s v="Friday"/>
    <s v="May"/>
    <s v="2023"/>
    <d v="2023-05-05T00:00:00"/>
    <s v="CUST606"/>
    <x v="0"/>
    <x v="1"/>
    <n v="22"/>
    <x v="1"/>
    <n v="1"/>
    <n v="50"/>
    <n v="50"/>
    <n v="0.75"/>
    <n v="1"/>
  </r>
  <r>
    <n v="607"/>
    <n v="17"/>
    <n v="3"/>
    <n v="2023"/>
    <s v="Friday"/>
    <s v="March"/>
    <s v="2023"/>
    <d v="2023-03-17T00:00:00"/>
    <s v="CUST607"/>
    <x v="0"/>
    <x v="2"/>
    <n v="54"/>
    <x v="2"/>
    <n v="3"/>
    <n v="25"/>
    <n v="75"/>
    <n v="1.125"/>
    <n v="1.5"/>
  </r>
  <r>
    <n v="608"/>
    <n v="2"/>
    <n v="12"/>
    <n v="2023"/>
    <s v="Saturday"/>
    <s v="December"/>
    <s v="2023"/>
    <d v="2023-12-02T00:00:00"/>
    <s v="CUST608"/>
    <x v="1"/>
    <x v="2"/>
    <n v="55"/>
    <x v="1"/>
    <n v="3"/>
    <n v="500"/>
    <n v="1500"/>
    <n v="22.5"/>
    <n v="30"/>
  </r>
  <r>
    <n v="609"/>
    <n v="19"/>
    <n v="12"/>
    <n v="2023"/>
    <s v="Tuesday"/>
    <s v="December"/>
    <s v="2023"/>
    <d v="2023-12-19T00:00:00"/>
    <s v="CUST609"/>
    <x v="1"/>
    <x v="0"/>
    <n v="47"/>
    <x v="2"/>
    <n v="2"/>
    <n v="50"/>
    <n v="100"/>
    <n v="1.5"/>
    <n v="2"/>
  </r>
  <r>
    <n v="610"/>
    <n v="3"/>
    <n v="1"/>
    <n v="2023"/>
    <s v="Tuesday"/>
    <s v="January"/>
    <s v="2023"/>
    <d v="2023-01-03T00:00:00"/>
    <s v="CUST610"/>
    <x v="1"/>
    <x v="1"/>
    <n v="26"/>
    <x v="0"/>
    <n v="2"/>
    <n v="300"/>
    <n v="600"/>
    <n v="9"/>
    <n v="12"/>
  </r>
  <r>
    <n v="611"/>
    <n v="24"/>
    <n v="2"/>
    <n v="2023"/>
    <s v="Friday"/>
    <s v="February"/>
    <s v="2023"/>
    <d v="2023-02-24T00:00:00"/>
    <s v="CUST611"/>
    <x v="0"/>
    <x v="2"/>
    <n v="51"/>
    <x v="0"/>
    <n v="3"/>
    <n v="500"/>
    <n v="1500"/>
    <n v="22.5"/>
    <n v="30"/>
  </r>
  <r>
    <n v="612"/>
    <n v="6"/>
    <n v="8"/>
    <n v="2023"/>
    <s v="Sunday"/>
    <s v="August"/>
    <s v="2023"/>
    <d v="2023-08-06T00:00:00"/>
    <s v="CUST612"/>
    <x v="1"/>
    <x v="2"/>
    <n v="61"/>
    <x v="1"/>
    <n v="1"/>
    <n v="500"/>
    <n v="500"/>
    <n v="7.5"/>
    <n v="10"/>
  </r>
  <r>
    <n v="613"/>
    <n v="23"/>
    <n v="4"/>
    <n v="2023"/>
    <s v="Sunday"/>
    <s v="April"/>
    <s v="2023"/>
    <d v="2023-04-23T00:00:00"/>
    <s v="CUST613"/>
    <x v="1"/>
    <x v="2"/>
    <n v="52"/>
    <x v="2"/>
    <n v="3"/>
    <n v="30"/>
    <n v="90"/>
    <n v="1.3499999999999999"/>
    <n v="1.8"/>
  </r>
  <r>
    <n v="614"/>
    <n v="1"/>
    <n v="4"/>
    <n v="2023"/>
    <s v="Saturday"/>
    <s v="April"/>
    <s v="2023"/>
    <d v="2023-04-01T00:00:00"/>
    <s v="CUST614"/>
    <x v="1"/>
    <x v="0"/>
    <n v="39"/>
    <x v="0"/>
    <n v="4"/>
    <n v="300"/>
    <n v="1200"/>
    <n v="18"/>
    <n v="24"/>
  </r>
  <r>
    <n v="615"/>
    <n v="23"/>
    <n v="12"/>
    <n v="2023"/>
    <s v="Saturday"/>
    <s v="December"/>
    <s v="2023"/>
    <d v="2023-12-23T00:00:00"/>
    <s v="CUST615"/>
    <x v="1"/>
    <x v="2"/>
    <n v="61"/>
    <x v="2"/>
    <n v="4"/>
    <n v="25"/>
    <n v="100"/>
    <n v="1.5"/>
    <n v="2"/>
  </r>
  <r>
    <n v="616"/>
    <n v="23"/>
    <n v="9"/>
    <n v="2023"/>
    <s v="Saturday"/>
    <s v="September"/>
    <s v="2023"/>
    <d v="2023-09-23T00:00:00"/>
    <s v="CUST616"/>
    <x v="0"/>
    <x v="0"/>
    <n v="41"/>
    <x v="2"/>
    <n v="2"/>
    <n v="50"/>
    <n v="100"/>
    <n v="1.5"/>
    <n v="2"/>
  </r>
  <r>
    <n v="617"/>
    <n v="26"/>
    <n v="8"/>
    <n v="2023"/>
    <s v="Saturday"/>
    <s v="August"/>
    <s v="2023"/>
    <d v="2023-08-26T00:00:00"/>
    <s v="CUST617"/>
    <x v="0"/>
    <x v="0"/>
    <n v="34"/>
    <x v="1"/>
    <n v="1"/>
    <n v="30"/>
    <n v="30"/>
    <n v="0.44999999999999996"/>
    <n v="0.6"/>
  </r>
  <r>
    <n v="618"/>
    <n v="26"/>
    <n v="1"/>
    <n v="2023"/>
    <s v="Thursday"/>
    <s v="January"/>
    <s v="2023"/>
    <d v="2023-01-26T00:00:00"/>
    <s v="CUST618"/>
    <x v="1"/>
    <x v="1"/>
    <n v="27"/>
    <x v="0"/>
    <n v="1"/>
    <n v="50"/>
    <n v="50"/>
    <n v="0.75"/>
    <n v="1"/>
  </r>
  <r>
    <n v="619"/>
    <n v="13"/>
    <n v="10"/>
    <n v="2023"/>
    <s v="Friday"/>
    <s v="October"/>
    <s v="2023"/>
    <d v="2023-10-13T00:00:00"/>
    <s v="CUST619"/>
    <x v="0"/>
    <x v="0"/>
    <n v="47"/>
    <x v="1"/>
    <n v="4"/>
    <n v="25"/>
    <n v="100"/>
    <n v="1.5"/>
    <n v="2"/>
  </r>
  <r>
    <n v="620"/>
    <n v="8"/>
    <n v="5"/>
    <n v="2023"/>
    <s v="Monday"/>
    <s v="May"/>
    <s v="2023"/>
    <d v="2023-05-08T00:00:00"/>
    <s v="CUST620"/>
    <x v="0"/>
    <x v="2"/>
    <n v="63"/>
    <x v="1"/>
    <n v="3"/>
    <n v="25"/>
    <n v="75"/>
    <n v="1.125"/>
    <n v="1.5"/>
  </r>
  <r>
    <n v="621"/>
    <n v="4"/>
    <n v="3"/>
    <n v="2023"/>
    <s v="Saturday"/>
    <s v="March"/>
    <s v="2023"/>
    <d v="2023-03-04T00:00:00"/>
    <s v="CUST621"/>
    <x v="1"/>
    <x v="0"/>
    <n v="40"/>
    <x v="0"/>
    <n v="2"/>
    <n v="500"/>
    <n v="1000"/>
    <n v="15"/>
    <n v="20"/>
  </r>
  <r>
    <n v="622"/>
    <n v="22"/>
    <n v="8"/>
    <n v="2023"/>
    <s v="Tuesday"/>
    <s v="August"/>
    <s v="2023"/>
    <d v="2023-08-22T00:00:00"/>
    <s v="CUST622"/>
    <x v="1"/>
    <x v="0"/>
    <n v="49"/>
    <x v="0"/>
    <n v="3"/>
    <n v="25"/>
    <n v="75"/>
    <n v="1.125"/>
    <n v="1.5"/>
  </r>
  <r>
    <n v="623"/>
    <n v="10"/>
    <n v="3"/>
    <n v="2023"/>
    <s v="Friday"/>
    <s v="March"/>
    <s v="2023"/>
    <d v="2023-03-10T00:00:00"/>
    <s v="CUST623"/>
    <x v="0"/>
    <x v="0"/>
    <n v="34"/>
    <x v="2"/>
    <n v="3"/>
    <n v="50"/>
    <n v="150"/>
    <n v="2.25"/>
    <n v="3"/>
  </r>
  <r>
    <n v="624"/>
    <n v="26"/>
    <n v="8"/>
    <n v="2023"/>
    <s v="Saturday"/>
    <s v="August"/>
    <s v="2023"/>
    <d v="2023-08-26T00:00:00"/>
    <s v="CUST624"/>
    <x v="1"/>
    <x v="0"/>
    <n v="34"/>
    <x v="0"/>
    <n v="3"/>
    <n v="300"/>
    <n v="900"/>
    <n v="13.5"/>
    <n v="18"/>
  </r>
  <r>
    <n v="625"/>
    <n v="8"/>
    <n v="12"/>
    <n v="2023"/>
    <s v="Friday"/>
    <s v="December"/>
    <s v="2023"/>
    <d v="2023-12-08T00:00:00"/>
    <s v="CUST625"/>
    <x v="0"/>
    <x v="0"/>
    <n v="31"/>
    <x v="2"/>
    <n v="1"/>
    <n v="300"/>
    <n v="300"/>
    <n v="4.5"/>
    <n v="6"/>
  </r>
  <r>
    <n v="626"/>
    <n v="29"/>
    <n v="9"/>
    <n v="2023"/>
    <s v="Friday"/>
    <s v="September"/>
    <s v="2023"/>
    <d v="2023-09-29T00:00:00"/>
    <s v="CUST626"/>
    <x v="1"/>
    <x v="1"/>
    <n v="26"/>
    <x v="2"/>
    <n v="4"/>
    <n v="500"/>
    <n v="2000"/>
    <n v="30"/>
    <n v="40"/>
  </r>
  <r>
    <n v="627"/>
    <n v="14"/>
    <n v="10"/>
    <n v="2023"/>
    <s v="Saturday"/>
    <s v="October"/>
    <s v="2023"/>
    <d v="2023-10-14T00:00:00"/>
    <s v="CUST627"/>
    <x v="0"/>
    <x v="2"/>
    <n v="57"/>
    <x v="2"/>
    <n v="1"/>
    <n v="50"/>
    <n v="50"/>
    <n v="0.75"/>
    <n v="1"/>
  </r>
  <r>
    <n v="628"/>
    <n v="1"/>
    <n v="11"/>
    <n v="2023"/>
    <s v="Wednesday"/>
    <s v="November"/>
    <s v="2023"/>
    <d v="2023-11-01T00:00:00"/>
    <s v="CUST628"/>
    <x v="1"/>
    <x v="1"/>
    <n v="19"/>
    <x v="0"/>
    <n v="4"/>
    <n v="50"/>
    <n v="200"/>
    <n v="3"/>
    <n v="4"/>
  </r>
  <r>
    <n v="629"/>
    <n v="12"/>
    <n v="6"/>
    <n v="2023"/>
    <s v="Monday"/>
    <s v="June"/>
    <s v="2023"/>
    <d v="2023-06-12T00:00:00"/>
    <s v="CUST629"/>
    <x v="0"/>
    <x v="2"/>
    <n v="62"/>
    <x v="1"/>
    <n v="2"/>
    <n v="25"/>
    <n v="50"/>
    <n v="0.75"/>
    <n v="1"/>
  </r>
  <r>
    <n v="630"/>
    <n v="15"/>
    <n v="8"/>
    <n v="2023"/>
    <s v="Tuesday"/>
    <s v="August"/>
    <s v="2023"/>
    <d v="2023-08-15T00:00:00"/>
    <s v="CUST630"/>
    <x v="0"/>
    <x v="0"/>
    <n v="42"/>
    <x v="2"/>
    <n v="2"/>
    <n v="50"/>
    <n v="100"/>
    <n v="1.5"/>
    <n v="2"/>
  </r>
  <r>
    <n v="631"/>
    <n v="10"/>
    <n v="11"/>
    <n v="2023"/>
    <s v="Friday"/>
    <s v="November"/>
    <s v="2023"/>
    <d v="2023-11-10T00:00:00"/>
    <s v="CUST631"/>
    <x v="0"/>
    <x v="2"/>
    <n v="56"/>
    <x v="1"/>
    <n v="3"/>
    <n v="30"/>
    <n v="90"/>
    <n v="1.3499999999999999"/>
    <n v="1.8"/>
  </r>
  <r>
    <n v="632"/>
    <n v="16"/>
    <n v="9"/>
    <n v="2023"/>
    <s v="Saturday"/>
    <s v="September"/>
    <s v="2023"/>
    <d v="2023-09-16T00:00:00"/>
    <s v="CUST632"/>
    <x v="1"/>
    <x v="1"/>
    <n v="26"/>
    <x v="1"/>
    <n v="4"/>
    <n v="25"/>
    <n v="100"/>
    <n v="1.5"/>
    <n v="2"/>
  </r>
  <r>
    <n v="633"/>
    <n v="7"/>
    <n v="8"/>
    <n v="2023"/>
    <s v="Monday"/>
    <s v="August"/>
    <s v="2023"/>
    <d v="2023-08-07T00:00:00"/>
    <s v="CUST633"/>
    <x v="0"/>
    <x v="0"/>
    <n v="39"/>
    <x v="0"/>
    <n v="4"/>
    <n v="30"/>
    <n v="120"/>
    <n v="1.7999999999999998"/>
    <n v="2.4"/>
  </r>
  <r>
    <n v="634"/>
    <n v="8"/>
    <n v="10"/>
    <n v="2023"/>
    <s v="Sunday"/>
    <s v="October"/>
    <s v="2023"/>
    <d v="2023-10-08T00:00:00"/>
    <s v="CUST634"/>
    <x v="0"/>
    <x v="2"/>
    <n v="60"/>
    <x v="1"/>
    <n v="4"/>
    <n v="500"/>
    <n v="2000"/>
    <n v="30"/>
    <n v="40"/>
  </r>
  <r>
    <n v="635"/>
    <n v="17"/>
    <n v="8"/>
    <n v="2023"/>
    <s v="Thursday"/>
    <s v="August"/>
    <s v="2023"/>
    <d v="2023-08-17T00:00:00"/>
    <s v="CUST635"/>
    <x v="1"/>
    <x v="2"/>
    <n v="63"/>
    <x v="1"/>
    <n v="3"/>
    <n v="300"/>
    <n v="900"/>
    <n v="13.5"/>
    <n v="18"/>
  </r>
  <r>
    <n v="636"/>
    <n v="23"/>
    <n v="3"/>
    <n v="2023"/>
    <s v="Thursday"/>
    <s v="March"/>
    <s v="2023"/>
    <d v="2023-03-23T00:00:00"/>
    <s v="CUST636"/>
    <x v="1"/>
    <x v="1"/>
    <n v="21"/>
    <x v="0"/>
    <n v="3"/>
    <n v="500"/>
    <n v="1500"/>
    <n v="22.5"/>
    <n v="30"/>
  </r>
  <r>
    <n v="637"/>
    <n v="1"/>
    <n v="9"/>
    <n v="2023"/>
    <s v="Friday"/>
    <s v="September"/>
    <s v="2023"/>
    <d v="2023-09-01T00:00:00"/>
    <s v="CUST637"/>
    <x v="0"/>
    <x v="0"/>
    <n v="43"/>
    <x v="2"/>
    <n v="2"/>
    <n v="300"/>
    <n v="600"/>
    <n v="9"/>
    <n v="12"/>
  </r>
  <r>
    <n v="638"/>
    <n v="19"/>
    <n v="8"/>
    <n v="2023"/>
    <s v="Saturday"/>
    <s v="August"/>
    <s v="2023"/>
    <d v="2023-08-19T00:00:00"/>
    <s v="CUST638"/>
    <x v="0"/>
    <x v="0"/>
    <n v="46"/>
    <x v="1"/>
    <n v="1"/>
    <n v="500"/>
    <n v="500"/>
    <n v="7.5"/>
    <n v="10"/>
  </r>
  <r>
    <n v="639"/>
    <n v="13"/>
    <n v="5"/>
    <n v="2023"/>
    <s v="Saturday"/>
    <s v="May"/>
    <s v="2023"/>
    <d v="2023-05-13T00:00:00"/>
    <s v="CUST639"/>
    <x v="1"/>
    <x v="2"/>
    <n v="62"/>
    <x v="0"/>
    <n v="4"/>
    <n v="50"/>
    <n v="200"/>
    <n v="3"/>
    <n v="4"/>
  </r>
  <r>
    <n v="640"/>
    <n v="7"/>
    <n v="5"/>
    <n v="2023"/>
    <s v="Sunday"/>
    <s v="May"/>
    <s v="2023"/>
    <d v="2023-05-07T00:00:00"/>
    <s v="CUST640"/>
    <x v="1"/>
    <x v="2"/>
    <n v="51"/>
    <x v="1"/>
    <n v="4"/>
    <n v="30"/>
    <n v="120"/>
    <n v="1.7999999999999998"/>
    <n v="2.4"/>
  </r>
  <r>
    <n v="641"/>
    <n v="23"/>
    <n v="11"/>
    <n v="2023"/>
    <s v="Thursday"/>
    <s v="November"/>
    <s v="2023"/>
    <d v="2023-11-23T00:00:00"/>
    <s v="CUST641"/>
    <x v="1"/>
    <x v="0"/>
    <n v="40"/>
    <x v="1"/>
    <n v="1"/>
    <n v="300"/>
    <n v="300"/>
    <n v="4.5"/>
    <n v="6"/>
  </r>
  <r>
    <n v="642"/>
    <n v="22"/>
    <n v="5"/>
    <n v="2023"/>
    <s v="Monday"/>
    <s v="May"/>
    <s v="2023"/>
    <d v="2023-05-22T00:00:00"/>
    <s v="CUST642"/>
    <x v="1"/>
    <x v="2"/>
    <n v="54"/>
    <x v="2"/>
    <n v="4"/>
    <n v="25"/>
    <n v="100"/>
    <n v="1.5"/>
    <n v="2"/>
  </r>
  <r>
    <n v="643"/>
    <n v="24"/>
    <n v="9"/>
    <n v="2023"/>
    <s v="Sunday"/>
    <s v="September"/>
    <s v="2023"/>
    <d v="2023-09-24T00:00:00"/>
    <s v="CUST643"/>
    <x v="1"/>
    <x v="1"/>
    <n v="28"/>
    <x v="1"/>
    <n v="3"/>
    <n v="30"/>
    <n v="90"/>
    <n v="1.3499999999999999"/>
    <n v="1.8"/>
  </r>
  <r>
    <n v="644"/>
    <n v="6"/>
    <n v="9"/>
    <n v="2023"/>
    <s v="Wednesday"/>
    <s v="September"/>
    <s v="2023"/>
    <d v="2023-09-06T00:00:00"/>
    <s v="CUST644"/>
    <x v="0"/>
    <x v="1"/>
    <n v="23"/>
    <x v="0"/>
    <n v="3"/>
    <n v="25"/>
    <n v="75"/>
    <n v="1.125"/>
    <n v="1.5"/>
  </r>
  <r>
    <n v="645"/>
    <n v="17"/>
    <n v="11"/>
    <n v="2023"/>
    <s v="Friday"/>
    <s v="November"/>
    <s v="2023"/>
    <d v="2023-11-17T00:00:00"/>
    <s v="CUST645"/>
    <x v="1"/>
    <x v="0"/>
    <n v="35"/>
    <x v="1"/>
    <n v="4"/>
    <n v="30"/>
    <n v="120"/>
    <n v="1.7999999999999998"/>
    <n v="2.4"/>
  </r>
  <r>
    <n v="646"/>
    <n v="3"/>
    <n v="5"/>
    <n v="2023"/>
    <s v="Wednesday"/>
    <s v="May"/>
    <s v="2023"/>
    <d v="2023-05-03T00:00:00"/>
    <s v="CUST646"/>
    <x v="0"/>
    <x v="0"/>
    <n v="38"/>
    <x v="2"/>
    <n v="3"/>
    <n v="30"/>
    <n v="90"/>
    <n v="1.3499999999999999"/>
    <n v="1.8"/>
  </r>
  <r>
    <n v="647"/>
    <n v="21"/>
    <n v="5"/>
    <n v="2023"/>
    <s v="Sunday"/>
    <s v="May"/>
    <s v="2023"/>
    <d v="2023-05-21T00:00:00"/>
    <s v="CUST647"/>
    <x v="0"/>
    <x v="2"/>
    <n v="59"/>
    <x v="2"/>
    <n v="3"/>
    <n v="500"/>
    <n v="1500"/>
    <n v="22.5"/>
    <n v="30"/>
  </r>
  <r>
    <n v="648"/>
    <n v="14"/>
    <n v="8"/>
    <n v="2023"/>
    <s v="Monday"/>
    <s v="August"/>
    <s v="2023"/>
    <d v="2023-08-14T00:00:00"/>
    <s v="CUST648"/>
    <x v="0"/>
    <x v="2"/>
    <n v="53"/>
    <x v="0"/>
    <n v="4"/>
    <n v="300"/>
    <n v="1200"/>
    <n v="18"/>
    <n v="24"/>
  </r>
  <r>
    <n v="649"/>
    <n v="9"/>
    <n v="2"/>
    <n v="2023"/>
    <s v="Thursday"/>
    <s v="February"/>
    <s v="2023"/>
    <d v="2023-02-09T00:00:00"/>
    <s v="CUST649"/>
    <x v="1"/>
    <x v="2"/>
    <n v="58"/>
    <x v="2"/>
    <n v="2"/>
    <n v="300"/>
    <n v="600"/>
    <n v="9"/>
    <n v="12"/>
  </r>
  <r>
    <n v="650"/>
    <n v="1"/>
    <n v="1"/>
    <n v="2024"/>
    <s v="Monday"/>
    <s v="January"/>
    <s v="2024"/>
    <d v="2024-01-01T00:00:00"/>
    <s v="CUST650"/>
    <x v="0"/>
    <x v="2"/>
    <n v="55"/>
    <x v="1"/>
    <n v="1"/>
    <n v="30"/>
    <n v="30"/>
    <n v="0.44999999999999996"/>
    <n v="0.6"/>
  </r>
  <r>
    <n v="651"/>
    <n v="27"/>
    <n v="5"/>
    <n v="2023"/>
    <s v="Saturday"/>
    <s v="May"/>
    <s v="2023"/>
    <d v="2023-05-27T00:00:00"/>
    <s v="CUST651"/>
    <x v="0"/>
    <x v="2"/>
    <n v="51"/>
    <x v="2"/>
    <n v="3"/>
    <n v="50"/>
    <n v="150"/>
    <n v="2.25"/>
    <n v="3"/>
  </r>
  <r>
    <n v="652"/>
    <n v="1"/>
    <n v="5"/>
    <n v="2023"/>
    <s v="Monday"/>
    <s v="May"/>
    <s v="2023"/>
    <d v="2023-05-01T00:00:00"/>
    <s v="CUST652"/>
    <x v="1"/>
    <x v="0"/>
    <n v="34"/>
    <x v="0"/>
    <n v="2"/>
    <n v="50"/>
    <n v="100"/>
    <n v="1.5"/>
    <n v="2"/>
  </r>
  <r>
    <n v="653"/>
    <n v="20"/>
    <n v="5"/>
    <n v="2023"/>
    <s v="Saturday"/>
    <s v="May"/>
    <s v="2023"/>
    <d v="2023-05-20T00:00:00"/>
    <s v="CUST653"/>
    <x v="0"/>
    <x v="2"/>
    <n v="54"/>
    <x v="2"/>
    <n v="3"/>
    <n v="25"/>
    <n v="75"/>
    <n v="1.125"/>
    <n v="1.5"/>
  </r>
  <r>
    <n v="654"/>
    <n v="21"/>
    <n v="6"/>
    <n v="2023"/>
    <s v="Wednesday"/>
    <s v="June"/>
    <s v="2023"/>
    <d v="2023-06-21T00:00:00"/>
    <s v="CUST654"/>
    <x v="0"/>
    <x v="0"/>
    <n v="42"/>
    <x v="2"/>
    <n v="3"/>
    <n v="25"/>
    <n v="75"/>
    <n v="1.125"/>
    <n v="1.5"/>
  </r>
  <r>
    <n v="655"/>
    <n v="13"/>
    <n v="6"/>
    <n v="2023"/>
    <s v="Tuesday"/>
    <s v="June"/>
    <s v="2023"/>
    <d v="2023-06-13T00:00:00"/>
    <s v="CUST655"/>
    <x v="1"/>
    <x v="2"/>
    <n v="55"/>
    <x v="2"/>
    <n v="1"/>
    <n v="500"/>
    <n v="500"/>
    <n v="7.5"/>
    <n v="10"/>
  </r>
  <r>
    <n v="656"/>
    <n v="4"/>
    <n v="10"/>
    <n v="2023"/>
    <s v="Wednesday"/>
    <s v="October"/>
    <s v="2023"/>
    <d v="2023-10-04T00:00:00"/>
    <s v="CUST656"/>
    <x v="0"/>
    <x v="1"/>
    <n v="29"/>
    <x v="0"/>
    <n v="3"/>
    <n v="30"/>
    <n v="90"/>
    <n v="1.3499999999999999"/>
    <n v="1.8"/>
  </r>
  <r>
    <n v="657"/>
    <n v="11"/>
    <n v="2"/>
    <n v="2023"/>
    <s v="Saturday"/>
    <s v="February"/>
    <s v="2023"/>
    <d v="2023-02-11T00:00:00"/>
    <s v="CUST657"/>
    <x v="0"/>
    <x v="0"/>
    <n v="40"/>
    <x v="2"/>
    <n v="1"/>
    <n v="25"/>
    <n v="25"/>
    <n v="0.375"/>
    <n v="0.5"/>
  </r>
  <r>
    <n v="658"/>
    <n v="12"/>
    <n v="3"/>
    <n v="2023"/>
    <s v="Sunday"/>
    <s v="March"/>
    <s v="2023"/>
    <d v="2023-03-12T00:00:00"/>
    <s v="CUST658"/>
    <x v="0"/>
    <x v="2"/>
    <n v="59"/>
    <x v="2"/>
    <n v="1"/>
    <n v="25"/>
    <n v="25"/>
    <n v="0.375"/>
    <n v="0.5"/>
  </r>
  <r>
    <n v="659"/>
    <n v="19"/>
    <n v="3"/>
    <n v="2023"/>
    <s v="Sunday"/>
    <s v="March"/>
    <s v="2023"/>
    <d v="2023-03-19T00:00:00"/>
    <s v="CUST659"/>
    <x v="1"/>
    <x v="0"/>
    <n v="39"/>
    <x v="1"/>
    <n v="1"/>
    <n v="30"/>
    <n v="30"/>
    <n v="0.44999999999999996"/>
    <n v="0.6"/>
  </r>
  <r>
    <n v="660"/>
    <n v="29"/>
    <n v="4"/>
    <n v="2023"/>
    <s v="Saturday"/>
    <s v="April"/>
    <s v="2023"/>
    <d v="2023-04-29T00:00:00"/>
    <s v="CUST660"/>
    <x v="1"/>
    <x v="0"/>
    <n v="38"/>
    <x v="0"/>
    <n v="2"/>
    <n v="500"/>
    <n v="1000"/>
    <n v="15"/>
    <n v="20"/>
  </r>
  <r>
    <n v="661"/>
    <n v="16"/>
    <n v="7"/>
    <n v="2023"/>
    <s v="Sunday"/>
    <s v="July"/>
    <s v="2023"/>
    <d v="2023-07-16T00:00:00"/>
    <s v="CUST661"/>
    <x v="1"/>
    <x v="0"/>
    <n v="44"/>
    <x v="2"/>
    <n v="4"/>
    <n v="25"/>
    <n v="100"/>
    <n v="1.5"/>
    <n v="2"/>
  </r>
  <r>
    <n v="662"/>
    <n v="22"/>
    <n v="12"/>
    <n v="2023"/>
    <s v="Friday"/>
    <s v="December"/>
    <s v="2023"/>
    <d v="2023-12-22T00:00:00"/>
    <s v="CUST662"/>
    <x v="0"/>
    <x v="0"/>
    <n v="48"/>
    <x v="0"/>
    <n v="2"/>
    <n v="500"/>
    <n v="1000"/>
    <n v="15"/>
    <n v="20"/>
  </r>
  <r>
    <n v="663"/>
    <n v="20"/>
    <n v="3"/>
    <n v="2023"/>
    <s v="Monday"/>
    <s v="March"/>
    <s v="2023"/>
    <d v="2023-03-20T00:00:00"/>
    <s v="CUST663"/>
    <x v="0"/>
    <x v="1"/>
    <n v="23"/>
    <x v="2"/>
    <n v="4"/>
    <n v="300"/>
    <n v="1200"/>
    <n v="18"/>
    <n v="24"/>
  </r>
  <r>
    <n v="664"/>
    <n v="28"/>
    <n v="12"/>
    <n v="2023"/>
    <s v="Thursday"/>
    <s v="December"/>
    <s v="2023"/>
    <d v="2023-12-28T00:00:00"/>
    <s v="CUST664"/>
    <x v="1"/>
    <x v="0"/>
    <n v="44"/>
    <x v="2"/>
    <n v="4"/>
    <n v="500"/>
    <n v="2000"/>
    <n v="30"/>
    <n v="40"/>
  </r>
  <r>
    <n v="665"/>
    <n v="20"/>
    <n v="4"/>
    <n v="2023"/>
    <s v="Thursday"/>
    <s v="April"/>
    <s v="2023"/>
    <d v="2023-04-20T00:00:00"/>
    <s v="CUST665"/>
    <x v="0"/>
    <x v="2"/>
    <n v="57"/>
    <x v="2"/>
    <n v="1"/>
    <n v="50"/>
    <n v="50"/>
    <n v="0.75"/>
    <n v="1"/>
  </r>
  <r>
    <n v="666"/>
    <n v="2"/>
    <n v="2"/>
    <n v="2023"/>
    <s v="Thursday"/>
    <s v="February"/>
    <s v="2023"/>
    <d v="2023-02-02T00:00:00"/>
    <s v="CUST666"/>
    <x v="0"/>
    <x v="2"/>
    <n v="51"/>
    <x v="1"/>
    <n v="3"/>
    <n v="50"/>
    <n v="150"/>
    <n v="2.25"/>
    <n v="3"/>
  </r>
  <r>
    <n v="667"/>
    <n v="1"/>
    <n v="8"/>
    <n v="2023"/>
    <s v="Tuesday"/>
    <s v="August"/>
    <s v="2023"/>
    <d v="2023-08-01T00:00:00"/>
    <s v="CUST667"/>
    <x v="1"/>
    <x v="1"/>
    <n v="29"/>
    <x v="1"/>
    <n v="1"/>
    <n v="500"/>
    <n v="500"/>
    <n v="7.5"/>
    <n v="10"/>
  </r>
  <r>
    <n v="668"/>
    <n v="28"/>
    <n v="7"/>
    <n v="2023"/>
    <s v="Friday"/>
    <s v="July"/>
    <s v="2023"/>
    <d v="2023-07-28T00:00:00"/>
    <s v="CUST668"/>
    <x v="1"/>
    <x v="2"/>
    <n v="62"/>
    <x v="1"/>
    <n v="3"/>
    <n v="50"/>
    <n v="150"/>
    <n v="2.25"/>
    <n v="3"/>
  </r>
  <r>
    <n v="669"/>
    <n v="19"/>
    <n v="6"/>
    <n v="2023"/>
    <s v="Monday"/>
    <s v="June"/>
    <s v="2023"/>
    <d v="2023-06-19T00:00:00"/>
    <s v="CUST669"/>
    <x v="0"/>
    <x v="1"/>
    <n v="24"/>
    <x v="0"/>
    <n v="4"/>
    <n v="300"/>
    <n v="1200"/>
    <n v="18"/>
    <n v="24"/>
  </r>
  <r>
    <n v="670"/>
    <n v="5"/>
    <n v="10"/>
    <n v="2023"/>
    <s v="Thursday"/>
    <s v="October"/>
    <s v="2023"/>
    <d v="2023-10-05T00:00:00"/>
    <s v="CUST670"/>
    <x v="0"/>
    <x v="1"/>
    <n v="27"/>
    <x v="0"/>
    <n v="1"/>
    <n v="30"/>
    <n v="30"/>
    <n v="0.44999999999999996"/>
    <n v="0.6"/>
  </r>
  <r>
    <n v="671"/>
    <n v="27"/>
    <n v="8"/>
    <n v="2023"/>
    <s v="Sunday"/>
    <s v="August"/>
    <s v="2023"/>
    <d v="2023-08-27T00:00:00"/>
    <s v="CUST671"/>
    <x v="0"/>
    <x v="2"/>
    <n v="62"/>
    <x v="1"/>
    <n v="3"/>
    <n v="50"/>
    <n v="150"/>
    <n v="2.25"/>
    <n v="3"/>
  </r>
  <r>
    <n v="672"/>
    <n v="1"/>
    <n v="8"/>
    <n v="2023"/>
    <s v="Tuesday"/>
    <s v="August"/>
    <s v="2023"/>
    <d v="2023-08-01T00:00:00"/>
    <s v="CUST672"/>
    <x v="1"/>
    <x v="0"/>
    <n v="34"/>
    <x v="0"/>
    <n v="2"/>
    <n v="50"/>
    <n v="100"/>
    <n v="1.5"/>
    <n v="2"/>
  </r>
  <r>
    <n v="673"/>
    <n v="1"/>
    <n v="2"/>
    <n v="2023"/>
    <s v="Wednesday"/>
    <s v="February"/>
    <s v="2023"/>
    <d v="2023-02-01T00:00:00"/>
    <s v="CUST673"/>
    <x v="1"/>
    <x v="0"/>
    <n v="43"/>
    <x v="2"/>
    <n v="3"/>
    <n v="500"/>
    <n v="1500"/>
    <n v="22.5"/>
    <n v="30"/>
  </r>
  <r>
    <n v="674"/>
    <n v="16"/>
    <n v="4"/>
    <n v="2023"/>
    <s v="Sunday"/>
    <s v="April"/>
    <s v="2023"/>
    <d v="2023-04-16T00:00:00"/>
    <s v="CUST674"/>
    <x v="1"/>
    <x v="0"/>
    <n v="38"/>
    <x v="2"/>
    <n v="1"/>
    <n v="300"/>
    <n v="300"/>
    <n v="4.5"/>
    <n v="6"/>
  </r>
  <r>
    <n v="675"/>
    <n v="4"/>
    <n v="8"/>
    <n v="2023"/>
    <s v="Friday"/>
    <s v="August"/>
    <s v="2023"/>
    <d v="2023-08-04T00:00:00"/>
    <s v="CUST675"/>
    <x v="1"/>
    <x v="0"/>
    <n v="45"/>
    <x v="2"/>
    <n v="2"/>
    <n v="30"/>
    <n v="60"/>
    <n v="0.89999999999999991"/>
    <n v="1.2"/>
  </r>
  <r>
    <n v="676"/>
    <n v="19"/>
    <n v="7"/>
    <n v="2023"/>
    <s v="Wednesday"/>
    <s v="July"/>
    <s v="2023"/>
    <d v="2023-07-19T00:00:00"/>
    <s v="CUST676"/>
    <x v="0"/>
    <x v="2"/>
    <n v="63"/>
    <x v="1"/>
    <n v="3"/>
    <n v="500"/>
    <n v="1500"/>
    <n v="22.5"/>
    <n v="30"/>
  </r>
  <r>
    <n v="677"/>
    <n v="27"/>
    <n v="10"/>
    <n v="2023"/>
    <s v="Friday"/>
    <s v="October"/>
    <s v="2023"/>
    <d v="2023-10-27T00:00:00"/>
    <s v="CUST677"/>
    <x v="1"/>
    <x v="1"/>
    <n v="19"/>
    <x v="0"/>
    <n v="3"/>
    <n v="500"/>
    <n v="1500"/>
    <n v="22.5"/>
    <n v="30"/>
  </r>
  <r>
    <n v="678"/>
    <n v="23"/>
    <n v="12"/>
    <n v="2023"/>
    <s v="Saturday"/>
    <s v="December"/>
    <s v="2023"/>
    <d v="2023-12-23T00:00:00"/>
    <s v="CUST678"/>
    <x v="1"/>
    <x v="2"/>
    <n v="60"/>
    <x v="1"/>
    <n v="3"/>
    <n v="300"/>
    <n v="900"/>
    <n v="13.5"/>
    <n v="18"/>
  </r>
  <r>
    <n v="679"/>
    <n v="11"/>
    <n v="1"/>
    <n v="2023"/>
    <s v="Wednesday"/>
    <s v="January"/>
    <s v="2023"/>
    <d v="2023-01-11T00:00:00"/>
    <s v="CUST679"/>
    <x v="1"/>
    <x v="1"/>
    <n v="18"/>
    <x v="0"/>
    <n v="3"/>
    <n v="30"/>
    <n v="90"/>
    <n v="1.3499999999999999"/>
    <n v="1.8"/>
  </r>
  <r>
    <n v="680"/>
    <n v="22"/>
    <n v="10"/>
    <n v="2023"/>
    <s v="Sunday"/>
    <s v="October"/>
    <s v="2023"/>
    <d v="2023-10-22T00:00:00"/>
    <s v="CUST680"/>
    <x v="1"/>
    <x v="2"/>
    <n v="53"/>
    <x v="2"/>
    <n v="3"/>
    <n v="300"/>
    <n v="900"/>
    <n v="13.5"/>
    <n v="18"/>
  </r>
  <r>
    <n v="681"/>
    <n v="14"/>
    <n v="7"/>
    <n v="2023"/>
    <s v="Friday"/>
    <s v="July"/>
    <s v="2023"/>
    <d v="2023-07-14T00:00:00"/>
    <s v="CUST681"/>
    <x v="1"/>
    <x v="0"/>
    <n v="43"/>
    <x v="1"/>
    <n v="2"/>
    <n v="30"/>
    <n v="60"/>
    <n v="0.89999999999999991"/>
    <n v="1.2"/>
  </r>
  <r>
    <n v="682"/>
    <n v="2"/>
    <n v="9"/>
    <n v="2023"/>
    <s v="Saturday"/>
    <s v="September"/>
    <s v="2023"/>
    <d v="2023-09-02T00:00:00"/>
    <s v="CUST682"/>
    <x v="0"/>
    <x v="0"/>
    <n v="46"/>
    <x v="0"/>
    <n v="4"/>
    <n v="300"/>
    <n v="1200"/>
    <n v="18"/>
    <n v="24"/>
  </r>
  <r>
    <n v="683"/>
    <n v="4"/>
    <n v="1"/>
    <n v="2023"/>
    <s v="Wednesday"/>
    <s v="January"/>
    <s v="2023"/>
    <d v="2023-01-04T00:00:00"/>
    <s v="CUST683"/>
    <x v="0"/>
    <x v="0"/>
    <n v="38"/>
    <x v="0"/>
    <n v="2"/>
    <n v="500"/>
    <n v="1000"/>
    <n v="15"/>
    <n v="20"/>
  </r>
  <r>
    <n v="684"/>
    <n v="30"/>
    <n v="6"/>
    <n v="2023"/>
    <s v="Friday"/>
    <s v="June"/>
    <s v="2023"/>
    <d v="2023-06-30T00:00:00"/>
    <s v="CUST684"/>
    <x v="1"/>
    <x v="1"/>
    <n v="28"/>
    <x v="2"/>
    <n v="2"/>
    <n v="500"/>
    <n v="1000"/>
    <n v="15"/>
    <n v="20"/>
  </r>
  <r>
    <n v="685"/>
    <n v="2"/>
    <n v="6"/>
    <n v="2023"/>
    <s v="Friday"/>
    <s v="June"/>
    <s v="2023"/>
    <d v="2023-06-02T00:00:00"/>
    <s v="CUST685"/>
    <x v="0"/>
    <x v="2"/>
    <n v="57"/>
    <x v="1"/>
    <n v="2"/>
    <n v="25"/>
    <n v="50"/>
    <n v="0.75"/>
    <n v="1"/>
  </r>
  <r>
    <n v="686"/>
    <n v="19"/>
    <n v="7"/>
    <n v="2023"/>
    <s v="Wednesday"/>
    <s v="July"/>
    <s v="2023"/>
    <d v="2023-07-19T00:00:00"/>
    <s v="CUST686"/>
    <x v="1"/>
    <x v="1"/>
    <n v="28"/>
    <x v="1"/>
    <n v="4"/>
    <n v="50"/>
    <n v="200"/>
    <n v="3"/>
    <n v="4"/>
  </r>
  <r>
    <n v="687"/>
    <n v="3"/>
    <n v="8"/>
    <n v="2023"/>
    <s v="Thursday"/>
    <s v="August"/>
    <s v="2023"/>
    <d v="2023-08-03T00:00:00"/>
    <s v="CUST687"/>
    <x v="1"/>
    <x v="2"/>
    <n v="53"/>
    <x v="1"/>
    <n v="1"/>
    <n v="300"/>
    <n v="300"/>
    <n v="4.5"/>
    <n v="6"/>
  </r>
  <r>
    <n v="688"/>
    <n v="3"/>
    <n v="10"/>
    <n v="2023"/>
    <s v="Tuesday"/>
    <s v="October"/>
    <s v="2023"/>
    <d v="2023-10-03T00:00:00"/>
    <s v="CUST688"/>
    <x v="0"/>
    <x v="2"/>
    <n v="56"/>
    <x v="2"/>
    <n v="4"/>
    <n v="25"/>
    <n v="100"/>
    <n v="1.5"/>
    <n v="2"/>
  </r>
  <r>
    <n v="689"/>
    <n v="7"/>
    <n v="10"/>
    <n v="2023"/>
    <s v="Saturday"/>
    <s v="October"/>
    <s v="2023"/>
    <d v="2023-10-07T00:00:00"/>
    <s v="CUST689"/>
    <x v="0"/>
    <x v="2"/>
    <n v="57"/>
    <x v="1"/>
    <n v="2"/>
    <n v="50"/>
    <n v="100"/>
    <n v="1.5"/>
    <n v="2"/>
  </r>
  <r>
    <n v="690"/>
    <n v="5"/>
    <n v="11"/>
    <n v="2023"/>
    <s v="Sunday"/>
    <s v="November"/>
    <s v="2023"/>
    <d v="2023-11-05T00:00:00"/>
    <s v="CUST690"/>
    <x v="1"/>
    <x v="2"/>
    <n v="52"/>
    <x v="2"/>
    <n v="3"/>
    <n v="300"/>
    <n v="900"/>
    <n v="13.5"/>
    <n v="18"/>
  </r>
  <r>
    <n v="691"/>
    <n v="23"/>
    <n v="4"/>
    <n v="2023"/>
    <s v="Sunday"/>
    <s v="April"/>
    <s v="2023"/>
    <d v="2023-04-23T00:00:00"/>
    <s v="CUST691"/>
    <x v="1"/>
    <x v="2"/>
    <n v="51"/>
    <x v="2"/>
    <n v="3"/>
    <n v="30"/>
    <n v="90"/>
    <n v="1.3499999999999999"/>
    <n v="1.8"/>
  </r>
  <r>
    <n v="692"/>
    <n v="7"/>
    <n v="9"/>
    <n v="2023"/>
    <s v="Thursday"/>
    <s v="September"/>
    <s v="2023"/>
    <d v="2023-09-07T00:00:00"/>
    <s v="CUST692"/>
    <x v="1"/>
    <x v="2"/>
    <n v="64"/>
    <x v="2"/>
    <n v="2"/>
    <n v="50"/>
    <n v="100"/>
    <n v="1.5"/>
    <n v="2"/>
  </r>
  <r>
    <n v="693"/>
    <n v="23"/>
    <n v="4"/>
    <n v="2023"/>
    <s v="Sunday"/>
    <s v="April"/>
    <s v="2023"/>
    <d v="2023-04-23T00:00:00"/>
    <s v="CUST693"/>
    <x v="0"/>
    <x v="0"/>
    <n v="41"/>
    <x v="0"/>
    <n v="3"/>
    <n v="500"/>
    <n v="1500"/>
    <n v="22.5"/>
    <n v="30"/>
  </r>
  <r>
    <n v="694"/>
    <n v="20"/>
    <n v="5"/>
    <n v="2023"/>
    <s v="Saturday"/>
    <s v="May"/>
    <s v="2023"/>
    <d v="2023-05-20T00:00:00"/>
    <s v="CUST694"/>
    <x v="1"/>
    <x v="0"/>
    <n v="39"/>
    <x v="1"/>
    <n v="2"/>
    <n v="25"/>
    <n v="50"/>
    <n v="0.75"/>
    <n v="1"/>
  </r>
  <r>
    <n v="695"/>
    <n v="12"/>
    <n v="8"/>
    <n v="2023"/>
    <s v="Saturday"/>
    <s v="August"/>
    <s v="2023"/>
    <d v="2023-08-12T00:00:00"/>
    <s v="CUST695"/>
    <x v="1"/>
    <x v="1"/>
    <n v="22"/>
    <x v="1"/>
    <n v="3"/>
    <n v="50"/>
    <n v="150"/>
    <n v="2.25"/>
    <n v="3"/>
  </r>
  <r>
    <n v="696"/>
    <n v="6"/>
    <n v="9"/>
    <n v="2023"/>
    <s v="Wednesday"/>
    <s v="September"/>
    <s v="2023"/>
    <d v="2023-09-06T00:00:00"/>
    <s v="CUST696"/>
    <x v="1"/>
    <x v="0"/>
    <n v="50"/>
    <x v="2"/>
    <n v="4"/>
    <n v="50"/>
    <n v="200"/>
    <n v="3"/>
    <n v="4"/>
  </r>
  <r>
    <n v="697"/>
    <n v="15"/>
    <n v="1"/>
    <n v="2023"/>
    <s v="Sunday"/>
    <s v="January"/>
    <s v="2023"/>
    <d v="2023-01-15T00:00:00"/>
    <s v="CUST697"/>
    <x v="0"/>
    <x v="2"/>
    <n v="53"/>
    <x v="2"/>
    <n v="1"/>
    <n v="500"/>
    <n v="500"/>
    <n v="7.5"/>
    <n v="10"/>
  </r>
  <r>
    <n v="698"/>
    <n v="19"/>
    <n v="7"/>
    <n v="2023"/>
    <s v="Wednesday"/>
    <s v="July"/>
    <s v="2023"/>
    <d v="2023-07-19T00:00:00"/>
    <s v="CUST698"/>
    <x v="1"/>
    <x v="2"/>
    <n v="64"/>
    <x v="1"/>
    <n v="1"/>
    <n v="300"/>
    <n v="300"/>
    <n v="4.5"/>
    <n v="6"/>
  </r>
  <r>
    <n v="699"/>
    <n v="22"/>
    <n v="6"/>
    <n v="2023"/>
    <s v="Thursday"/>
    <s v="June"/>
    <s v="2023"/>
    <d v="2023-06-22T00:00:00"/>
    <s v="CUST699"/>
    <x v="1"/>
    <x v="0"/>
    <n v="37"/>
    <x v="2"/>
    <n v="4"/>
    <n v="30"/>
    <n v="120"/>
    <n v="1.7999999999999998"/>
    <n v="2.4"/>
  </r>
  <r>
    <n v="700"/>
    <n v="9"/>
    <n v="12"/>
    <n v="2023"/>
    <s v="Saturday"/>
    <s v="December"/>
    <s v="2023"/>
    <d v="2023-12-09T00:00:00"/>
    <s v="CUST700"/>
    <x v="0"/>
    <x v="0"/>
    <n v="36"/>
    <x v="1"/>
    <n v="4"/>
    <n v="500"/>
    <n v="2000"/>
    <n v="30"/>
    <n v="40"/>
  </r>
  <r>
    <n v="701"/>
    <n v="14"/>
    <n v="12"/>
    <n v="2023"/>
    <s v="Thursday"/>
    <s v="December"/>
    <s v="2023"/>
    <d v="2023-12-14T00:00:00"/>
    <s v="CUST701"/>
    <x v="1"/>
    <x v="2"/>
    <n v="52"/>
    <x v="0"/>
    <n v="2"/>
    <n v="30"/>
    <n v="60"/>
    <n v="0.89999999999999991"/>
    <n v="1.2"/>
  </r>
  <r>
    <n v="702"/>
    <n v="27"/>
    <n v="7"/>
    <n v="2023"/>
    <s v="Thursday"/>
    <s v="July"/>
    <s v="2023"/>
    <d v="2023-07-27T00:00:00"/>
    <s v="CUST702"/>
    <x v="1"/>
    <x v="2"/>
    <n v="60"/>
    <x v="2"/>
    <n v="2"/>
    <n v="300"/>
    <n v="600"/>
    <n v="9"/>
    <n v="12"/>
  </r>
  <r>
    <n v="703"/>
    <n v="26"/>
    <n v="3"/>
    <n v="2023"/>
    <s v="Sunday"/>
    <s v="March"/>
    <s v="2023"/>
    <d v="2023-03-26T00:00:00"/>
    <s v="CUST703"/>
    <x v="0"/>
    <x v="0"/>
    <n v="34"/>
    <x v="1"/>
    <n v="2"/>
    <n v="50"/>
    <n v="100"/>
    <n v="1.5"/>
    <n v="2"/>
  </r>
  <r>
    <n v="704"/>
    <n v="28"/>
    <n v="8"/>
    <n v="2023"/>
    <s v="Monday"/>
    <s v="August"/>
    <s v="2023"/>
    <d v="2023-08-28T00:00:00"/>
    <s v="CUST704"/>
    <x v="1"/>
    <x v="2"/>
    <n v="62"/>
    <x v="2"/>
    <n v="3"/>
    <n v="30"/>
    <n v="90"/>
    <n v="1.3499999999999999"/>
    <n v="1.8"/>
  </r>
  <r>
    <n v="705"/>
    <n v="7"/>
    <n v="3"/>
    <n v="2023"/>
    <s v="Tuesday"/>
    <s v="March"/>
    <s v="2023"/>
    <d v="2023-03-07T00:00:00"/>
    <s v="CUST705"/>
    <x v="0"/>
    <x v="2"/>
    <n v="60"/>
    <x v="1"/>
    <n v="2"/>
    <n v="25"/>
    <n v="50"/>
    <n v="0.75"/>
    <n v="1"/>
  </r>
  <r>
    <n v="706"/>
    <n v="15"/>
    <n v="11"/>
    <n v="2023"/>
    <s v="Wednesday"/>
    <s v="November"/>
    <s v="2023"/>
    <d v="2023-11-15T00:00:00"/>
    <s v="CUST706"/>
    <x v="0"/>
    <x v="2"/>
    <n v="51"/>
    <x v="1"/>
    <n v="4"/>
    <n v="25"/>
    <n v="100"/>
    <n v="1.5"/>
    <n v="2"/>
  </r>
  <r>
    <n v="707"/>
    <n v="1"/>
    <n v="10"/>
    <n v="2023"/>
    <s v="Sunday"/>
    <s v="October"/>
    <s v="2023"/>
    <d v="2023-10-01T00:00:00"/>
    <s v="CUST707"/>
    <x v="1"/>
    <x v="1"/>
    <n v="26"/>
    <x v="2"/>
    <n v="1"/>
    <n v="500"/>
    <n v="500"/>
    <n v="7.5"/>
    <n v="10"/>
  </r>
  <r>
    <n v="708"/>
    <n v="14"/>
    <n v="1"/>
    <n v="2023"/>
    <s v="Saturday"/>
    <s v="January"/>
    <s v="2023"/>
    <d v="2023-01-14T00:00:00"/>
    <s v="CUST708"/>
    <x v="1"/>
    <x v="0"/>
    <n v="43"/>
    <x v="0"/>
    <n v="3"/>
    <n v="300"/>
    <n v="900"/>
    <n v="13.5"/>
    <n v="18"/>
  </r>
  <r>
    <n v="709"/>
    <n v="21"/>
    <n v="7"/>
    <n v="2023"/>
    <s v="Friday"/>
    <s v="July"/>
    <s v="2023"/>
    <d v="2023-07-21T00:00:00"/>
    <s v="CUST709"/>
    <x v="1"/>
    <x v="1"/>
    <n v="19"/>
    <x v="1"/>
    <n v="2"/>
    <n v="500"/>
    <n v="1000"/>
    <n v="15"/>
    <n v="20"/>
  </r>
  <r>
    <n v="710"/>
    <n v="31"/>
    <n v="10"/>
    <n v="2023"/>
    <s v="Tuesday"/>
    <s v="October"/>
    <s v="2023"/>
    <d v="2023-10-31T00:00:00"/>
    <s v="CUST710"/>
    <x v="1"/>
    <x v="1"/>
    <n v="26"/>
    <x v="1"/>
    <n v="3"/>
    <n v="500"/>
    <n v="1500"/>
    <n v="22.5"/>
    <n v="30"/>
  </r>
  <r>
    <n v="711"/>
    <n v="16"/>
    <n v="10"/>
    <n v="2023"/>
    <s v="Monday"/>
    <s v="October"/>
    <s v="2023"/>
    <d v="2023-10-16T00:00:00"/>
    <s v="CUST711"/>
    <x v="0"/>
    <x v="1"/>
    <n v="26"/>
    <x v="1"/>
    <n v="3"/>
    <n v="500"/>
    <n v="1500"/>
    <n v="22.5"/>
    <n v="30"/>
  </r>
  <r>
    <n v="712"/>
    <n v="6"/>
    <n v="12"/>
    <n v="2023"/>
    <s v="Wednesday"/>
    <s v="December"/>
    <s v="2023"/>
    <d v="2023-12-06T00:00:00"/>
    <s v="CUST712"/>
    <x v="1"/>
    <x v="2"/>
    <n v="57"/>
    <x v="0"/>
    <n v="2"/>
    <n v="25"/>
    <n v="50"/>
    <n v="0.75"/>
    <n v="1"/>
  </r>
  <r>
    <n v="713"/>
    <n v="14"/>
    <n v="1"/>
    <n v="2023"/>
    <s v="Saturday"/>
    <s v="January"/>
    <s v="2023"/>
    <d v="2023-01-14T00:00:00"/>
    <s v="CUST713"/>
    <x v="0"/>
    <x v="0"/>
    <n v="34"/>
    <x v="0"/>
    <n v="3"/>
    <n v="25"/>
    <n v="75"/>
    <n v="1.125"/>
    <n v="1.5"/>
  </r>
  <r>
    <n v="714"/>
    <n v="12"/>
    <n v="2"/>
    <n v="2023"/>
    <s v="Sunday"/>
    <s v="February"/>
    <s v="2023"/>
    <d v="2023-02-12T00:00:00"/>
    <s v="CUST714"/>
    <x v="1"/>
    <x v="1"/>
    <n v="18"/>
    <x v="2"/>
    <n v="1"/>
    <n v="500"/>
    <n v="500"/>
    <n v="7.5"/>
    <n v="10"/>
  </r>
  <r>
    <n v="715"/>
    <n v="26"/>
    <n v="11"/>
    <n v="2023"/>
    <s v="Sunday"/>
    <s v="November"/>
    <s v="2023"/>
    <d v="2023-11-26T00:00:00"/>
    <s v="CUST715"/>
    <x v="1"/>
    <x v="0"/>
    <n v="42"/>
    <x v="0"/>
    <n v="4"/>
    <n v="25"/>
    <n v="100"/>
    <n v="1.5"/>
    <n v="2"/>
  </r>
  <r>
    <n v="716"/>
    <n v="8"/>
    <n v="8"/>
    <n v="2023"/>
    <s v="Tuesday"/>
    <s v="August"/>
    <s v="2023"/>
    <d v="2023-08-08T00:00:00"/>
    <s v="CUST716"/>
    <x v="1"/>
    <x v="2"/>
    <n v="60"/>
    <x v="2"/>
    <n v="4"/>
    <n v="300"/>
    <n v="1200"/>
    <n v="18"/>
    <n v="24"/>
  </r>
  <r>
    <n v="717"/>
    <n v="11"/>
    <n v="3"/>
    <n v="2023"/>
    <s v="Saturday"/>
    <s v="March"/>
    <s v="2023"/>
    <d v="2023-03-11T00:00:00"/>
    <s v="CUST717"/>
    <x v="0"/>
    <x v="2"/>
    <n v="57"/>
    <x v="2"/>
    <n v="1"/>
    <n v="500"/>
    <n v="500"/>
    <n v="7.5"/>
    <n v="10"/>
  </r>
  <r>
    <n v="718"/>
    <n v="25"/>
    <n v="8"/>
    <n v="2023"/>
    <s v="Friday"/>
    <s v="August"/>
    <s v="2023"/>
    <d v="2023-08-25T00:00:00"/>
    <s v="CUST718"/>
    <x v="1"/>
    <x v="2"/>
    <n v="59"/>
    <x v="0"/>
    <n v="3"/>
    <n v="25"/>
    <n v="75"/>
    <n v="1.125"/>
    <n v="1.5"/>
  </r>
  <r>
    <n v="719"/>
    <n v="4"/>
    <n v="4"/>
    <n v="2023"/>
    <s v="Tuesday"/>
    <s v="April"/>
    <s v="2023"/>
    <d v="2023-04-04T00:00:00"/>
    <s v="CUST719"/>
    <x v="1"/>
    <x v="0"/>
    <n v="42"/>
    <x v="2"/>
    <n v="2"/>
    <n v="30"/>
    <n v="60"/>
    <n v="0.89999999999999991"/>
    <n v="1.2"/>
  </r>
  <r>
    <n v="720"/>
    <n v="26"/>
    <n v="1"/>
    <n v="2023"/>
    <s v="Thursday"/>
    <s v="January"/>
    <s v="2023"/>
    <d v="2023-01-26T00:00:00"/>
    <s v="CUST720"/>
    <x v="1"/>
    <x v="2"/>
    <n v="56"/>
    <x v="0"/>
    <n v="3"/>
    <n v="500"/>
    <n v="1500"/>
    <n v="22.5"/>
    <n v="30"/>
  </r>
  <r>
    <n v="721"/>
    <n v="14"/>
    <n v="5"/>
    <n v="2023"/>
    <s v="Sunday"/>
    <s v="May"/>
    <s v="2023"/>
    <d v="2023-05-14T00:00:00"/>
    <s v="CUST721"/>
    <x v="1"/>
    <x v="2"/>
    <n v="52"/>
    <x v="2"/>
    <n v="1"/>
    <n v="500"/>
    <n v="500"/>
    <n v="7.5"/>
    <n v="10"/>
  </r>
  <r>
    <n v="722"/>
    <n v="14"/>
    <n v="7"/>
    <n v="2023"/>
    <s v="Friday"/>
    <s v="July"/>
    <s v="2023"/>
    <d v="2023-07-14T00:00:00"/>
    <s v="CUST722"/>
    <x v="0"/>
    <x v="1"/>
    <n v="20"/>
    <x v="0"/>
    <n v="3"/>
    <n v="300"/>
    <n v="900"/>
    <n v="13.5"/>
    <n v="18"/>
  </r>
  <r>
    <n v="723"/>
    <n v="17"/>
    <n v="6"/>
    <n v="2023"/>
    <s v="Saturday"/>
    <s v="June"/>
    <s v="2023"/>
    <d v="2023-06-17T00:00:00"/>
    <s v="CUST723"/>
    <x v="1"/>
    <x v="2"/>
    <n v="54"/>
    <x v="0"/>
    <n v="4"/>
    <n v="50"/>
    <n v="200"/>
    <n v="3"/>
    <n v="4"/>
  </r>
  <r>
    <n v="724"/>
    <n v="19"/>
    <n v="4"/>
    <n v="2023"/>
    <s v="Wednesday"/>
    <s v="April"/>
    <s v="2023"/>
    <d v="2023-04-19T00:00:00"/>
    <s v="CUST724"/>
    <x v="0"/>
    <x v="2"/>
    <n v="61"/>
    <x v="2"/>
    <n v="3"/>
    <n v="50"/>
    <n v="150"/>
    <n v="2.25"/>
    <n v="3"/>
  </r>
  <r>
    <n v="725"/>
    <n v="21"/>
    <n v="8"/>
    <n v="2023"/>
    <s v="Monday"/>
    <s v="August"/>
    <s v="2023"/>
    <d v="2023-08-21T00:00:00"/>
    <s v="CUST725"/>
    <x v="0"/>
    <x v="2"/>
    <n v="61"/>
    <x v="1"/>
    <n v="1"/>
    <n v="300"/>
    <n v="300"/>
    <n v="4.5"/>
    <n v="6"/>
  </r>
  <r>
    <n v="726"/>
    <n v="17"/>
    <n v="6"/>
    <n v="2023"/>
    <s v="Saturday"/>
    <s v="June"/>
    <s v="2023"/>
    <d v="2023-06-17T00:00:00"/>
    <s v="CUST726"/>
    <x v="0"/>
    <x v="0"/>
    <n v="47"/>
    <x v="2"/>
    <n v="4"/>
    <n v="300"/>
    <n v="1200"/>
    <n v="18"/>
    <n v="24"/>
  </r>
  <r>
    <n v="727"/>
    <n v="22"/>
    <n v="6"/>
    <n v="2023"/>
    <s v="Thursday"/>
    <s v="June"/>
    <s v="2023"/>
    <d v="2023-06-22T00:00:00"/>
    <s v="CUST727"/>
    <x v="0"/>
    <x v="2"/>
    <n v="55"/>
    <x v="0"/>
    <n v="3"/>
    <n v="300"/>
    <n v="900"/>
    <n v="13.5"/>
    <n v="18"/>
  </r>
  <r>
    <n v="728"/>
    <n v="14"/>
    <n v="7"/>
    <n v="2023"/>
    <s v="Friday"/>
    <s v="July"/>
    <s v="2023"/>
    <d v="2023-07-14T00:00:00"/>
    <s v="CUST728"/>
    <x v="0"/>
    <x v="2"/>
    <n v="51"/>
    <x v="1"/>
    <n v="3"/>
    <n v="50"/>
    <n v="150"/>
    <n v="2.25"/>
    <n v="3"/>
  </r>
  <r>
    <n v="729"/>
    <n v="23"/>
    <n v="5"/>
    <n v="2023"/>
    <s v="Tuesday"/>
    <s v="May"/>
    <s v="2023"/>
    <d v="2023-05-23T00:00:00"/>
    <s v="CUST729"/>
    <x v="0"/>
    <x v="1"/>
    <n v="29"/>
    <x v="2"/>
    <n v="4"/>
    <n v="300"/>
    <n v="1200"/>
    <n v="18"/>
    <n v="24"/>
  </r>
  <r>
    <n v="730"/>
    <n v="4"/>
    <n v="8"/>
    <n v="2023"/>
    <s v="Friday"/>
    <s v="August"/>
    <s v="2023"/>
    <d v="2023-08-04T00:00:00"/>
    <s v="CUST730"/>
    <x v="1"/>
    <x v="0"/>
    <n v="36"/>
    <x v="2"/>
    <n v="2"/>
    <n v="25"/>
    <n v="50"/>
    <n v="0.75"/>
    <n v="1"/>
  </r>
  <r>
    <n v="731"/>
    <n v="10"/>
    <n v="5"/>
    <n v="2023"/>
    <s v="Wednesday"/>
    <s v="May"/>
    <s v="2023"/>
    <d v="2023-05-10T00:00:00"/>
    <s v="CUST731"/>
    <x v="0"/>
    <x v="2"/>
    <n v="54"/>
    <x v="2"/>
    <n v="4"/>
    <n v="500"/>
    <n v="2000"/>
    <n v="30"/>
    <n v="40"/>
  </r>
  <r>
    <n v="732"/>
    <n v="11"/>
    <n v="2"/>
    <n v="2023"/>
    <s v="Saturday"/>
    <s v="February"/>
    <s v="2023"/>
    <d v="2023-02-11T00:00:00"/>
    <s v="CUST732"/>
    <x v="0"/>
    <x v="2"/>
    <n v="61"/>
    <x v="1"/>
    <n v="2"/>
    <n v="500"/>
    <n v="1000"/>
    <n v="15"/>
    <n v="20"/>
  </r>
  <r>
    <n v="733"/>
    <n v="29"/>
    <n v="8"/>
    <n v="2023"/>
    <s v="Tuesday"/>
    <s v="August"/>
    <s v="2023"/>
    <d v="2023-08-29T00:00:00"/>
    <s v="CUST733"/>
    <x v="0"/>
    <x v="0"/>
    <n v="34"/>
    <x v="0"/>
    <n v="1"/>
    <n v="30"/>
    <n v="30"/>
    <n v="0.44999999999999996"/>
    <n v="0.6"/>
  </r>
  <r>
    <n v="734"/>
    <n v="10"/>
    <n v="1"/>
    <n v="2023"/>
    <s v="Tuesday"/>
    <s v="January"/>
    <s v="2023"/>
    <d v="2023-01-10T00:00:00"/>
    <s v="CUST734"/>
    <x v="1"/>
    <x v="1"/>
    <n v="27"/>
    <x v="2"/>
    <n v="1"/>
    <n v="30"/>
    <n v="30"/>
    <n v="0.44999999999999996"/>
    <n v="0.6"/>
  </r>
  <r>
    <n v="735"/>
    <n v="4"/>
    <n v="10"/>
    <n v="2023"/>
    <s v="Wednesday"/>
    <s v="October"/>
    <s v="2023"/>
    <d v="2023-10-04T00:00:00"/>
    <s v="CUST735"/>
    <x v="1"/>
    <x v="2"/>
    <n v="64"/>
    <x v="2"/>
    <n v="4"/>
    <n v="500"/>
    <n v="2000"/>
    <n v="30"/>
    <n v="40"/>
  </r>
  <r>
    <n v="736"/>
    <n v="27"/>
    <n v="1"/>
    <n v="2023"/>
    <s v="Friday"/>
    <s v="January"/>
    <s v="2023"/>
    <d v="2023-01-27T00:00:00"/>
    <s v="CUST736"/>
    <x v="0"/>
    <x v="1"/>
    <n v="29"/>
    <x v="2"/>
    <n v="4"/>
    <n v="25"/>
    <n v="100"/>
    <n v="1.5"/>
    <n v="2"/>
  </r>
  <r>
    <n v="737"/>
    <n v="29"/>
    <n v="6"/>
    <n v="2023"/>
    <s v="Thursday"/>
    <s v="June"/>
    <s v="2023"/>
    <d v="2023-06-29T00:00:00"/>
    <s v="CUST737"/>
    <x v="1"/>
    <x v="0"/>
    <n v="33"/>
    <x v="2"/>
    <n v="1"/>
    <n v="50"/>
    <n v="50"/>
    <n v="0.75"/>
    <n v="1"/>
  </r>
  <r>
    <n v="738"/>
    <n v="25"/>
    <n v="4"/>
    <n v="2023"/>
    <s v="Tuesday"/>
    <s v="April"/>
    <s v="2023"/>
    <d v="2023-04-25T00:00:00"/>
    <s v="CUST738"/>
    <x v="0"/>
    <x v="0"/>
    <n v="41"/>
    <x v="2"/>
    <n v="2"/>
    <n v="50"/>
    <n v="100"/>
    <n v="1.5"/>
    <n v="2"/>
  </r>
  <r>
    <n v="739"/>
    <n v="29"/>
    <n v="11"/>
    <n v="2023"/>
    <s v="Wednesday"/>
    <s v="November"/>
    <s v="2023"/>
    <d v="2023-11-29T00:00:00"/>
    <s v="CUST739"/>
    <x v="0"/>
    <x v="0"/>
    <n v="36"/>
    <x v="0"/>
    <n v="1"/>
    <n v="25"/>
    <n v="25"/>
    <n v="0.375"/>
    <n v="0.5"/>
  </r>
  <r>
    <n v="740"/>
    <n v="5"/>
    <n v="2"/>
    <n v="2023"/>
    <s v="Sunday"/>
    <s v="February"/>
    <s v="2023"/>
    <d v="2023-02-05T00:00:00"/>
    <s v="CUST740"/>
    <x v="1"/>
    <x v="1"/>
    <n v="25"/>
    <x v="0"/>
    <n v="4"/>
    <n v="50"/>
    <n v="200"/>
    <n v="3"/>
    <n v="4"/>
  </r>
  <r>
    <n v="741"/>
    <n v="30"/>
    <n v="11"/>
    <n v="2023"/>
    <s v="Thursday"/>
    <s v="November"/>
    <s v="2023"/>
    <d v="2023-11-30T00:00:00"/>
    <s v="CUST741"/>
    <x v="0"/>
    <x v="0"/>
    <n v="48"/>
    <x v="2"/>
    <n v="1"/>
    <n v="300"/>
    <n v="300"/>
    <n v="4.5"/>
    <n v="6"/>
  </r>
  <r>
    <n v="742"/>
    <n v="21"/>
    <n v="1"/>
    <n v="2023"/>
    <s v="Saturday"/>
    <s v="January"/>
    <s v="2023"/>
    <d v="2023-01-21T00:00:00"/>
    <s v="CUST742"/>
    <x v="1"/>
    <x v="0"/>
    <n v="38"/>
    <x v="1"/>
    <n v="4"/>
    <n v="500"/>
    <n v="2000"/>
    <n v="30"/>
    <n v="40"/>
  </r>
  <r>
    <n v="743"/>
    <n v="16"/>
    <n v="1"/>
    <n v="2023"/>
    <s v="Monday"/>
    <s v="January"/>
    <s v="2023"/>
    <d v="2023-01-16T00:00:00"/>
    <s v="CUST743"/>
    <x v="1"/>
    <x v="0"/>
    <n v="34"/>
    <x v="0"/>
    <n v="4"/>
    <n v="500"/>
    <n v="2000"/>
    <n v="30"/>
    <n v="40"/>
  </r>
  <r>
    <n v="744"/>
    <n v="7"/>
    <n v="5"/>
    <n v="2023"/>
    <s v="Sunday"/>
    <s v="May"/>
    <s v="2023"/>
    <d v="2023-05-07T00:00:00"/>
    <s v="CUST744"/>
    <x v="0"/>
    <x v="0"/>
    <n v="40"/>
    <x v="1"/>
    <n v="1"/>
    <n v="25"/>
    <n v="25"/>
    <n v="0.375"/>
    <n v="0.5"/>
  </r>
  <r>
    <n v="745"/>
    <n v="13"/>
    <n v="4"/>
    <n v="2023"/>
    <s v="Thursday"/>
    <s v="April"/>
    <s v="2023"/>
    <d v="2023-04-13T00:00:00"/>
    <s v="CUST745"/>
    <x v="0"/>
    <x v="2"/>
    <n v="54"/>
    <x v="0"/>
    <n v="2"/>
    <n v="50"/>
    <n v="100"/>
    <n v="1.5"/>
    <n v="2"/>
  </r>
  <r>
    <n v="746"/>
    <n v="11"/>
    <n v="1"/>
    <n v="2023"/>
    <s v="Wednesday"/>
    <s v="January"/>
    <s v="2023"/>
    <d v="2023-01-11T00:00:00"/>
    <s v="CUST746"/>
    <x v="1"/>
    <x v="0"/>
    <n v="33"/>
    <x v="2"/>
    <n v="3"/>
    <n v="30"/>
    <n v="90"/>
    <n v="1.3499999999999999"/>
    <n v="1.8"/>
  </r>
  <r>
    <n v="747"/>
    <n v="15"/>
    <n v="11"/>
    <n v="2023"/>
    <s v="Wednesday"/>
    <s v="November"/>
    <s v="2023"/>
    <d v="2023-11-15T00:00:00"/>
    <s v="CUST747"/>
    <x v="0"/>
    <x v="1"/>
    <n v="23"/>
    <x v="0"/>
    <n v="1"/>
    <n v="30"/>
    <n v="30"/>
    <n v="0.44999999999999996"/>
    <n v="0.6"/>
  </r>
  <r>
    <n v="748"/>
    <n v="20"/>
    <n v="3"/>
    <n v="2023"/>
    <s v="Monday"/>
    <s v="March"/>
    <s v="2023"/>
    <d v="2023-03-20T00:00:00"/>
    <s v="CUST748"/>
    <x v="0"/>
    <x v="1"/>
    <n v="25"/>
    <x v="2"/>
    <n v="3"/>
    <n v="50"/>
    <n v="150"/>
    <n v="2.25"/>
    <n v="3"/>
  </r>
  <r>
    <n v="749"/>
    <n v="3"/>
    <n v="5"/>
    <n v="2023"/>
    <s v="Wednesday"/>
    <s v="May"/>
    <s v="2023"/>
    <d v="2023-05-03T00:00:00"/>
    <s v="CUST749"/>
    <x v="0"/>
    <x v="0"/>
    <n v="42"/>
    <x v="0"/>
    <n v="1"/>
    <n v="30"/>
    <n v="30"/>
    <n v="0.44999999999999996"/>
    <n v="0.6"/>
  </r>
  <r>
    <n v="750"/>
    <n v="6"/>
    <n v="3"/>
    <n v="2023"/>
    <s v="Monday"/>
    <s v="March"/>
    <s v="2023"/>
    <d v="2023-03-06T00:00:00"/>
    <s v="CUST750"/>
    <x v="1"/>
    <x v="0"/>
    <n v="35"/>
    <x v="2"/>
    <n v="3"/>
    <n v="25"/>
    <n v="75"/>
    <n v="1.125"/>
    <n v="1.5"/>
  </r>
  <r>
    <n v="751"/>
    <n v="31"/>
    <n v="8"/>
    <n v="2023"/>
    <s v="Thursday"/>
    <s v="August"/>
    <s v="2023"/>
    <d v="2023-08-31T00:00:00"/>
    <s v="CUST751"/>
    <x v="1"/>
    <x v="0"/>
    <n v="42"/>
    <x v="2"/>
    <n v="2"/>
    <n v="25"/>
    <n v="50"/>
    <n v="0.75"/>
    <n v="1"/>
  </r>
  <r>
    <n v="752"/>
    <n v="9"/>
    <n v="12"/>
    <n v="2023"/>
    <s v="Saturday"/>
    <s v="December"/>
    <s v="2023"/>
    <d v="2023-12-09T00:00:00"/>
    <s v="CUST752"/>
    <x v="0"/>
    <x v="1"/>
    <n v="29"/>
    <x v="2"/>
    <n v="2"/>
    <n v="50"/>
    <n v="100"/>
    <n v="1.5"/>
    <n v="2"/>
  </r>
  <r>
    <n v="753"/>
    <n v="28"/>
    <n v="2"/>
    <n v="2023"/>
    <s v="Tuesday"/>
    <s v="February"/>
    <s v="2023"/>
    <d v="2023-02-28T00:00:00"/>
    <s v="CUST753"/>
    <x v="1"/>
    <x v="0"/>
    <n v="32"/>
    <x v="2"/>
    <n v="1"/>
    <n v="30"/>
    <n v="30"/>
    <n v="0.44999999999999996"/>
    <n v="0.6"/>
  </r>
  <r>
    <n v="754"/>
    <n v="16"/>
    <n v="10"/>
    <n v="2023"/>
    <s v="Monday"/>
    <s v="October"/>
    <s v="2023"/>
    <d v="2023-10-16T00:00:00"/>
    <s v="CUST754"/>
    <x v="1"/>
    <x v="0"/>
    <n v="43"/>
    <x v="1"/>
    <n v="4"/>
    <n v="25"/>
    <n v="100"/>
    <n v="1.5"/>
    <n v="2"/>
  </r>
  <r>
    <n v="755"/>
    <n v="22"/>
    <n v="4"/>
    <n v="2023"/>
    <s v="Saturday"/>
    <s v="April"/>
    <s v="2023"/>
    <d v="2023-04-22T00:00:00"/>
    <s v="CUST755"/>
    <x v="1"/>
    <x v="2"/>
    <n v="58"/>
    <x v="2"/>
    <n v="3"/>
    <n v="25"/>
    <n v="75"/>
    <n v="1.125"/>
    <n v="1.5"/>
  </r>
  <r>
    <n v="756"/>
    <n v="27"/>
    <n v="8"/>
    <n v="2023"/>
    <s v="Sunday"/>
    <s v="August"/>
    <s v="2023"/>
    <d v="2023-08-27T00:00:00"/>
    <s v="CUST756"/>
    <x v="1"/>
    <x v="2"/>
    <n v="62"/>
    <x v="1"/>
    <n v="4"/>
    <n v="300"/>
    <n v="1200"/>
    <n v="18"/>
    <n v="24"/>
  </r>
  <r>
    <n v="757"/>
    <n v="25"/>
    <n v="12"/>
    <n v="2023"/>
    <s v="Monday"/>
    <s v="December"/>
    <s v="2023"/>
    <d v="2023-12-25T00:00:00"/>
    <s v="CUST757"/>
    <x v="1"/>
    <x v="0"/>
    <n v="43"/>
    <x v="1"/>
    <n v="4"/>
    <n v="300"/>
    <n v="1200"/>
    <n v="18"/>
    <n v="24"/>
  </r>
  <r>
    <n v="758"/>
    <n v="12"/>
    <n v="5"/>
    <n v="2023"/>
    <s v="Friday"/>
    <s v="May"/>
    <s v="2023"/>
    <d v="2023-05-12T00:00:00"/>
    <s v="CUST758"/>
    <x v="0"/>
    <x v="2"/>
    <n v="64"/>
    <x v="2"/>
    <n v="4"/>
    <n v="25"/>
    <n v="100"/>
    <n v="1.5"/>
    <n v="2"/>
  </r>
  <r>
    <n v="759"/>
    <n v="8"/>
    <n v="7"/>
    <n v="2023"/>
    <s v="Saturday"/>
    <s v="July"/>
    <s v="2023"/>
    <d v="2023-07-08T00:00:00"/>
    <s v="CUST759"/>
    <x v="0"/>
    <x v="0"/>
    <n v="49"/>
    <x v="1"/>
    <n v="2"/>
    <n v="50"/>
    <n v="100"/>
    <n v="1.5"/>
    <n v="2"/>
  </r>
  <r>
    <n v="760"/>
    <n v="27"/>
    <n v="3"/>
    <n v="2023"/>
    <s v="Monday"/>
    <s v="March"/>
    <s v="2023"/>
    <d v="2023-03-27T00:00:00"/>
    <s v="CUST760"/>
    <x v="0"/>
    <x v="1"/>
    <n v="27"/>
    <x v="0"/>
    <n v="1"/>
    <n v="500"/>
    <n v="500"/>
    <n v="7.5"/>
    <n v="10"/>
  </r>
  <r>
    <n v="761"/>
    <n v="7"/>
    <n v="11"/>
    <n v="2023"/>
    <s v="Tuesday"/>
    <s v="November"/>
    <s v="2023"/>
    <d v="2023-11-07T00:00:00"/>
    <s v="CUST761"/>
    <x v="1"/>
    <x v="0"/>
    <n v="33"/>
    <x v="2"/>
    <n v="1"/>
    <n v="500"/>
    <n v="500"/>
    <n v="7.5"/>
    <n v="10"/>
  </r>
  <r>
    <n v="762"/>
    <n v="7"/>
    <n v="11"/>
    <n v="2023"/>
    <s v="Tuesday"/>
    <s v="November"/>
    <s v="2023"/>
    <d v="2023-11-07T00:00:00"/>
    <s v="CUST762"/>
    <x v="1"/>
    <x v="1"/>
    <n v="24"/>
    <x v="1"/>
    <n v="2"/>
    <n v="25"/>
    <n v="50"/>
    <n v="0.75"/>
    <n v="1"/>
  </r>
  <r>
    <n v="763"/>
    <n v="28"/>
    <n v="2"/>
    <n v="2023"/>
    <s v="Tuesday"/>
    <s v="February"/>
    <s v="2023"/>
    <d v="2023-02-28T00:00:00"/>
    <s v="CUST763"/>
    <x v="0"/>
    <x v="0"/>
    <n v="34"/>
    <x v="2"/>
    <n v="2"/>
    <n v="25"/>
    <n v="50"/>
    <n v="0.75"/>
    <n v="1"/>
  </r>
  <r>
    <n v="764"/>
    <n v="25"/>
    <n v="3"/>
    <n v="2023"/>
    <s v="Saturday"/>
    <s v="March"/>
    <s v="2023"/>
    <d v="2023-03-25T00:00:00"/>
    <s v="CUST764"/>
    <x v="1"/>
    <x v="0"/>
    <n v="40"/>
    <x v="2"/>
    <n v="1"/>
    <n v="25"/>
    <n v="25"/>
    <n v="0.375"/>
    <n v="0.5"/>
  </r>
  <r>
    <n v="765"/>
    <n v="9"/>
    <n v="6"/>
    <n v="2023"/>
    <s v="Friday"/>
    <s v="June"/>
    <s v="2023"/>
    <d v="2023-06-09T00:00:00"/>
    <s v="CUST765"/>
    <x v="0"/>
    <x v="0"/>
    <n v="43"/>
    <x v="2"/>
    <n v="4"/>
    <n v="50"/>
    <n v="200"/>
    <n v="3"/>
    <n v="4"/>
  </r>
  <r>
    <n v="766"/>
    <n v="25"/>
    <n v="2"/>
    <n v="2023"/>
    <s v="Saturday"/>
    <s v="February"/>
    <s v="2023"/>
    <d v="2023-02-25T00:00:00"/>
    <s v="CUST766"/>
    <x v="0"/>
    <x v="0"/>
    <n v="38"/>
    <x v="1"/>
    <n v="3"/>
    <n v="300"/>
    <n v="900"/>
    <n v="13.5"/>
    <n v="18"/>
  </r>
  <r>
    <n v="767"/>
    <n v="24"/>
    <n v="10"/>
    <n v="2023"/>
    <s v="Tuesday"/>
    <s v="October"/>
    <s v="2023"/>
    <d v="2023-10-24T00:00:00"/>
    <s v="CUST767"/>
    <x v="0"/>
    <x v="0"/>
    <n v="39"/>
    <x v="0"/>
    <n v="3"/>
    <n v="25"/>
    <n v="75"/>
    <n v="1.125"/>
    <n v="1.5"/>
  </r>
  <r>
    <n v="768"/>
    <n v="14"/>
    <n v="1"/>
    <n v="2023"/>
    <s v="Saturday"/>
    <s v="January"/>
    <s v="2023"/>
    <d v="2023-01-14T00:00:00"/>
    <s v="CUST768"/>
    <x v="1"/>
    <x v="1"/>
    <n v="24"/>
    <x v="0"/>
    <n v="3"/>
    <n v="25"/>
    <n v="75"/>
    <n v="1.125"/>
    <n v="1.5"/>
  </r>
  <r>
    <n v="769"/>
    <n v="9"/>
    <n v="6"/>
    <n v="2023"/>
    <s v="Friday"/>
    <s v="June"/>
    <s v="2023"/>
    <d v="2023-06-09T00:00:00"/>
    <s v="CUST769"/>
    <x v="1"/>
    <x v="0"/>
    <n v="31"/>
    <x v="1"/>
    <n v="4"/>
    <n v="30"/>
    <n v="120"/>
    <n v="1.7999999999999998"/>
    <n v="2.4"/>
  </r>
  <r>
    <n v="770"/>
    <n v="22"/>
    <n v="10"/>
    <n v="2023"/>
    <s v="Sunday"/>
    <s v="October"/>
    <s v="2023"/>
    <d v="2023-10-22T00:00:00"/>
    <s v="CUST770"/>
    <x v="0"/>
    <x v="0"/>
    <n v="32"/>
    <x v="2"/>
    <n v="1"/>
    <n v="50"/>
    <n v="50"/>
    <n v="0.75"/>
    <n v="1"/>
  </r>
  <r>
    <n v="771"/>
    <n v="13"/>
    <n v="12"/>
    <n v="2023"/>
    <s v="Wednesday"/>
    <s v="December"/>
    <s v="2023"/>
    <d v="2023-12-13T00:00:00"/>
    <s v="CUST771"/>
    <x v="0"/>
    <x v="1"/>
    <n v="24"/>
    <x v="1"/>
    <n v="2"/>
    <n v="25"/>
    <n v="50"/>
    <n v="0.75"/>
    <n v="1"/>
  </r>
  <r>
    <n v="772"/>
    <n v="12"/>
    <n v="7"/>
    <n v="2023"/>
    <s v="Wednesday"/>
    <s v="July"/>
    <s v="2023"/>
    <d v="2023-07-12T00:00:00"/>
    <s v="CUST772"/>
    <x v="0"/>
    <x v="1"/>
    <n v="26"/>
    <x v="1"/>
    <n v="1"/>
    <n v="30"/>
    <n v="30"/>
    <n v="0.44999999999999996"/>
    <n v="0.6"/>
  </r>
  <r>
    <n v="773"/>
    <n v="23"/>
    <n v="7"/>
    <n v="2023"/>
    <s v="Sunday"/>
    <s v="July"/>
    <s v="2023"/>
    <d v="2023-07-23T00:00:00"/>
    <s v="CUST773"/>
    <x v="0"/>
    <x v="1"/>
    <n v="25"/>
    <x v="1"/>
    <n v="4"/>
    <n v="500"/>
    <n v="2000"/>
    <n v="30"/>
    <n v="40"/>
  </r>
  <r>
    <n v="774"/>
    <n v="12"/>
    <n v="4"/>
    <n v="2023"/>
    <s v="Wednesday"/>
    <s v="April"/>
    <s v="2023"/>
    <d v="2023-04-12T00:00:00"/>
    <s v="CUST774"/>
    <x v="1"/>
    <x v="0"/>
    <n v="40"/>
    <x v="2"/>
    <n v="2"/>
    <n v="25"/>
    <n v="50"/>
    <n v="0.75"/>
    <n v="1"/>
  </r>
  <r>
    <n v="775"/>
    <n v="8"/>
    <n v="2"/>
    <n v="2023"/>
    <s v="Wednesday"/>
    <s v="February"/>
    <s v="2023"/>
    <d v="2023-02-08T00:00:00"/>
    <s v="CUST775"/>
    <x v="1"/>
    <x v="0"/>
    <n v="46"/>
    <x v="1"/>
    <n v="4"/>
    <n v="25"/>
    <n v="100"/>
    <n v="1.5"/>
    <n v="2"/>
  </r>
  <r>
    <n v="776"/>
    <n v="31"/>
    <n v="10"/>
    <n v="2023"/>
    <s v="Tuesday"/>
    <s v="October"/>
    <s v="2023"/>
    <d v="2023-10-31T00:00:00"/>
    <s v="CUST776"/>
    <x v="0"/>
    <x v="0"/>
    <n v="35"/>
    <x v="2"/>
    <n v="3"/>
    <n v="30"/>
    <n v="90"/>
    <n v="1.3499999999999999"/>
    <n v="1.8"/>
  </r>
  <r>
    <n v="777"/>
    <n v="20"/>
    <n v="12"/>
    <n v="2023"/>
    <s v="Wednesday"/>
    <s v="December"/>
    <s v="2023"/>
    <d v="2023-12-20T00:00:00"/>
    <s v="CUST777"/>
    <x v="0"/>
    <x v="0"/>
    <n v="48"/>
    <x v="1"/>
    <n v="3"/>
    <n v="50"/>
    <n v="150"/>
    <n v="2.25"/>
    <n v="3"/>
  </r>
  <r>
    <n v="778"/>
    <n v="18"/>
    <n v="11"/>
    <n v="2023"/>
    <s v="Saturday"/>
    <s v="November"/>
    <s v="2023"/>
    <d v="2023-11-18T00:00:00"/>
    <s v="CUST778"/>
    <x v="1"/>
    <x v="0"/>
    <n v="47"/>
    <x v="0"/>
    <n v="4"/>
    <n v="25"/>
    <n v="100"/>
    <n v="1.5"/>
    <n v="2"/>
  </r>
  <r>
    <n v="779"/>
    <n v="5"/>
    <n v="5"/>
    <n v="2023"/>
    <s v="Friday"/>
    <s v="May"/>
    <s v="2023"/>
    <d v="2023-05-05T00:00:00"/>
    <s v="CUST779"/>
    <x v="1"/>
    <x v="2"/>
    <n v="56"/>
    <x v="1"/>
    <n v="2"/>
    <n v="500"/>
    <n v="1000"/>
    <n v="15"/>
    <n v="20"/>
  </r>
  <r>
    <n v="780"/>
    <n v="22"/>
    <n v="2"/>
    <n v="2023"/>
    <s v="Wednesday"/>
    <s v="February"/>
    <s v="2023"/>
    <d v="2023-02-22T00:00:00"/>
    <s v="CUST780"/>
    <x v="0"/>
    <x v="2"/>
    <n v="52"/>
    <x v="1"/>
    <n v="2"/>
    <n v="25"/>
    <n v="50"/>
    <n v="0.75"/>
    <n v="1"/>
  </r>
  <r>
    <n v="781"/>
    <n v="23"/>
    <n v="12"/>
    <n v="2023"/>
    <s v="Saturday"/>
    <s v="December"/>
    <s v="2023"/>
    <d v="2023-12-23T00:00:00"/>
    <s v="CUST781"/>
    <x v="0"/>
    <x v="0"/>
    <n v="35"/>
    <x v="0"/>
    <n v="1"/>
    <n v="500"/>
    <n v="500"/>
    <n v="7.5"/>
    <n v="10"/>
  </r>
  <r>
    <n v="782"/>
    <n v="4"/>
    <n v="6"/>
    <n v="2023"/>
    <s v="Sunday"/>
    <s v="June"/>
    <s v="2023"/>
    <d v="2023-06-04T00:00:00"/>
    <s v="CUST782"/>
    <x v="0"/>
    <x v="2"/>
    <n v="59"/>
    <x v="2"/>
    <n v="3"/>
    <n v="300"/>
    <n v="900"/>
    <n v="13.5"/>
    <n v="18"/>
  </r>
  <r>
    <n v="783"/>
    <n v="17"/>
    <n v="12"/>
    <n v="2023"/>
    <s v="Sunday"/>
    <s v="December"/>
    <s v="2023"/>
    <d v="2023-12-17T00:00:00"/>
    <s v="CUST783"/>
    <x v="1"/>
    <x v="2"/>
    <n v="56"/>
    <x v="2"/>
    <n v="1"/>
    <n v="300"/>
    <n v="300"/>
    <n v="4.5"/>
    <n v="6"/>
  </r>
  <r>
    <n v="784"/>
    <n v="4"/>
    <n v="11"/>
    <n v="2023"/>
    <s v="Saturday"/>
    <s v="November"/>
    <s v="2023"/>
    <d v="2023-11-04T00:00:00"/>
    <s v="CUST784"/>
    <x v="1"/>
    <x v="0"/>
    <n v="34"/>
    <x v="1"/>
    <n v="1"/>
    <n v="500"/>
    <n v="500"/>
    <n v="7.5"/>
    <n v="10"/>
  </r>
  <r>
    <n v="785"/>
    <n v="3"/>
    <n v="3"/>
    <n v="2023"/>
    <s v="Friday"/>
    <s v="March"/>
    <s v="2023"/>
    <d v="2023-03-03T00:00:00"/>
    <s v="CUST785"/>
    <x v="1"/>
    <x v="0"/>
    <n v="31"/>
    <x v="0"/>
    <n v="4"/>
    <n v="50"/>
    <n v="200"/>
    <n v="3"/>
    <n v="4"/>
  </r>
  <r>
    <n v="786"/>
    <n v="17"/>
    <n v="10"/>
    <n v="2023"/>
    <s v="Tuesday"/>
    <s v="October"/>
    <s v="2023"/>
    <d v="2023-10-17T00:00:00"/>
    <s v="CUST786"/>
    <x v="0"/>
    <x v="0"/>
    <n v="48"/>
    <x v="2"/>
    <n v="4"/>
    <n v="25"/>
    <n v="100"/>
    <n v="1.5"/>
    <n v="2"/>
  </r>
  <r>
    <n v="787"/>
    <n v="22"/>
    <n v="1"/>
    <n v="2023"/>
    <s v="Sunday"/>
    <s v="January"/>
    <s v="2023"/>
    <d v="2023-01-22T00:00:00"/>
    <s v="CUST787"/>
    <x v="0"/>
    <x v="0"/>
    <n v="41"/>
    <x v="1"/>
    <n v="1"/>
    <n v="25"/>
    <n v="25"/>
    <n v="0.375"/>
    <n v="0.5"/>
  </r>
  <r>
    <n v="788"/>
    <n v="27"/>
    <n v="6"/>
    <n v="2023"/>
    <s v="Tuesday"/>
    <s v="June"/>
    <s v="2023"/>
    <d v="2023-06-27T00:00:00"/>
    <s v="CUST788"/>
    <x v="1"/>
    <x v="2"/>
    <n v="52"/>
    <x v="0"/>
    <n v="3"/>
    <n v="300"/>
    <n v="900"/>
    <n v="13.5"/>
    <n v="18"/>
  </r>
  <r>
    <n v="789"/>
    <n v="30"/>
    <n v="9"/>
    <n v="2023"/>
    <s v="Saturday"/>
    <s v="September"/>
    <s v="2023"/>
    <d v="2023-09-30T00:00:00"/>
    <s v="CUST789"/>
    <x v="1"/>
    <x v="2"/>
    <n v="61"/>
    <x v="2"/>
    <n v="4"/>
    <n v="500"/>
    <n v="2000"/>
    <n v="30"/>
    <n v="40"/>
  </r>
  <r>
    <n v="790"/>
    <n v="8"/>
    <n v="8"/>
    <n v="2023"/>
    <s v="Tuesday"/>
    <s v="August"/>
    <s v="2023"/>
    <d v="2023-08-08T00:00:00"/>
    <s v="CUST790"/>
    <x v="0"/>
    <x v="2"/>
    <n v="62"/>
    <x v="2"/>
    <n v="1"/>
    <n v="25"/>
    <n v="25"/>
    <n v="0.375"/>
    <n v="0.5"/>
  </r>
  <r>
    <n v="791"/>
    <n v="5"/>
    <n v="12"/>
    <n v="2023"/>
    <s v="Tuesday"/>
    <s v="December"/>
    <s v="2023"/>
    <d v="2023-12-05T00:00:00"/>
    <s v="CUST791"/>
    <x v="1"/>
    <x v="2"/>
    <n v="51"/>
    <x v="0"/>
    <n v="1"/>
    <n v="25"/>
    <n v="25"/>
    <n v="0.375"/>
    <n v="0.5"/>
  </r>
  <r>
    <n v="792"/>
    <n v="9"/>
    <n v="7"/>
    <n v="2023"/>
    <s v="Sunday"/>
    <s v="July"/>
    <s v="2023"/>
    <d v="2023-07-09T00:00:00"/>
    <s v="CUST792"/>
    <x v="1"/>
    <x v="1"/>
    <n v="20"/>
    <x v="0"/>
    <n v="1"/>
    <n v="50"/>
    <n v="50"/>
    <n v="0.75"/>
    <n v="1"/>
  </r>
  <r>
    <n v="793"/>
    <n v="5"/>
    <n v="2"/>
    <n v="2023"/>
    <s v="Sunday"/>
    <s v="February"/>
    <s v="2023"/>
    <d v="2023-02-05T00:00:00"/>
    <s v="CUST793"/>
    <x v="0"/>
    <x v="2"/>
    <n v="54"/>
    <x v="0"/>
    <n v="1"/>
    <n v="30"/>
    <n v="30"/>
    <n v="0.44999999999999996"/>
    <n v="0.6"/>
  </r>
  <r>
    <n v="794"/>
    <n v="17"/>
    <n v="9"/>
    <n v="2023"/>
    <s v="Sunday"/>
    <s v="September"/>
    <s v="2023"/>
    <d v="2023-09-17T00:00:00"/>
    <s v="CUST794"/>
    <x v="1"/>
    <x v="2"/>
    <n v="60"/>
    <x v="0"/>
    <n v="1"/>
    <n v="300"/>
    <n v="300"/>
    <n v="4.5"/>
    <n v="6"/>
  </r>
  <r>
    <n v="795"/>
    <n v="28"/>
    <n v="11"/>
    <n v="2023"/>
    <s v="Tuesday"/>
    <s v="November"/>
    <s v="2023"/>
    <d v="2023-11-28T00:00:00"/>
    <s v="CUST795"/>
    <x v="0"/>
    <x v="2"/>
    <n v="57"/>
    <x v="1"/>
    <n v="1"/>
    <n v="300"/>
    <n v="300"/>
    <n v="4.5"/>
    <n v="6"/>
  </r>
  <r>
    <n v="796"/>
    <n v="24"/>
    <n v="6"/>
    <n v="2023"/>
    <s v="Saturday"/>
    <s v="June"/>
    <s v="2023"/>
    <d v="2023-06-24T00:00:00"/>
    <s v="CUST796"/>
    <x v="0"/>
    <x v="0"/>
    <n v="43"/>
    <x v="0"/>
    <n v="4"/>
    <n v="30"/>
    <n v="120"/>
    <n v="1.7999999999999998"/>
    <n v="2.4"/>
  </r>
  <r>
    <n v="797"/>
    <n v="7"/>
    <n v="1"/>
    <n v="2023"/>
    <s v="Saturday"/>
    <s v="January"/>
    <s v="2023"/>
    <d v="2023-01-07T00:00:00"/>
    <s v="CUST797"/>
    <x v="0"/>
    <x v="0"/>
    <n v="40"/>
    <x v="2"/>
    <n v="3"/>
    <n v="25"/>
    <n v="75"/>
    <n v="1.125"/>
    <n v="1.5"/>
  </r>
  <r>
    <n v="798"/>
    <n v="4"/>
    <n v="8"/>
    <n v="2023"/>
    <s v="Friday"/>
    <s v="August"/>
    <s v="2023"/>
    <d v="2023-08-04T00:00:00"/>
    <s v="CUST798"/>
    <x v="0"/>
    <x v="2"/>
    <n v="61"/>
    <x v="2"/>
    <n v="1"/>
    <n v="50"/>
    <n v="50"/>
    <n v="0.75"/>
    <n v="1"/>
  </r>
  <r>
    <n v="799"/>
    <n v="8"/>
    <n v="9"/>
    <n v="2023"/>
    <s v="Friday"/>
    <s v="September"/>
    <s v="2023"/>
    <d v="2023-09-08T00:00:00"/>
    <s v="CUST799"/>
    <x v="0"/>
    <x v="2"/>
    <n v="56"/>
    <x v="1"/>
    <n v="2"/>
    <n v="50"/>
    <n v="100"/>
    <n v="1.5"/>
    <n v="2"/>
  </r>
  <r>
    <n v="800"/>
    <n v="24"/>
    <n v="2"/>
    <n v="2023"/>
    <s v="Friday"/>
    <s v="February"/>
    <s v="2023"/>
    <d v="2023-02-24T00:00:00"/>
    <s v="CUST800"/>
    <x v="0"/>
    <x v="0"/>
    <n v="32"/>
    <x v="2"/>
    <n v="4"/>
    <n v="300"/>
    <n v="1200"/>
    <n v="18"/>
    <n v="24"/>
  </r>
  <r>
    <n v="801"/>
    <n v="10"/>
    <n v="8"/>
    <n v="2023"/>
    <s v="Thursday"/>
    <s v="August"/>
    <s v="2023"/>
    <d v="2023-08-10T00:00:00"/>
    <s v="CUST801"/>
    <x v="0"/>
    <x v="1"/>
    <n v="21"/>
    <x v="2"/>
    <n v="4"/>
    <n v="50"/>
    <n v="200"/>
    <n v="3"/>
    <n v="4"/>
  </r>
  <r>
    <n v="802"/>
    <n v="5"/>
    <n v="7"/>
    <n v="2023"/>
    <s v="Wednesday"/>
    <s v="July"/>
    <s v="2023"/>
    <d v="2023-07-05T00:00:00"/>
    <s v="CUST802"/>
    <x v="1"/>
    <x v="0"/>
    <n v="46"/>
    <x v="0"/>
    <n v="1"/>
    <n v="30"/>
    <n v="30"/>
    <n v="0.44999999999999996"/>
    <n v="0.6"/>
  </r>
  <r>
    <n v="803"/>
    <n v="22"/>
    <n v="11"/>
    <n v="2023"/>
    <s v="Wednesday"/>
    <s v="November"/>
    <s v="2023"/>
    <d v="2023-11-22T00:00:00"/>
    <s v="CUST803"/>
    <x v="0"/>
    <x v="0"/>
    <n v="39"/>
    <x v="2"/>
    <n v="4"/>
    <n v="25"/>
    <n v="100"/>
    <n v="1.5"/>
    <n v="2"/>
  </r>
  <r>
    <n v="804"/>
    <n v="24"/>
    <n v="8"/>
    <n v="2023"/>
    <s v="Thursday"/>
    <s v="August"/>
    <s v="2023"/>
    <d v="2023-08-24T00:00:00"/>
    <s v="CUST804"/>
    <x v="0"/>
    <x v="0"/>
    <n v="42"/>
    <x v="1"/>
    <n v="1"/>
    <n v="30"/>
    <n v="30"/>
    <n v="0.44999999999999996"/>
    <n v="0.6"/>
  </r>
  <r>
    <n v="805"/>
    <n v="29"/>
    <n v="12"/>
    <n v="2023"/>
    <s v="Friday"/>
    <s v="December"/>
    <s v="2023"/>
    <d v="2023-12-29T00:00:00"/>
    <s v="CUST805"/>
    <x v="1"/>
    <x v="0"/>
    <n v="30"/>
    <x v="0"/>
    <n v="3"/>
    <n v="500"/>
    <n v="1500"/>
    <n v="22.5"/>
    <n v="30"/>
  </r>
  <r>
    <n v="806"/>
    <n v="20"/>
    <n v="3"/>
    <n v="2023"/>
    <s v="Monday"/>
    <s v="March"/>
    <s v="2023"/>
    <d v="2023-03-20T00:00:00"/>
    <s v="CUST806"/>
    <x v="1"/>
    <x v="0"/>
    <n v="35"/>
    <x v="0"/>
    <n v="3"/>
    <n v="300"/>
    <n v="900"/>
    <n v="13.5"/>
    <n v="18"/>
  </r>
  <r>
    <n v="807"/>
    <n v="11"/>
    <n v="8"/>
    <n v="2023"/>
    <s v="Friday"/>
    <s v="August"/>
    <s v="2023"/>
    <d v="2023-08-11T00:00:00"/>
    <s v="CUST807"/>
    <x v="1"/>
    <x v="0"/>
    <n v="50"/>
    <x v="1"/>
    <n v="4"/>
    <n v="50"/>
    <n v="200"/>
    <n v="3"/>
    <n v="4"/>
  </r>
  <r>
    <n v="808"/>
    <n v="1"/>
    <n v="4"/>
    <n v="2023"/>
    <s v="Saturday"/>
    <s v="April"/>
    <s v="2023"/>
    <d v="2023-04-01T00:00:00"/>
    <s v="CUST808"/>
    <x v="0"/>
    <x v="0"/>
    <n v="33"/>
    <x v="0"/>
    <n v="4"/>
    <n v="500"/>
    <n v="2000"/>
    <n v="30"/>
    <n v="40"/>
  </r>
  <r>
    <n v="809"/>
    <n v="25"/>
    <n v="9"/>
    <n v="2023"/>
    <s v="Monday"/>
    <s v="September"/>
    <s v="2023"/>
    <d v="2023-09-25T00:00:00"/>
    <s v="CUST809"/>
    <x v="1"/>
    <x v="2"/>
    <n v="62"/>
    <x v="0"/>
    <n v="2"/>
    <n v="50"/>
    <n v="100"/>
    <n v="1.5"/>
    <n v="2"/>
  </r>
  <r>
    <n v="810"/>
    <n v="30"/>
    <n v="11"/>
    <n v="2023"/>
    <s v="Thursday"/>
    <s v="November"/>
    <s v="2023"/>
    <d v="2023-11-30T00:00:00"/>
    <s v="CUST810"/>
    <x v="0"/>
    <x v="2"/>
    <n v="59"/>
    <x v="1"/>
    <n v="4"/>
    <n v="25"/>
    <n v="100"/>
    <n v="1.5"/>
    <n v="2"/>
  </r>
  <r>
    <n v="811"/>
    <n v="19"/>
    <n v="5"/>
    <n v="2023"/>
    <s v="Friday"/>
    <s v="May"/>
    <s v="2023"/>
    <d v="2023-05-19T00:00:00"/>
    <s v="CUST811"/>
    <x v="0"/>
    <x v="2"/>
    <n v="61"/>
    <x v="0"/>
    <n v="2"/>
    <n v="25"/>
    <n v="50"/>
    <n v="0.75"/>
    <n v="1"/>
  </r>
  <r>
    <n v="812"/>
    <n v="12"/>
    <n v="11"/>
    <n v="2023"/>
    <s v="Sunday"/>
    <s v="November"/>
    <s v="2023"/>
    <d v="2023-11-12T00:00:00"/>
    <s v="CUST812"/>
    <x v="0"/>
    <x v="1"/>
    <n v="19"/>
    <x v="1"/>
    <n v="3"/>
    <n v="25"/>
    <n v="75"/>
    <n v="1.125"/>
    <n v="1.5"/>
  </r>
  <r>
    <n v="813"/>
    <n v="3"/>
    <n v="10"/>
    <n v="2023"/>
    <s v="Tuesday"/>
    <s v="October"/>
    <s v="2023"/>
    <d v="2023-10-03T00:00:00"/>
    <s v="CUST813"/>
    <x v="0"/>
    <x v="2"/>
    <n v="52"/>
    <x v="1"/>
    <n v="3"/>
    <n v="50"/>
    <n v="150"/>
    <n v="2.25"/>
    <n v="3"/>
  </r>
  <r>
    <n v="814"/>
    <n v="5"/>
    <n v="9"/>
    <n v="2023"/>
    <s v="Tuesday"/>
    <s v="September"/>
    <s v="2023"/>
    <d v="2023-09-05T00:00:00"/>
    <s v="CUST814"/>
    <x v="1"/>
    <x v="2"/>
    <n v="59"/>
    <x v="2"/>
    <n v="1"/>
    <n v="500"/>
    <n v="500"/>
    <n v="7.5"/>
    <n v="10"/>
  </r>
  <r>
    <n v="815"/>
    <n v="27"/>
    <n v="8"/>
    <n v="2023"/>
    <s v="Sunday"/>
    <s v="August"/>
    <s v="2023"/>
    <d v="2023-08-27T00:00:00"/>
    <s v="CUST815"/>
    <x v="1"/>
    <x v="2"/>
    <n v="51"/>
    <x v="2"/>
    <n v="3"/>
    <n v="25"/>
    <n v="75"/>
    <n v="1.125"/>
    <n v="1.5"/>
  </r>
  <r>
    <n v="816"/>
    <n v="12"/>
    <n v="8"/>
    <n v="2023"/>
    <s v="Saturday"/>
    <s v="August"/>
    <s v="2023"/>
    <d v="2023-08-12T00:00:00"/>
    <s v="CUST816"/>
    <x v="0"/>
    <x v="0"/>
    <n v="47"/>
    <x v="0"/>
    <n v="2"/>
    <n v="500"/>
    <n v="1000"/>
    <n v="15"/>
    <n v="20"/>
  </r>
  <r>
    <n v="817"/>
    <n v="31"/>
    <n v="10"/>
    <n v="2023"/>
    <s v="Tuesday"/>
    <s v="October"/>
    <s v="2023"/>
    <d v="2023-10-31T00:00:00"/>
    <s v="CUST817"/>
    <x v="0"/>
    <x v="0"/>
    <n v="30"/>
    <x v="0"/>
    <n v="4"/>
    <n v="50"/>
    <n v="200"/>
    <n v="3"/>
    <n v="4"/>
  </r>
  <r>
    <n v="818"/>
    <n v="18"/>
    <n v="5"/>
    <n v="2023"/>
    <s v="Thursday"/>
    <s v="May"/>
    <s v="2023"/>
    <d v="2023-05-18T00:00:00"/>
    <s v="CUST818"/>
    <x v="0"/>
    <x v="0"/>
    <n v="30"/>
    <x v="1"/>
    <n v="1"/>
    <n v="500"/>
    <n v="500"/>
    <n v="7.5"/>
    <n v="10"/>
  </r>
  <r>
    <n v="819"/>
    <n v="15"/>
    <n v="6"/>
    <n v="2023"/>
    <s v="Thursday"/>
    <s v="June"/>
    <s v="2023"/>
    <d v="2023-06-15T00:00:00"/>
    <s v="CUST819"/>
    <x v="1"/>
    <x v="0"/>
    <n v="35"/>
    <x v="0"/>
    <n v="2"/>
    <n v="50"/>
    <n v="100"/>
    <n v="1.5"/>
    <n v="2"/>
  </r>
  <r>
    <n v="820"/>
    <n v="6"/>
    <n v="5"/>
    <n v="2023"/>
    <s v="Saturday"/>
    <s v="May"/>
    <s v="2023"/>
    <d v="2023-05-06T00:00:00"/>
    <s v="CUST820"/>
    <x v="0"/>
    <x v="0"/>
    <n v="49"/>
    <x v="1"/>
    <n v="4"/>
    <n v="50"/>
    <n v="200"/>
    <n v="3"/>
    <n v="4"/>
  </r>
  <r>
    <n v="821"/>
    <n v="14"/>
    <n v="2"/>
    <n v="2023"/>
    <s v="Tuesday"/>
    <s v="February"/>
    <s v="2023"/>
    <d v="2023-02-14T00:00:00"/>
    <s v="CUST821"/>
    <x v="0"/>
    <x v="0"/>
    <n v="49"/>
    <x v="1"/>
    <n v="1"/>
    <n v="300"/>
    <n v="300"/>
    <n v="4.5"/>
    <n v="6"/>
  </r>
  <r>
    <n v="822"/>
    <n v="23"/>
    <n v="5"/>
    <n v="2023"/>
    <s v="Tuesday"/>
    <s v="May"/>
    <s v="2023"/>
    <d v="2023-05-23T00:00:00"/>
    <s v="CUST822"/>
    <x v="1"/>
    <x v="2"/>
    <n v="52"/>
    <x v="0"/>
    <n v="3"/>
    <n v="50"/>
    <n v="150"/>
    <n v="2.25"/>
    <n v="3"/>
  </r>
  <r>
    <n v="823"/>
    <n v="19"/>
    <n v="8"/>
    <n v="2023"/>
    <s v="Saturday"/>
    <s v="August"/>
    <s v="2023"/>
    <d v="2023-08-19T00:00:00"/>
    <s v="CUST823"/>
    <x v="1"/>
    <x v="2"/>
    <n v="56"/>
    <x v="1"/>
    <n v="2"/>
    <n v="50"/>
    <n v="100"/>
    <n v="1.5"/>
    <n v="2"/>
  </r>
  <r>
    <n v="824"/>
    <n v="5"/>
    <n v="5"/>
    <n v="2023"/>
    <s v="Friday"/>
    <s v="May"/>
    <s v="2023"/>
    <d v="2023-05-05T00:00:00"/>
    <s v="CUST824"/>
    <x v="0"/>
    <x v="2"/>
    <n v="63"/>
    <x v="2"/>
    <n v="4"/>
    <n v="30"/>
    <n v="120"/>
    <n v="1.7999999999999998"/>
    <n v="2.4"/>
  </r>
  <r>
    <n v="825"/>
    <n v="26"/>
    <n v="8"/>
    <n v="2023"/>
    <s v="Saturday"/>
    <s v="August"/>
    <s v="2023"/>
    <d v="2023-08-26T00:00:00"/>
    <s v="CUST825"/>
    <x v="1"/>
    <x v="0"/>
    <n v="46"/>
    <x v="0"/>
    <n v="1"/>
    <n v="25"/>
    <n v="25"/>
    <n v="0.375"/>
    <n v="0.5"/>
  </r>
  <r>
    <n v="826"/>
    <n v="19"/>
    <n v="10"/>
    <n v="2023"/>
    <s v="Thursday"/>
    <s v="October"/>
    <s v="2023"/>
    <d v="2023-10-19T00:00:00"/>
    <s v="CUST826"/>
    <x v="1"/>
    <x v="0"/>
    <n v="46"/>
    <x v="2"/>
    <n v="1"/>
    <n v="300"/>
    <n v="300"/>
    <n v="4.5"/>
    <n v="6"/>
  </r>
  <r>
    <n v="827"/>
    <n v="9"/>
    <n v="11"/>
    <n v="2023"/>
    <s v="Thursday"/>
    <s v="November"/>
    <s v="2023"/>
    <d v="2023-11-09T00:00:00"/>
    <s v="CUST827"/>
    <x v="0"/>
    <x v="2"/>
    <n v="61"/>
    <x v="0"/>
    <n v="3"/>
    <n v="300"/>
    <n v="900"/>
    <n v="13.5"/>
    <n v="18"/>
  </r>
  <r>
    <n v="828"/>
    <n v="9"/>
    <n v="12"/>
    <n v="2023"/>
    <s v="Saturday"/>
    <s v="December"/>
    <s v="2023"/>
    <d v="2023-12-09T00:00:00"/>
    <s v="CUST828"/>
    <x v="1"/>
    <x v="0"/>
    <n v="33"/>
    <x v="1"/>
    <n v="4"/>
    <n v="300"/>
    <n v="1200"/>
    <n v="18"/>
    <n v="24"/>
  </r>
  <r>
    <n v="829"/>
    <n v="14"/>
    <n v="7"/>
    <n v="2023"/>
    <s v="Friday"/>
    <s v="July"/>
    <s v="2023"/>
    <d v="2023-07-14T00:00:00"/>
    <s v="CUST829"/>
    <x v="0"/>
    <x v="2"/>
    <n v="61"/>
    <x v="0"/>
    <n v="3"/>
    <n v="30"/>
    <n v="90"/>
    <n v="1.3499999999999999"/>
    <n v="1.8"/>
  </r>
  <r>
    <n v="830"/>
    <n v="22"/>
    <n v="6"/>
    <n v="2023"/>
    <s v="Thursday"/>
    <s v="June"/>
    <s v="2023"/>
    <d v="2023-06-22T00:00:00"/>
    <s v="CUST830"/>
    <x v="1"/>
    <x v="2"/>
    <n v="64"/>
    <x v="2"/>
    <n v="3"/>
    <n v="50"/>
    <n v="150"/>
    <n v="2.25"/>
    <n v="3"/>
  </r>
  <r>
    <n v="831"/>
    <n v="15"/>
    <n v="1"/>
    <n v="2023"/>
    <s v="Sunday"/>
    <s v="January"/>
    <s v="2023"/>
    <d v="2023-01-15T00:00:00"/>
    <s v="CUST831"/>
    <x v="0"/>
    <x v="1"/>
    <n v="27"/>
    <x v="1"/>
    <n v="4"/>
    <n v="25"/>
    <n v="100"/>
    <n v="1.5"/>
    <n v="2"/>
  </r>
  <r>
    <n v="832"/>
    <n v="11"/>
    <n v="9"/>
    <n v="2023"/>
    <s v="Monday"/>
    <s v="September"/>
    <s v="2023"/>
    <d v="2023-09-11T00:00:00"/>
    <s v="CUST832"/>
    <x v="0"/>
    <x v="0"/>
    <n v="47"/>
    <x v="0"/>
    <n v="4"/>
    <n v="500"/>
    <n v="2000"/>
    <n v="30"/>
    <n v="40"/>
  </r>
  <r>
    <n v="833"/>
    <n v="16"/>
    <n v="6"/>
    <n v="2023"/>
    <s v="Friday"/>
    <s v="June"/>
    <s v="2023"/>
    <d v="2023-06-16T00:00:00"/>
    <s v="CUST833"/>
    <x v="0"/>
    <x v="0"/>
    <n v="42"/>
    <x v="0"/>
    <n v="4"/>
    <n v="50"/>
    <n v="200"/>
    <n v="3"/>
    <n v="4"/>
  </r>
  <r>
    <n v="834"/>
    <n v="4"/>
    <n v="4"/>
    <n v="2023"/>
    <s v="Tuesday"/>
    <s v="April"/>
    <s v="2023"/>
    <d v="2023-04-04T00:00:00"/>
    <s v="CUST834"/>
    <x v="1"/>
    <x v="2"/>
    <n v="56"/>
    <x v="0"/>
    <n v="2"/>
    <n v="30"/>
    <n v="60"/>
    <n v="0.89999999999999991"/>
    <n v="1.2"/>
  </r>
  <r>
    <n v="835"/>
    <n v="7"/>
    <n v="9"/>
    <n v="2023"/>
    <s v="Thursday"/>
    <s v="September"/>
    <s v="2023"/>
    <d v="2023-09-07T00:00:00"/>
    <s v="CUST835"/>
    <x v="0"/>
    <x v="0"/>
    <n v="37"/>
    <x v="2"/>
    <n v="4"/>
    <n v="50"/>
    <n v="200"/>
    <n v="3"/>
    <n v="4"/>
  </r>
  <r>
    <n v="836"/>
    <n v="19"/>
    <n v="4"/>
    <n v="2023"/>
    <s v="Wednesday"/>
    <s v="April"/>
    <s v="2023"/>
    <d v="2023-04-19T00:00:00"/>
    <s v="CUST836"/>
    <x v="1"/>
    <x v="1"/>
    <n v="22"/>
    <x v="2"/>
    <n v="1"/>
    <n v="50"/>
    <n v="50"/>
    <n v="0.75"/>
    <n v="1"/>
  </r>
  <r>
    <n v="837"/>
    <n v="1"/>
    <n v="7"/>
    <n v="2023"/>
    <s v="Saturday"/>
    <s v="July"/>
    <s v="2023"/>
    <d v="2023-07-01T00:00:00"/>
    <s v="CUST837"/>
    <x v="0"/>
    <x v="1"/>
    <n v="18"/>
    <x v="0"/>
    <n v="3"/>
    <n v="30"/>
    <n v="90"/>
    <n v="1.3499999999999999"/>
    <n v="1.8"/>
  </r>
  <r>
    <n v="838"/>
    <n v="13"/>
    <n v="5"/>
    <n v="2023"/>
    <s v="Saturday"/>
    <s v="May"/>
    <s v="2023"/>
    <d v="2023-05-13T00:00:00"/>
    <s v="CUST838"/>
    <x v="0"/>
    <x v="0"/>
    <n v="47"/>
    <x v="1"/>
    <n v="2"/>
    <n v="300"/>
    <n v="600"/>
    <n v="9"/>
    <n v="12"/>
  </r>
  <r>
    <n v="839"/>
    <n v="24"/>
    <n v="6"/>
    <n v="2023"/>
    <s v="Saturday"/>
    <s v="June"/>
    <s v="2023"/>
    <d v="2023-06-24T00:00:00"/>
    <s v="CUST839"/>
    <x v="1"/>
    <x v="1"/>
    <n v="20"/>
    <x v="1"/>
    <n v="4"/>
    <n v="300"/>
    <n v="1200"/>
    <n v="18"/>
    <n v="24"/>
  </r>
  <r>
    <n v="840"/>
    <n v="24"/>
    <n v="5"/>
    <n v="2023"/>
    <s v="Wednesday"/>
    <s v="May"/>
    <s v="2023"/>
    <d v="2023-05-24T00:00:00"/>
    <s v="CUST840"/>
    <x v="0"/>
    <x v="2"/>
    <n v="62"/>
    <x v="2"/>
    <n v="2"/>
    <n v="25"/>
    <n v="50"/>
    <n v="0.75"/>
    <n v="1"/>
  </r>
  <r>
    <n v="841"/>
    <n v="2"/>
    <n v="11"/>
    <n v="2023"/>
    <s v="Thursday"/>
    <s v="November"/>
    <s v="2023"/>
    <d v="2023-11-02T00:00:00"/>
    <s v="CUST841"/>
    <x v="0"/>
    <x v="0"/>
    <n v="31"/>
    <x v="1"/>
    <n v="4"/>
    <n v="25"/>
    <n v="100"/>
    <n v="1.5"/>
    <n v="2"/>
  </r>
  <r>
    <n v="842"/>
    <n v="26"/>
    <n v="12"/>
    <n v="2023"/>
    <s v="Tuesday"/>
    <s v="December"/>
    <s v="2023"/>
    <d v="2023-12-26T00:00:00"/>
    <s v="CUST842"/>
    <x v="1"/>
    <x v="0"/>
    <n v="47"/>
    <x v="2"/>
    <n v="2"/>
    <n v="300"/>
    <n v="600"/>
    <n v="9"/>
    <n v="12"/>
  </r>
  <r>
    <n v="843"/>
    <n v="22"/>
    <n v="5"/>
    <n v="2023"/>
    <s v="Monday"/>
    <s v="May"/>
    <s v="2023"/>
    <d v="2023-05-22T00:00:00"/>
    <s v="CUST843"/>
    <x v="0"/>
    <x v="1"/>
    <n v="21"/>
    <x v="0"/>
    <n v="3"/>
    <n v="500"/>
    <n v="1500"/>
    <n v="22.5"/>
    <n v="30"/>
  </r>
  <r>
    <n v="844"/>
    <n v="12"/>
    <n v="10"/>
    <n v="2023"/>
    <s v="Thursday"/>
    <s v="October"/>
    <s v="2023"/>
    <d v="2023-10-12T00:00:00"/>
    <s v="CUST844"/>
    <x v="0"/>
    <x v="0"/>
    <n v="35"/>
    <x v="2"/>
    <n v="3"/>
    <n v="50"/>
    <n v="150"/>
    <n v="2.25"/>
    <n v="3"/>
  </r>
  <r>
    <n v="845"/>
    <n v="6"/>
    <n v="1"/>
    <n v="2023"/>
    <s v="Friday"/>
    <s v="January"/>
    <s v="2023"/>
    <d v="2023-01-06T00:00:00"/>
    <s v="CUST845"/>
    <x v="0"/>
    <x v="2"/>
    <n v="54"/>
    <x v="2"/>
    <n v="1"/>
    <n v="500"/>
    <n v="500"/>
    <n v="7.5"/>
    <n v="10"/>
  </r>
  <r>
    <n v="846"/>
    <n v="22"/>
    <n v="9"/>
    <n v="2023"/>
    <s v="Friday"/>
    <s v="September"/>
    <s v="2023"/>
    <d v="2023-09-22T00:00:00"/>
    <s v="CUST846"/>
    <x v="0"/>
    <x v="0"/>
    <n v="42"/>
    <x v="0"/>
    <n v="1"/>
    <n v="50"/>
    <n v="50"/>
    <n v="0.75"/>
    <n v="1"/>
  </r>
  <r>
    <n v="847"/>
    <n v="8"/>
    <n v="4"/>
    <n v="2023"/>
    <s v="Saturday"/>
    <s v="April"/>
    <s v="2023"/>
    <d v="2023-04-08T00:00:00"/>
    <s v="CUST847"/>
    <x v="1"/>
    <x v="1"/>
    <n v="18"/>
    <x v="1"/>
    <n v="4"/>
    <n v="300"/>
    <n v="1200"/>
    <n v="18"/>
    <n v="24"/>
  </r>
  <r>
    <n v="848"/>
    <n v="13"/>
    <n v="2"/>
    <n v="2023"/>
    <s v="Monday"/>
    <s v="February"/>
    <s v="2023"/>
    <d v="2023-02-13T00:00:00"/>
    <s v="CUST848"/>
    <x v="1"/>
    <x v="2"/>
    <n v="63"/>
    <x v="2"/>
    <n v="3"/>
    <n v="25"/>
    <n v="75"/>
    <n v="1.125"/>
    <n v="1.5"/>
  </r>
  <r>
    <n v="849"/>
    <n v="4"/>
    <n v="5"/>
    <n v="2023"/>
    <s v="Thursday"/>
    <s v="May"/>
    <s v="2023"/>
    <d v="2023-05-04T00:00:00"/>
    <s v="CUST849"/>
    <x v="0"/>
    <x v="0"/>
    <n v="32"/>
    <x v="2"/>
    <n v="2"/>
    <n v="25"/>
    <n v="50"/>
    <n v="0.75"/>
    <n v="1"/>
  </r>
  <r>
    <n v="850"/>
    <n v="28"/>
    <n v="7"/>
    <n v="2023"/>
    <s v="Friday"/>
    <s v="July"/>
    <s v="2023"/>
    <d v="2023-07-28T00:00:00"/>
    <s v="CUST850"/>
    <x v="1"/>
    <x v="1"/>
    <n v="26"/>
    <x v="0"/>
    <n v="2"/>
    <n v="500"/>
    <n v="1000"/>
    <n v="15"/>
    <n v="20"/>
  </r>
  <r>
    <n v="851"/>
    <n v="8"/>
    <n v="9"/>
    <n v="2023"/>
    <s v="Friday"/>
    <s v="September"/>
    <s v="2023"/>
    <d v="2023-09-08T00:00:00"/>
    <s v="CUST851"/>
    <x v="0"/>
    <x v="0"/>
    <n v="32"/>
    <x v="1"/>
    <n v="2"/>
    <n v="25"/>
    <n v="50"/>
    <n v="0.75"/>
    <n v="1"/>
  </r>
  <r>
    <n v="852"/>
    <n v="12"/>
    <n v="10"/>
    <n v="2023"/>
    <s v="Thursday"/>
    <s v="October"/>
    <s v="2023"/>
    <d v="2023-10-12T00:00:00"/>
    <s v="CUST852"/>
    <x v="1"/>
    <x v="0"/>
    <n v="41"/>
    <x v="2"/>
    <n v="1"/>
    <n v="300"/>
    <n v="300"/>
    <n v="4.5"/>
    <n v="6"/>
  </r>
  <r>
    <n v="853"/>
    <n v="4"/>
    <n v="5"/>
    <n v="2023"/>
    <s v="Thursday"/>
    <s v="May"/>
    <s v="2023"/>
    <d v="2023-05-04T00:00:00"/>
    <s v="CUST853"/>
    <x v="0"/>
    <x v="1"/>
    <n v="21"/>
    <x v="0"/>
    <n v="2"/>
    <n v="500"/>
    <n v="1000"/>
    <n v="15"/>
    <n v="20"/>
  </r>
  <r>
    <n v="854"/>
    <n v="20"/>
    <n v="12"/>
    <n v="2023"/>
    <s v="Wednesday"/>
    <s v="December"/>
    <s v="2023"/>
    <d v="2023-12-20T00:00:00"/>
    <s v="CUST854"/>
    <x v="0"/>
    <x v="1"/>
    <n v="29"/>
    <x v="2"/>
    <n v="1"/>
    <n v="50"/>
    <n v="50"/>
    <n v="0.75"/>
    <n v="1"/>
  </r>
  <r>
    <n v="855"/>
    <n v="1"/>
    <n v="9"/>
    <n v="2023"/>
    <s v="Friday"/>
    <s v="September"/>
    <s v="2023"/>
    <d v="2023-09-01T00:00:00"/>
    <s v="CUST855"/>
    <x v="0"/>
    <x v="2"/>
    <n v="54"/>
    <x v="0"/>
    <n v="1"/>
    <n v="25"/>
    <n v="25"/>
    <n v="0.375"/>
    <n v="0.5"/>
  </r>
  <r>
    <n v="856"/>
    <n v="27"/>
    <n v="11"/>
    <n v="2023"/>
    <s v="Monday"/>
    <s v="November"/>
    <s v="2023"/>
    <d v="2023-11-27T00:00:00"/>
    <s v="CUST856"/>
    <x v="0"/>
    <x v="2"/>
    <n v="54"/>
    <x v="1"/>
    <n v="4"/>
    <n v="30"/>
    <n v="120"/>
    <n v="1.7999999999999998"/>
    <n v="2.4"/>
  </r>
  <r>
    <n v="857"/>
    <n v="31"/>
    <n v="12"/>
    <n v="2023"/>
    <s v="Sunday"/>
    <s v="December"/>
    <s v="2023"/>
    <d v="2023-12-31T00:00:00"/>
    <s v="CUST857"/>
    <x v="0"/>
    <x v="2"/>
    <n v="60"/>
    <x v="1"/>
    <n v="2"/>
    <n v="25"/>
    <n v="50"/>
    <n v="0.75"/>
    <n v="1"/>
  </r>
  <r>
    <n v="858"/>
    <n v="9"/>
    <n v="9"/>
    <n v="2023"/>
    <s v="Saturday"/>
    <s v="September"/>
    <s v="2023"/>
    <d v="2023-09-09T00:00:00"/>
    <s v="CUST858"/>
    <x v="0"/>
    <x v="1"/>
    <n v="23"/>
    <x v="1"/>
    <n v="2"/>
    <n v="50"/>
    <n v="100"/>
    <n v="1.5"/>
    <n v="2"/>
  </r>
  <r>
    <n v="859"/>
    <n v="18"/>
    <n v="8"/>
    <n v="2023"/>
    <s v="Friday"/>
    <s v="August"/>
    <s v="2023"/>
    <d v="2023-08-18T00:00:00"/>
    <s v="CUST859"/>
    <x v="1"/>
    <x v="2"/>
    <n v="56"/>
    <x v="1"/>
    <n v="3"/>
    <n v="500"/>
    <n v="1500"/>
    <n v="22.5"/>
    <n v="30"/>
  </r>
  <r>
    <n v="860"/>
    <n v="9"/>
    <n v="1"/>
    <n v="2023"/>
    <s v="Monday"/>
    <s v="January"/>
    <s v="2023"/>
    <d v="2023-01-09T00:00:00"/>
    <s v="CUST860"/>
    <x v="0"/>
    <x v="2"/>
    <n v="63"/>
    <x v="2"/>
    <n v="4"/>
    <n v="50"/>
    <n v="200"/>
    <n v="3"/>
    <n v="4"/>
  </r>
  <r>
    <n v="861"/>
    <n v="17"/>
    <n v="2"/>
    <n v="2023"/>
    <s v="Friday"/>
    <s v="February"/>
    <s v="2023"/>
    <d v="2023-02-17T00:00:00"/>
    <s v="CUST861"/>
    <x v="1"/>
    <x v="0"/>
    <n v="41"/>
    <x v="2"/>
    <n v="3"/>
    <n v="30"/>
    <n v="90"/>
    <n v="1.3499999999999999"/>
    <n v="1.8"/>
  </r>
  <r>
    <n v="862"/>
    <n v="31"/>
    <n v="5"/>
    <n v="2023"/>
    <s v="Wednesday"/>
    <s v="May"/>
    <s v="2023"/>
    <d v="2023-05-31T00:00:00"/>
    <s v="CUST862"/>
    <x v="0"/>
    <x v="1"/>
    <n v="28"/>
    <x v="1"/>
    <n v="4"/>
    <n v="300"/>
    <n v="1200"/>
    <n v="18"/>
    <n v="24"/>
  </r>
  <r>
    <n v="863"/>
    <n v="24"/>
    <n v="4"/>
    <n v="2023"/>
    <s v="Monday"/>
    <s v="April"/>
    <s v="2023"/>
    <d v="2023-04-24T00:00:00"/>
    <s v="CUST863"/>
    <x v="1"/>
    <x v="0"/>
    <n v="30"/>
    <x v="1"/>
    <n v="2"/>
    <n v="25"/>
    <n v="50"/>
    <n v="0.75"/>
    <n v="1"/>
  </r>
  <r>
    <n v="864"/>
    <n v="27"/>
    <n v="7"/>
    <n v="2023"/>
    <s v="Thursday"/>
    <s v="July"/>
    <s v="2023"/>
    <d v="2023-07-27T00:00:00"/>
    <s v="CUST864"/>
    <x v="1"/>
    <x v="2"/>
    <n v="51"/>
    <x v="1"/>
    <n v="1"/>
    <n v="500"/>
    <n v="500"/>
    <n v="7.5"/>
    <n v="10"/>
  </r>
  <r>
    <n v="865"/>
    <n v="21"/>
    <n v="12"/>
    <n v="2023"/>
    <s v="Thursday"/>
    <s v="December"/>
    <s v="2023"/>
    <d v="2023-12-21T00:00:00"/>
    <s v="CUST865"/>
    <x v="1"/>
    <x v="0"/>
    <n v="42"/>
    <x v="2"/>
    <n v="1"/>
    <n v="300"/>
    <n v="300"/>
    <n v="4.5"/>
    <n v="6"/>
  </r>
  <r>
    <n v="866"/>
    <n v="5"/>
    <n v="5"/>
    <n v="2023"/>
    <s v="Friday"/>
    <s v="May"/>
    <s v="2023"/>
    <d v="2023-05-05T00:00:00"/>
    <s v="CUST866"/>
    <x v="0"/>
    <x v="1"/>
    <n v="24"/>
    <x v="1"/>
    <n v="1"/>
    <n v="50"/>
    <n v="50"/>
    <n v="0.75"/>
    <n v="1"/>
  </r>
  <r>
    <n v="867"/>
    <n v="6"/>
    <n v="6"/>
    <n v="2023"/>
    <s v="Tuesday"/>
    <s v="June"/>
    <s v="2023"/>
    <d v="2023-06-06T00:00:00"/>
    <s v="CUST867"/>
    <x v="0"/>
    <x v="1"/>
    <n v="21"/>
    <x v="1"/>
    <n v="1"/>
    <n v="500"/>
    <n v="500"/>
    <n v="7.5"/>
    <n v="10"/>
  </r>
  <r>
    <n v="868"/>
    <n v="6"/>
    <n v="12"/>
    <n v="2023"/>
    <s v="Wednesday"/>
    <s v="December"/>
    <s v="2023"/>
    <d v="2023-12-06T00:00:00"/>
    <s v="CUST868"/>
    <x v="1"/>
    <x v="1"/>
    <n v="25"/>
    <x v="1"/>
    <n v="1"/>
    <n v="300"/>
    <n v="300"/>
    <n v="4.5"/>
    <n v="6"/>
  </r>
  <r>
    <n v="869"/>
    <n v="25"/>
    <n v="10"/>
    <n v="2023"/>
    <s v="Wednesday"/>
    <s v="October"/>
    <s v="2023"/>
    <d v="2023-10-25T00:00:00"/>
    <s v="CUST869"/>
    <x v="0"/>
    <x v="0"/>
    <n v="37"/>
    <x v="0"/>
    <n v="3"/>
    <n v="500"/>
    <n v="1500"/>
    <n v="22.5"/>
    <n v="30"/>
  </r>
  <r>
    <n v="870"/>
    <n v="8"/>
    <n v="7"/>
    <n v="2023"/>
    <s v="Saturday"/>
    <s v="July"/>
    <s v="2023"/>
    <d v="2023-07-08T00:00:00"/>
    <s v="CUST870"/>
    <x v="1"/>
    <x v="0"/>
    <n v="46"/>
    <x v="1"/>
    <n v="4"/>
    <n v="30"/>
    <n v="120"/>
    <n v="1.7999999999999998"/>
    <n v="2.4"/>
  </r>
  <r>
    <n v="871"/>
    <n v="31"/>
    <n v="8"/>
    <n v="2023"/>
    <s v="Thursday"/>
    <s v="August"/>
    <s v="2023"/>
    <d v="2023-08-31T00:00:00"/>
    <s v="CUST871"/>
    <x v="0"/>
    <x v="2"/>
    <n v="62"/>
    <x v="0"/>
    <n v="2"/>
    <n v="30"/>
    <n v="60"/>
    <n v="0.89999999999999991"/>
    <n v="1.2"/>
  </r>
  <r>
    <n v="872"/>
    <n v="11"/>
    <n v="10"/>
    <n v="2023"/>
    <s v="Wednesday"/>
    <s v="October"/>
    <s v="2023"/>
    <d v="2023-10-11T00:00:00"/>
    <s v="CUST872"/>
    <x v="1"/>
    <x v="2"/>
    <n v="63"/>
    <x v="0"/>
    <n v="3"/>
    <n v="25"/>
    <n v="75"/>
    <n v="1.125"/>
    <n v="1.5"/>
  </r>
  <r>
    <n v="873"/>
    <n v="29"/>
    <n v="9"/>
    <n v="2023"/>
    <s v="Friday"/>
    <s v="September"/>
    <s v="2023"/>
    <d v="2023-09-29T00:00:00"/>
    <s v="CUST873"/>
    <x v="1"/>
    <x v="1"/>
    <n v="27"/>
    <x v="1"/>
    <n v="4"/>
    <n v="25"/>
    <n v="100"/>
    <n v="1.5"/>
    <n v="2"/>
  </r>
  <r>
    <n v="874"/>
    <n v="26"/>
    <n v="6"/>
    <n v="2023"/>
    <s v="Monday"/>
    <s v="June"/>
    <s v="2023"/>
    <d v="2023-06-26T00:00:00"/>
    <s v="CUST874"/>
    <x v="0"/>
    <x v="2"/>
    <n v="60"/>
    <x v="0"/>
    <n v="1"/>
    <n v="30"/>
    <n v="30"/>
    <n v="0.44999999999999996"/>
    <n v="0.6"/>
  </r>
  <r>
    <n v="875"/>
    <n v="6"/>
    <n v="8"/>
    <n v="2023"/>
    <s v="Sunday"/>
    <s v="August"/>
    <s v="2023"/>
    <d v="2023-08-06T00:00:00"/>
    <s v="CUST875"/>
    <x v="1"/>
    <x v="2"/>
    <n v="51"/>
    <x v="1"/>
    <n v="4"/>
    <n v="500"/>
    <n v="2000"/>
    <n v="30"/>
    <n v="40"/>
  </r>
  <r>
    <n v="876"/>
    <n v="9"/>
    <n v="10"/>
    <n v="2023"/>
    <s v="Monday"/>
    <s v="October"/>
    <s v="2023"/>
    <d v="2023-10-09T00:00:00"/>
    <s v="CUST876"/>
    <x v="0"/>
    <x v="0"/>
    <n v="43"/>
    <x v="2"/>
    <n v="4"/>
    <n v="30"/>
    <n v="120"/>
    <n v="1.7999999999999998"/>
    <n v="2.4"/>
  </r>
  <r>
    <n v="877"/>
    <n v="19"/>
    <n v="6"/>
    <n v="2023"/>
    <s v="Monday"/>
    <s v="June"/>
    <s v="2023"/>
    <d v="2023-06-19T00:00:00"/>
    <s v="CUST877"/>
    <x v="1"/>
    <x v="2"/>
    <n v="58"/>
    <x v="2"/>
    <n v="1"/>
    <n v="25"/>
    <n v="25"/>
    <n v="0.375"/>
    <n v="0.5"/>
  </r>
  <r>
    <n v="878"/>
    <n v="30"/>
    <n v="6"/>
    <n v="2023"/>
    <s v="Friday"/>
    <s v="June"/>
    <s v="2023"/>
    <d v="2023-06-30T00:00:00"/>
    <s v="CUST878"/>
    <x v="1"/>
    <x v="1"/>
    <n v="20"/>
    <x v="2"/>
    <n v="1"/>
    <n v="30"/>
    <n v="30"/>
    <n v="0.44999999999999996"/>
    <n v="0.6"/>
  </r>
  <r>
    <n v="879"/>
    <n v="26"/>
    <n v="12"/>
    <n v="2023"/>
    <s v="Tuesday"/>
    <s v="December"/>
    <s v="2023"/>
    <d v="2023-12-26T00:00:00"/>
    <s v="CUST879"/>
    <x v="0"/>
    <x v="1"/>
    <n v="23"/>
    <x v="2"/>
    <n v="1"/>
    <n v="30"/>
    <n v="30"/>
    <n v="0.44999999999999996"/>
    <n v="0.6"/>
  </r>
  <r>
    <n v="880"/>
    <n v="21"/>
    <n v="8"/>
    <n v="2023"/>
    <s v="Monday"/>
    <s v="August"/>
    <s v="2023"/>
    <d v="2023-08-21T00:00:00"/>
    <s v="CUST880"/>
    <x v="0"/>
    <x v="1"/>
    <n v="22"/>
    <x v="0"/>
    <n v="2"/>
    <n v="500"/>
    <n v="1000"/>
    <n v="15"/>
    <n v="20"/>
  </r>
  <r>
    <n v="881"/>
    <n v="19"/>
    <n v="5"/>
    <n v="2023"/>
    <s v="Friday"/>
    <s v="May"/>
    <s v="2023"/>
    <d v="2023-05-19T00:00:00"/>
    <s v="CUST881"/>
    <x v="0"/>
    <x v="1"/>
    <n v="22"/>
    <x v="1"/>
    <n v="1"/>
    <n v="300"/>
    <n v="300"/>
    <n v="4.5"/>
    <n v="6"/>
  </r>
  <r>
    <n v="882"/>
    <n v="6"/>
    <n v="6"/>
    <n v="2023"/>
    <s v="Tuesday"/>
    <s v="June"/>
    <s v="2023"/>
    <d v="2023-06-06T00:00:00"/>
    <s v="CUST882"/>
    <x v="1"/>
    <x v="2"/>
    <n v="64"/>
    <x v="1"/>
    <n v="2"/>
    <n v="25"/>
    <n v="50"/>
    <n v="0.75"/>
    <n v="1"/>
  </r>
  <r>
    <n v="883"/>
    <n v="9"/>
    <n v="5"/>
    <n v="2023"/>
    <s v="Tuesday"/>
    <s v="May"/>
    <s v="2023"/>
    <d v="2023-05-09T00:00:00"/>
    <s v="CUST883"/>
    <x v="0"/>
    <x v="0"/>
    <n v="40"/>
    <x v="1"/>
    <n v="1"/>
    <n v="500"/>
    <n v="500"/>
    <n v="7.5"/>
    <n v="10"/>
  </r>
  <r>
    <n v="884"/>
    <n v="29"/>
    <n v="4"/>
    <n v="2023"/>
    <s v="Saturday"/>
    <s v="April"/>
    <s v="2023"/>
    <d v="2023-04-29T00:00:00"/>
    <s v="CUST884"/>
    <x v="1"/>
    <x v="1"/>
    <n v="26"/>
    <x v="2"/>
    <n v="2"/>
    <n v="30"/>
    <n v="60"/>
    <n v="0.89999999999999991"/>
    <n v="1.2"/>
  </r>
  <r>
    <n v="885"/>
    <n v="3"/>
    <n v="3"/>
    <n v="2023"/>
    <s v="Friday"/>
    <s v="March"/>
    <s v="2023"/>
    <d v="2023-03-03T00:00:00"/>
    <s v="CUST885"/>
    <x v="1"/>
    <x v="2"/>
    <n v="52"/>
    <x v="2"/>
    <n v="4"/>
    <n v="30"/>
    <n v="120"/>
    <n v="1.7999999999999998"/>
    <n v="2.4"/>
  </r>
  <r>
    <n v="886"/>
    <n v="9"/>
    <n v="4"/>
    <n v="2023"/>
    <s v="Sunday"/>
    <s v="April"/>
    <s v="2023"/>
    <d v="2023-04-09T00:00:00"/>
    <s v="CUST886"/>
    <x v="0"/>
    <x v="0"/>
    <n v="37"/>
    <x v="1"/>
    <n v="3"/>
    <n v="300"/>
    <n v="900"/>
    <n v="13.5"/>
    <n v="18"/>
  </r>
  <r>
    <n v="887"/>
    <n v="11"/>
    <n v="6"/>
    <n v="2023"/>
    <s v="Sunday"/>
    <s v="June"/>
    <s v="2023"/>
    <d v="2023-06-11T00:00:00"/>
    <s v="CUST887"/>
    <x v="0"/>
    <x v="2"/>
    <n v="59"/>
    <x v="2"/>
    <n v="4"/>
    <n v="25"/>
    <n v="100"/>
    <n v="1.5"/>
    <n v="2"/>
  </r>
  <r>
    <n v="888"/>
    <n v="3"/>
    <n v="3"/>
    <n v="2023"/>
    <s v="Friday"/>
    <s v="March"/>
    <s v="2023"/>
    <d v="2023-03-03T00:00:00"/>
    <s v="CUST888"/>
    <x v="1"/>
    <x v="2"/>
    <n v="52"/>
    <x v="1"/>
    <n v="4"/>
    <n v="25"/>
    <n v="100"/>
    <n v="1.5"/>
    <n v="2"/>
  </r>
  <r>
    <n v="889"/>
    <n v="2"/>
    <n v="10"/>
    <n v="2023"/>
    <s v="Monday"/>
    <s v="October"/>
    <s v="2023"/>
    <d v="2023-10-02T00:00:00"/>
    <s v="CUST889"/>
    <x v="1"/>
    <x v="0"/>
    <n v="35"/>
    <x v="1"/>
    <n v="1"/>
    <n v="50"/>
    <n v="50"/>
    <n v="0.75"/>
    <n v="1"/>
  </r>
  <r>
    <n v="890"/>
    <n v="20"/>
    <n v="12"/>
    <n v="2023"/>
    <s v="Wednesday"/>
    <s v="December"/>
    <s v="2023"/>
    <d v="2023-12-20T00:00:00"/>
    <s v="CUST890"/>
    <x v="0"/>
    <x v="0"/>
    <n v="34"/>
    <x v="1"/>
    <n v="2"/>
    <n v="25"/>
    <n v="50"/>
    <n v="0.75"/>
    <n v="1"/>
  </r>
  <r>
    <n v="891"/>
    <n v="5"/>
    <n v="4"/>
    <n v="2023"/>
    <s v="Wednesday"/>
    <s v="April"/>
    <s v="2023"/>
    <d v="2023-04-05T00:00:00"/>
    <s v="CUST891"/>
    <x v="0"/>
    <x v="0"/>
    <n v="41"/>
    <x v="1"/>
    <n v="3"/>
    <n v="300"/>
    <n v="900"/>
    <n v="13.5"/>
    <n v="18"/>
  </r>
  <r>
    <n v="892"/>
    <n v="9"/>
    <n v="4"/>
    <n v="2023"/>
    <s v="Sunday"/>
    <s v="April"/>
    <s v="2023"/>
    <d v="2023-04-09T00:00:00"/>
    <s v="CUST892"/>
    <x v="0"/>
    <x v="1"/>
    <n v="20"/>
    <x v="1"/>
    <n v="1"/>
    <n v="50"/>
    <n v="50"/>
    <n v="0.75"/>
    <n v="1"/>
  </r>
  <r>
    <n v="893"/>
    <n v="21"/>
    <n v="4"/>
    <n v="2023"/>
    <s v="Friday"/>
    <s v="April"/>
    <s v="2023"/>
    <d v="2023-04-21T00:00:00"/>
    <s v="CUST893"/>
    <x v="0"/>
    <x v="0"/>
    <n v="49"/>
    <x v="1"/>
    <n v="1"/>
    <n v="50"/>
    <n v="50"/>
    <n v="0.75"/>
    <n v="1"/>
  </r>
  <r>
    <n v="894"/>
    <n v="5"/>
    <n v="9"/>
    <n v="2023"/>
    <s v="Tuesday"/>
    <s v="September"/>
    <s v="2023"/>
    <d v="2023-09-05T00:00:00"/>
    <s v="CUST894"/>
    <x v="0"/>
    <x v="2"/>
    <n v="52"/>
    <x v="1"/>
    <n v="1"/>
    <n v="30"/>
    <n v="30"/>
    <n v="0.44999999999999996"/>
    <n v="0.6"/>
  </r>
  <r>
    <n v="895"/>
    <n v="22"/>
    <n v="5"/>
    <n v="2023"/>
    <s v="Monday"/>
    <s v="May"/>
    <s v="2023"/>
    <d v="2023-05-22T00:00:00"/>
    <s v="CUST895"/>
    <x v="1"/>
    <x v="2"/>
    <n v="55"/>
    <x v="2"/>
    <n v="4"/>
    <n v="30"/>
    <n v="120"/>
    <n v="1.7999999999999998"/>
    <n v="2.4"/>
  </r>
  <r>
    <n v="896"/>
    <n v="29"/>
    <n v="10"/>
    <n v="2023"/>
    <s v="Sunday"/>
    <s v="October"/>
    <s v="2023"/>
    <d v="2023-10-29T00:00:00"/>
    <s v="CUST896"/>
    <x v="1"/>
    <x v="0"/>
    <n v="30"/>
    <x v="1"/>
    <n v="2"/>
    <n v="25"/>
    <n v="50"/>
    <n v="0.75"/>
    <n v="1"/>
  </r>
  <r>
    <n v="897"/>
    <n v="26"/>
    <n v="9"/>
    <n v="2023"/>
    <s v="Tuesday"/>
    <s v="September"/>
    <s v="2023"/>
    <d v="2023-09-26T00:00:00"/>
    <s v="CUST897"/>
    <x v="1"/>
    <x v="2"/>
    <n v="64"/>
    <x v="1"/>
    <n v="2"/>
    <n v="50"/>
    <n v="100"/>
    <n v="1.5"/>
    <n v="2"/>
  </r>
  <r>
    <n v="898"/>
    <n v="2"/>
    <n v="11"/>
    <n v="2023"/>
    <s v="Thursday"/>
    <s v="November"/>
    <s v="2023"/>
    <d v="2023-11-02T00:00:00"/>
    <s v="CUST898"/>
    <x v="1"/>
    <x v="0"/>
    <n v="42"/>
    <x v="2"/>
    <n v="3"/>
    <n v="30"/>
    <n v="90"/>
    <n v="1.3499999999999999"/>
    <n v="1.8"/>
  </r>
  <r>
    <n v="899"/>
    <n v="25"/>
    <n v="5"/>
    <n v="2023"/>
    <s v="Thursday"/>
    <s v="May"/>
    <s v="2023"/>
    <d v="2023-05-25T00:00:00"/>
    <s v="CUST899"/>
    <x v="0"/>
    <x v="1"/>
    <n v="26"/>
    <x v="2"/>
    <n v="2"/>
    <n v="300"/>
    <n v="600"/>
    <n v="9"/>
    <n v="12"/>
  </r>
  <r>
    <n v="900"/>
    <n v="21"/>
    <n v="2"/>
    <n v="2023"/>
    <s v="Tuesday"/>
    <s v="February"/>
    <s v="2023"/>
    <d v="2023-02-21T00:00:00"/>
    <s v="CUST900"/>
    <x v="0"/>
    <x v="1"/>
    <n v="21"/>
    <x v="2"/>
    <n v="2"/>
    <n v="30"/>
    <n v="60"/>
    <n v="0.89999999999999991"/>
    <n v="1.2"/>
  </r>
  <r>
    <n v="901"/>
    <n v="10"/>
    <n v="4"/>
    <n v="2023"/>
    <s v="Monday"/>
    <s v="April"/>
    <s v="2023"/>
    <d v="2023-04-10T00:00:00"/>
    <s v="CUST901"/>
    <x v="0"/>
    <x v="0"/>
    <n v="31"/>
    <x v="1"/>
    <n v="1"/>
    <n v="30"/>
    <n v="30"/>
    <n v="0.44999999999999996"/>
    <n v="0.6"/>
  </r>
  <r>
    <n v="902"/>
    <n v="1"/>
    <n v="6"/>
    <n v="2023"/>
    <s v="Thursday"/>
    <s v="June"/>
    <s v="2023"/>
    <d v="2023-06-01T00:00:00"/>
    <s v="CUST902"/>
    <x v="1"/>
    <x v="2"/>
    <n v="54"/>
    <x v="0"/>
    <n v="1"/>
    <n v="50"/>
    <n v="50"/>
    <n v="0.75"/>
    <n v="1"/>
  </r>
  <r>
    <n v="903"/>
    <n v="27"/>
    <n v="4"/>
    <n v="2023"/>
    <s v="Thursday"/>
    <s v="April"/>
    <s v="2023"/>
    <d v="2023-04-27T00:00:00"/>
    <s v="CUST903"/>
    <x v="1"/>
    <x v="2"/>
    <n v="51"/>
    <x v="0"/>
    <n v="4"/>
    <n v="50"/>
    <n v="200"/>
    <n v="3"/>
    <n v="4"/>
  </r>
  <r>
    <n v="904"/>
    <n v="4"/>
    <n v="7"/>
    <n v="2023"/>
    <s v="Tuesday"/>
    <s v="July"/>
    <s v="2023"/>
    <d v="2023-07-04T00:00:00"/>
    <s v="CUST904"/>
    <x v="0"/>
    <x v="1"/>
    <n v="28"/>
    <x v="2"/>
    <n v="1"/>
    <n v="500"/>
    <n v="500"/>
    <n v="7.5"/>
    <n v="10"/>
  </r>
  <r>
    <n v="905"/>
    <n v="2"/>
    <n v="4"/>
    <n v="2023"/>
    <s v="Sunday"/>
    <s v="April"/>
    <s v="2023"/>
    <d v="2023-04-02T00:00:00"/>
    <s v="CUST905"/>
    <x v="0"/>
    <x v="2"/>
    <n v="58"/>
    <x v="0"/>
    <n v="1"/>
    <n v="300"/>
    <n v="300"/>
    <n v="4.5"/>
    <n v="6"/>
  </r>
  <r>
    <n v="906"/>
    <n v="4"/>
    <n v="6"/>
    <n v="2023"/>
    <s v="Sunday"/>
    <s v="June"/>
    <s v="2023"/>
    <d v="2023-06-04T00:00:00"/>
    <s v="CUST906"/>
    <x v="1"/>
    <x v="1"/>
    <n v="20"/>
    <x v="2"/>
    <n v="1"/>
    <n v="50"/>
    <n v="50"/>
    <n v="0.75"/>
    <n v="1"/>
  </r>
  <r>
    <n v="907"/>
    <n v="8"/>
    <n v="1"/>
    <n v="2023"/>
    <s v="Sunday"/>
    <s v="January"/>
    <s v="2023"/>
    <d v="2023-01-08T00:00:00"/>
    <s v="CUST907"/>
    <x v="1"/>
    <x v="0"/>
    <n v="45"/>
    <x v="1"/>
    <n v="1"/>
    <n v="25"/>
    <n v="25"/>
    <n v="0.375"/>
    <n v="0.5"/>
  </r>
  <r>
    <n v="908"/>
    <n v="29"/>
    <n v="12"/>
    <n v="2023"/>
    <s v="Friday"/>
    <s v="December"/>
    <s v="2023"/>
    <d v="2023-12-29T00:00:00"/>
    <s v="CUST908"/>
    <x v="0"/>
    <x v="0"/>
    <n v="46"/>
    <x v="0"/>
    <n v="4"/>
    <n v="300"/>
    <n v="1200"/>
    <n v="18"/>
    <n v="24"/>
  </r>
  <r>
    <n v="909"/>
    <n v="1"/>
    <n v="10"/>
    <n v="2023"/>
    <s v="Sunday"/>
    <s v="October"/>
    <s v="2023"/>
    <d v="2023-10-01T00:00:00"/>
    <s v="CUST909"/>
    <x v="0"/>
    <x v="1"/>
    <n v="26"/>
    <x v="1"/>
    <n v="1"/>
    <n v="300"/>
    <n v="300"/>
    <n v="4.5"/>
    <n v="6"/>
  </r>
  <r>
    <n v="910"/>
    <n v="6"/>
    <n v="3"/>
    <n v="2023"/>
    <s v="Monday"/>
    <s v="March"/>
    <s v="2023"/>
    <d v="2023-03-06T00:00:00"/>
    <s v="CUST910"/>
    <x v="1"/>
    <x v="1"/>
    <n v="20"/>
    <x v="0"/>
    <n v="3"/>
    <n v="50"/>
    <n v="150"/>
    <n v="2.25"/>
    <n v="3"/>
  </r>
  <r>
    <n v="911"/>
    <n v="21"/>
    <n v="5"/>
    <n v="2023"/>
    <s v="Sunday"/>
    <s v="May"/>
    <s v="2023"/>
    <d v="2023-05-21T00:00:00"/>
    <s v="CUST911"/>
    <x v="0"/>
    <x v="0"/>
    <n v="42"/>
    <x v="1"/>
    <n v="3"/>
    <n v="300"/>
    <n v="900"/>
    <n v="13.5"/>
    <n v="18"/>
  </r>
  <r>
    <n v="912"/>
    <n v="24"/>
    <n v="1"/>
    <n v="2023"/>
    <s v="Tuesday"/>
    <s v="January"/>
    <s v="2023"/>
    <d v="2023-01-24T00:00:00"/>
    <s v="CUST912"/>
    <x v="0"/>
    <x v="2"/>
    <n v="51"/>
    <x v="0"/>
    <n v="3"/>
    <n v="50"/>
    <n v="150"/>
    <n v="2.25"/>
    <n v="3"/>
  </r>
  <r>
    <n v="913"/>
    <n v="28"/>
    <n v="1"/>
    <n v="2023"/>
    <s v="Saturday"/>
    <s v="January"/>
    <s v="2023"/>
    <d v="2023-01-28T00:00:00"/>
    <s v="CUST913"/>
    <x v="0"/>
    <x v="1"/>
    <n v="29"/>
    <x v="1"/>
    <n v="3"/>
    <n v="30"/>
    <n v="90"/>
    <n v="1.3499999999999999"/>
    <n v="1.8"/>
  </r>
  <r>
    <n v="914"/>
    <n v="11"/>
    <n v="10"/>
    <n v="2023"/>
    <s v="Wednesday"/>
    <s v="October"/>
    <s v="2023"/>
    <d v="2023-10-11T00:00:00"/>
    <s v="CUST914"/>
    <x v="1"/>
    <x v="2"/>
    <n v="59"/>
    <x v="1"/>
    <n v="1"/>
    <n v="500"/>
    <n v="500"/>
    <n v="7.5"/>
    <n v="10"/>
  </r>
  <r>
    <n v="915"/>
    <n v="30"/>
    <n v="5"/>
    <n v="2023"/>
    <s v="Tuesday"/>
    <s v="May"/>
    <s v="2023"/>
    <d v="2023-05-30T00:00:00"/>
    <s v="CUST915"/>
    <x v="1"/>
    <x v="1"/>
    <n v="26"/>
    <x v="0"/>
    <n v="3"/>
    <n v="30"/>
    <n v="90"/>
    <n v="1.3499999999999999"/>
    <n v="1.8"/>
  </r>
  <r>
    <n v="916"/>
    <n v="24"/>
    <n v="12"/>
    <n v="2023"/>
    <s v="Sunday"/>
    <s v="December"/>
    <s v="2023"/>
    <d v="2023-12-24T00:00:00"/>
    <s v="CUST916"/>
    <x v="1"/>
    <x v="0"/>
    <n v="32"/>
    <x v="1"/>
    <n v="1"/>
    <n v="50"/>
    <n v="50"/>
    <n v="0.75"/>
    <n v="1"/>
  </r>
  <r>
    <n v="917"/>
    <n v="6"/>
    <n v="3"/>
    <n v="2023"/>
    <s v="Monday"/>
    <s v="March"/>
    <s v="2023"/>
    <d v="2023-03-06T00:00:00"/>
    <s v="CUST917"/>
    <x v="1"/>
    <x v="2"/>
    <n v="57"/>
    <x v="1"/>
    <n v="4"/>
    <n v="50"/>
    <n v="200"/>
    <n v="3"/>
    <n v="4"/>
  </r>
  <r>
    <n v="918"/>
    <n v="23"/>
    <n v="11"/>
    <n v="2023"/>
    <s v="Thursday"/>
    <s v="November"/>
    <s v="2023"/>
    <d v="2023-11-23T00:00:00"/>
    <s v="CUST918"/>
    <x v="1"/>
    <x v="0"/>
    <n v="42"/>
    <x v="1"/>
    <n v="3"/>
    <n v="30"/>
    <n v="90"/>
    <n v="1.3499999999999999"/>
    <n v="1.8"/>
  </r>
  <r>
    <n v="919"/>
    <n v="9"/>
    <n v="9"/>
    <n v="2023"/>
    <s v="Saturday"/>
    <s v="September"/>
    <s v="2023"/>
    <d v="2023-09-09T00:00:00"/>
    <s v="CUST919"/>
    <x v="1"/>
    <x v="1"/>
    <n v="22"/>
    <x v="0"/>
    <n v="2"/>
    <n v="25"/>
    <n v="50"/>
    <n v="0.75"/>
    <n v="1"/>
  </r>
  <r>
    <n v="920"/>
    <n v="22"/>
    <n v="2"/>
    <n v="2023"/>
    <s v="Wednesday"/>
    <s v="February"/>
    <s v="2023"/>
    <d v="2023-02-22T00:00:00"/>
    <s v="CUST920"/>
    <x v="1"/>
    <x v="1"/>
    <n v="28"/>
    <x v="0"/>
    <n v="3"/>
    <n v="25"/>
    <n v="75"/>
    <n v="1.125"/>
    <n v="1.5"/>
  </r>
  <r>
    <n v="921"/>
    <n v="7"/>
    <n v="1"/>
    <n v="2023"/>
    <s v="Saturday"/>
    <s v="January"/>
    <s v="2023"/>
    <d v="2023-01-07T00:00:00"/>
    <s v="CUST921"/>
    <x v="0"/>
    <x v="2"/>
    <n v="51"/>
    <x v="1"/>
    <n v="3"/>
    <n v="25"/>
    <n v="75"/>
    <n v="1.125"/>
    <n v="1.5"/>
  </r>
  <r>
    <n v="922"/>
    <n v="21"/>
    <n v="10"/>
    <n v="2023"/>
    <s v="Saturday"/>
    <s v="October"/>
    <s v="2023"/>
    <d v="2023-10-21T00:00:00"/>
    <s v="CUST922"/>
    <x v="0"/>
    <x v="0"/>
    <n v="41"/>
    <x v="1"/>
    <n v="1"/>
    <n v="50"/>
    <n v="50"/>
    <n v="0.75"/>
    <n v="1"/>
  </r>
  <r>
    <n v="923"/>
    <n v="26"/>
    <n v="5"/>
    <n v="2023"/>
    <s v="Friday"/>
    <s v="May"/>
    <s v="2023"/>
    <d v="2023-05-26T00:00:00"/>
    <s v="CUST923"/>
    <x v="0"/>
    <x v="0"/>
    <n v="32"/>
    <x v="0"/>
    <n v="3"/>
    <n v="300"/>
    <n v="900"/>
    <n v="13.5"/>
    <n v="18"/>
  </r>
  <r>
    <n v="924"/>
    <n v="29"/>
    <n v="8"/>
    <n v="2023"/>
    <s v="Tuesday"/>
    <s v="August"/>
    <s v="2023"/>
    <d v="2023-08-29T00:00:00"/>
    <s v="CUST924"/>
    <x v="0"/>
    <x v="2"/>
    <n v="55"/>
    <x v="0"/>
    <n v="2"/>
    <n v="50"/>
    <n v="100"/>
    <n v="1.5"/>
    <n v="2"/>
  </r>
  <r>
    <n v="925"/>
    <n v="3"/>
    <n v="9"/>
    <n v="2023"/>
    <s v="Sunday"/>
    <s v="September"/>
    <s v="2023"/>
    <d v="2023-09-03T00:00:00"/>
    <s v="CUST925"/>
    <x v="0"/>
    <x v="1"/>
    <n v="25"/>
    <x v="1"/>
    <n v="1"/>
    <n v="300"/>
    <n v="300"/>
    <n v="4.5"/>
    <n v="6"/>
  </r>
  <r>
    <n v="926"/>
    <n v="14"/>
    <n v="8"/>
    <n v="2023"/>
    <s v="Monday"/>
    <s v="August"/>
    <s v="2023"/>
    <d v="2023-08-14T00:00:00"/>
    <s v="CUST926"/>
    <x v="0"/>
    <x v="1"/>
    <n v="22"/>
    <x v="1"/>
    <n v="1"/>
    <n v="30"/>
    <n v="30"/>
    <n v="0.44999999999999996"/>
    <n v="0.6"/>
  </r>
  <r>
    <n v="927"/>
    <n v="24"/>
    <n v="6"/>
    <n v="2023"/>
    <s v="Saturday"/>
    <s v="June"/>
    <s v="2023"/>
    <d v="2023-06-24T00:00:00"/>
    <s v="CUST927"/>
    <x v="0"/>
    <x v="0"/>
    <n v="43"/>
    <x v="1"/>
    <n v="4"/>
    <n v="500"/>
    <n v="2000"/>
    <n v="30"/>
    <n v="40"/>
  </r>
  <r>
    <n v="928"/>
    <n v="5"/>
    <n v="4"/>
    <n v="2023"/>
    <s v="Wednesday"/>
    <s v="April"/>
    <s v="2023"/>
    <d v="2023-04-05T00:00:00"/>
    <s v="CUST928"/>
    <x v="1"/>
    <x v="0"/>
    <n v="35"/>
    <x v="2"/>
    <n v="4"/>
    <n v="300"/>
    <n v="1200"/>
    <n v="18"/>
    <n v="24"/>
  </r>
  <r>
    <n v="929"/>
    <n v="27"/>
    <n v="1"/>
    <n v="2023"/>
    <s v="Friday"/>
    <s v="January"/>
    <s v="2023"/>
    <d v="2023-01-27T00:00:00"/>
    <s v="CUST929"/>
    <x v="1"/>
    <x v="1"/>
    <n v="23"/>
    <x v="0"/>
    <n v="3"/>
    <n v="25"/>
    <n v="75"/>
    <n v="1.125"/>
    <n v="1.5"/>
  </r>
  <r>
    <n v="930"/>
    <n v="10"/>
    <n v="5"/>
    <n v="2023"/>
    <s v="Wednesday"/>
    <s v="May"/>
    <s v="2023"/>
    <d v="2023-05-10T00:00:00"/>
    <s v="CUST930"/>
    <x v="0"/>
    <x v="2"/>
    <n v="54"/>
    <x v="2"/>
    <n v="4"/>
    <n v="50"/>
    <n v="200"/>
    <n v="3"/>
    <n v="4"/>
  </r>
  <r>
    <n v="931"/>
    <n v="2"/>
    <n v="9"/>
    <n v="2023"/>
    <s v="Saturday"/>
    <s v="September"/>
    <s v="2023"/>
    <d v="2023-09-02T00:00:00"/>
    <s v="CUST931"/>
    <x v="0"/>
    <x v="0"/>
    <n v="30"/>
    <x v="0"/>
    <n v="4"/>
    <n v="30"/>
    <n v="120"/>
    <n v="1.7999999999999998"/>
    <n v="2.4"/>
  </r>
  <r>
    <n v="932"/>
    <n v="28"/>
    <n v="2"/>
    <n v="2023"/>
    <s v="Tuesday"/>
    <s v="February"/>
    <s v="2023"/>
    <d v="2023-02-28T00:00:00"/>
    <s v="CUST932"/>
    <x v="1"/>
    <x v="0"/>
    <n v="45"/>
    <x v="0"/>
    <n v="4"/>
    <n v="25"/>
    <n v="100"/>
    <n v="1.5"/>
    <n v="2"/>
  </r>
  <r>
    <n v="933"/>
    <n v="3"/>
    <n v="2"/>
    <n v="2023"/>
    <s v="Friday"/>
    <s v="February"/>
    <s v="2023"/>
    <d v="2023-02-03T00:00:00"/>
    <s v="CUST933"/>
    <x v="0"/>
    <x v="1"/>
    <n v="22"/>
    <x v="0"/>
    <n v="1"/>
    <n v="30"/>
    <n v="30"/>
    <n v="0.44999999999999996"/>
    <n v="0.6"/>
  </r>
  <r>
    <n v="934"/>
    <n v="25"/>
    <n v="7"/>
    <n v="2023"/>
    <s v="Tuesday"/>
    <s v="July"/>
    <s v="2023"/>
    <d v="2023-07-25T00:00:00"/>
    <s v="CUST934"/>
    <x v="0"/>
    <x v="0"/>
    <n v="30"/>
    <x v="0"/>
    <n v="1"/>
    <n v="500"/>
    <n v="500"/>
    <n v="7.5"/>
    <n v="10"/>
  </r>
  <r>
    <n v="935"/>
    <n v="9"/>
    <n v="9"/>
    <n v="2023"/>
    <s v="Saturday"/>
    <s v="September"/>
    <s v="2023"/>
    <d v="2023-09-09T00:00:00"/>
    <s v="CUST935"/>
    <x v="1"/>
    <x v="0"/>
    <n v="34"/>
    <x v="0"/>
    <n v="1"/>
    <n v="50"/>
    <n v="50"/>
    <n v="0.75"/>
    <n v="1"/>
  </r>
  <r>
    <n v="936"/>
    <n v="7"/>
    <n v="2"/>
    <n v="2023"/>
    <s v="Tuesday"/>
    <s v="February"/>
    <s v="2023"/>
    <d v="2023-02-07T00:00:00"/>
    <s v="CUST936"/>
    <x v="0"/>
    <x v="2"/>
    <n v="57"/>
    <x v="0"/>
    <n v="4"/>
    <n v="50"/>
    <n v="200"/>
    <n v="3"/>
    <n v="4"/>
  </r>
  <r>
    <n v="937"/>
    <n v="23"/>
    <n v="10"/>
    <n v="2023"/>
    <s v="Monday"/>
    <s v="October"/>
    <s v="2023"/>
    <d v="2023-10-23T00:00:00"/>
    <s v="CUST937"/>
    <x v="1"/>
    <x v="2"/>
    <n v="62"/>
    <x v="0"/>
    <n v="1"/>
    <n v="500"/>
    <n v="500"/>
    <n v="7.5"/>
    <n v="10"/>
  </r>
  <r>
    <n v="938"/>
    <n v="19"/>
    <n v="11"/>
    <n v="2023"/>
    <s v="Sunday"/>
    <s v="November"/>
    <s v="2023"/>
    <d v="2023-11-19T00:00:00"/>
    <s v="CUST938"/>
    <x v="0"/>
    <x v="0"/>
    <n v="49"/>
    <x v="2"/>
    <n v="4"/>
    <n v="50"/>
    <n v="200"/>
    <n v="3"/>
    <n v="4"/>
  </r>
  <r>
    <n v="939"/>
    <n v="18"/>
    <n v="12"/>
    <n v="2023"/>
    <s v="Monday"/>
    <s v="December"/>
    <s v="2023"/>
    <d v="2023-12-18T00:00:00"/>
    <s v="CUST939"/>
    <x v="1"/>
    <x v="0"/>
    <n v="46"/>
    <x v="1"/>
    <n v="1"/>
    <n v="300"/>
    <n v="300"/>
    <n v="4.5"/>
    <n v="6"/>
  </r>
  <r>
    <n v="940"/>
    <n v="28"/>
    <n v="1"/>
    <n v="2023"/>
    <s v="Saturday"/>
    <s v="January"/>
    <s v="2023"/>
    <d v="2023-01-28T00:00:00"/>
    <s v="CUST940"/>
    <x v="1"/>
    <x v="1"/>
    <n v="20"/>
    <x v="1"/>
    <n v="1"/>
    <n v="30"/>
    <n v="30"/>
    <n v="0.44999999999999996"/>
    <n v="0.6"/>
  </r>
  <r>
    <n v="941"/>
    <n v="19"/>
    <n v="3"/>
    <n v="2023"/>
    <s v="Sunday"/>
    <s v="March"/>
    <s v="2023"/>
    <d v="2023-03-19T00:00:00"/>
    <s v="CUST941"/>
    <x v="1"/>
    <x v="2"/>
    <n v="57"/>
    <x v="2"/>
    <n v="2"/>
    <n v="25"/>
    <n v="50"/>
    <n v="0.75"/>
    <n v="1"/>
  </r>
  <r>
    <n v="942"/>
    <n v="18"/>
    <n v="3"/>
    <n v="2023"/>
    <s v="Saturday"/>
    <s v="March"/>
    <s v="2023"/>
    <d v="2023-03-18T00:00:00"/>
    <s v="CUST942"/>
    <x v="0"/>
    <x v="2"/>
    <n v="51"/>
    <x v="2"/>
    <n v="3"/>
    <n v="500"/>
    <n v="1500"/>
    <n v="22.5"/>
    <n v="30"/>
  </r>
  <r>
    <n v="943"/>
    <n v="16"/>
    <n v="10"/>
    <n v="2023"/>
    <s v="Monday"/>
    <s v="October"/>
    <s v="2023"/>
    <d v="2023-10-16T00:00:00"/>
    <s v="CUST943"/>
    <x v="1"/>
    <x v="2"/>
    <n v="57"/>
    <x v="2"/>
    <n v="4"/>
    <n v="300"/>
    <n v="1200"/>
    <n v="18"/>
    <n v="24"/>
  </r>
  <r>
    <n v="944"/>
    <n v="5"/>
    <n v="6"/>
    <n v="2023"/>
    <s v="Monday"/>
    <s v="June"/>
    <s v="2023"/>
    <d v="2023-06-05T00:00:00"/>
    <s v="CUST944"/>
    <x v="0"/>
    <x v="0"/>
    <n v="44"/>
    <x v="2"/>
    <n v="2"/>
    <n v="25"/>
    <n v="50"/>
    <n v="0.75"/>
    <n v="1"/>
  </r>
  <r>
    <n v="945"/>
    <n v="13"/>
    <n v="2"/>
    <n v="2023"/>
    <s v="Monday"/>
    <s v="February"/>
    <s v="2023"/>
    <d v="2023-02-13T00:00:00"/>
    <s v="CUST945"/>
    <x v="0"/>
    <x v="0"/>
    <n v="30"/>
    <x v="0"/>
    <n v="1"/>
    <n v="25"/>
    <n v="25"/>
    <n v="0.375"/>
    <n v="0.5"/>
  </r>
  <r>
    <n v="946"/>
    <n v="8"/>
    <n v="5"/>
    <n v="2023"/>
    <s v="Monday"/>
    <s v="May"/>
    <s v="2023"/>
    <d v="2023-05-08T00:00:00"/>
    <s v="CUST946"/>
    <x v="0"/>
    <x v="2"/>
    <n v="62"/>
    <x v="1"/>
    <n v="4"/>
    <n v="500"/>
    <n v="2000"/>
    <n v="30"/>
    <n v="40"/>
  </r>
  <r>
    <n v="947"/>
    <n v="2"/>
    <n v="3"/>
    <n v="2023"/>
    <s v="Thursday"/>
    <s v="March"/>
    <s v="2023"/>
    <d v="2023-03-02T00:00:00"/>
    <s v="CUST947"/>
    <x v="0"/>
    <x v="0"/>
    <n v="50"/>
    <x v="0"/>
    <n v="1"/>
    <n v="300"/>
    <n v="300"/>
    <n v="4.5"/>
    <n v="6"/>
  </r>
  <r>
    <n v="948"/>
    <n v="13"/>
    <n v="10"/>
    <n v="2023"/>
    <s v="Friday"/>
    <s v="October"/>
    <s v="2023"/>
    <d v="2023-10-13T00:00:00"/>
    <s v="CUST948"/>
    <x v="1"/>
    <x v="1"/>
    <n v="23"/>
    <x v="1"/>
    <n v="3"/>
    <n v="25"/>
    <n v="75"/>
    <n v="1.125"/>
    <n v="1.5"/>
  </r>
  <r>
    <n v="949"/>
    <n v="2"/>
    <n v="8"/>
    <n v="2023"/>
    <s v="Wednesday"/>
    <s v="August"/>
    <s v="2023"/>
    <d v="2023-08-02T00:00:00"/>
    <s v="CUST949"/>
    <x v="1"/>
    <x v="0"/>
    <n v="41"/>
    <x v="1"/>
    <n v="2"/>
    <n v="25"/>
    <n v="50"/>
    <n v="0.75"/>
    <n v="1"/>
  </r>
  <r>
    <n v="950"/>
    <n v="7"/>
    <n v="11"/>
    <n v="2023"/>
    <s v="Tuesday"/>
    <s v="November"/>
    <s v="2023"/>
    <d v="2023-11-07T00:00:00"/>
    <s v="CUST950"/>
    <x v="0"/>
    <x v="0"/>
    <n v="36"/>
    <x v="2"/>
    <n v="3"/>
    <n v="300"/>
    <n v="900"/>
    <n v="13.5"/>
    <n v="18"/>
  </r>
  <r>
    <n v="951"/>
    <n v="2"/>
    <n v="11"/>
    <n v="2023"/>
    <s v="Thursday"/>
    <s v="November"/>
    <s v="2023"/>
    <d v="2023-11-02T00:00:00"/>
    <s v="CUST951"/>
    <x v="0"/>
    <x v="0"/>
    <n v="33"/>
    <x v="0"/>
    <n v="2"/>
    <n v="50"/>
    <n v="100"/>
    <n v="1.5"/>
    <n v="2"/>
  </r>
  <r>
    <n v="952"/>
    <n v="13"/>
    <n v="11"/>
    <n v="2023"/>
    <s v="Monday"/>
    <s v="November"/>
    <s v="2023"/>
    <d v="2023-11-13T00:00:00"/>
    <s v="CUST952"/>
    <x v="1"/>
    <x v="2"/>
    <n v="57"/>
    <x v="2"/>
    <n v="1"/>
    <n v="25"/>
    <n v="25"/>
    <n v="0.375"/>
    <n v="0.5"/>
  </r>
  <r>
    <n v="953"/>
    <n v="26"/>
    <n v="4"/>
    <n v="2023"/>
    <s v="Wednesday"/>
    <s v="April"/>
    <s v="2023"/>
    <d v="2023-04-26T00:00:00"/>
    <s v="CUST953"/>
    <x v="0"/>
    <x v="0"/>
    <n v="45"/>
    <x v="0"/>
    <n v="3"/>
    <n v="30"/>
    <n v="90"/>
    <n v="1.3499999999999999"/>
    <n v="1.8"/>
  </r>
  <r>
    <n v="954"/>
    <n v="25"/>
    <n v="9"/>
    <n v="2023"/>
    <s v="Monday"/>
    <s v="September"/>
    <s v="2023"/>
    <d v="2023-09-25T00:00:00"/>
    <s v="CUST954"/>
    <x v="1"/>
    <x v="0"/>
    <n v="50"/>
    <x v="1"/>
    <n v="3"/>
    <n v="300"/>
    <n v="900"/>
    <n v="13.5"/>
    <n v="18"/>
  </r>
  <r>
    <n v="955"/>
    <n v="14"/>
    <n v="7"/>
    <n v="2023"/>
    <s v="Friday"/>
    <s v="July"/>
    <s v="2023"/>
    <d v="2023-07-14T00:00:00"/>
    <s v="CUST955"/>
    <x v="0"/>
    <x v="2"/>
    <n v="58"/>
    <x v="2"/>
    <n v="1"/>
    <n v="25"/>
    <n v="25"/>
    <n v="0.375"/>
    <n v="0.5"/>
  </r>
  <r>
    <n v="956"/>
    <n v="19"/>
    <n v="8"/>
    <n v="2023"/>
    <s v="Saturday"/>
    <s v="August"/>
    <s v="2023"/>
    <d v="2023-08-19T00:00:00"/>
    <s v="CUST956"/>
    <x v="0"/>
    <x v="0"/>
    <n v="30"/>
    <x v="2"/>
    <n v="3"/>
    <n v="500"/>
    <n v="1500"/>
    <n v="22.5"/>
    <n v="30"/>
  </r>
  <r>
    <n v="957"/>
    <n v="15"/>
    <n v="8"/>
    <n v="2023"/>
    <s v="Tuesday"/>
    <s v="August"/>
    <s v="2023"/>
    <d v="2023-08-15T00:00:00"/>
    <s v="CUST957"/>
    <x v="1"/>
    <x v="2"/>
    <n v="60"/>
    <x v="1"/>
    <n v="4"/>
    <n v="30"/>
    <n v="120"/>
    <n v="1.7999999999999998"/>
    <n v="2.4"/>
  </r>
  <r>
    <n v="958"/>
    <n v="2"/>
    <n v="6"/>
    <n v="2023"/>
    <s v="Friday"/>
    <s v="June"/>
    <s v="2023"/>
    <d v="2023-06-02T00:00:00"/>
    <s v="CUST958"/>
    <x v="0"/>
    <x v="2"/>
    <n v="62"/>
    <x v="1"/>
    <n v="2"/>
    <n v="25"/>
    <n v="50"/>
    <n v="0.75"/>
    <n v="1"/>
  </r>
  <r>
    <n v="959"/>
    <n v="29"/>
    <n v="10"/>
    <n v="2023"/>
    <s v="Sunday"/>
    <s v="October"/>
    <s v="2023"/>
    <d v="2023-10-29T00:00:00"/>
    <s v="CUST959"/>
    <x v="1"/>
    <x v="0"/>
    <n v="42"/>
    <x v="1"/>
    <n v="2"/>
    <n v="30"/>
    <n v="60"/>
    <n v="0.89999999999999991"/>
    <n v="1.2"/>
  </r>
  <r>
    <n v="960"/>
    <n v="8"/>
    <n v="8"/>
    <n v="2023"/>
    <s v="Tuesday"/>
    <s v="August"/>
    <s v="2023"/>
    <d v="2023-08-08T00:00:00"/>
    <s v="CUST960"/>
    <x v="0"/>
    <x v="2"/>
    <n v="59"/>
    <x v="2"/>
    <n v="2"/>
    <n v="30"/>
    <n v="60"/>
    <n v="0.89999999999999991"/>
    <n v="1.2"/>
  </r>
  <r>
    <n v="961"/>
    <n v="6"/>
    <n v="6"/>
    <n v="2023"/>
    <s v="Tuesday"/>
    <s v="June"/>
    <s v="2023"/>
    <d v="2023-06-06T00:00:00"/>
    <s v="CUST961"/>
    <x v="0"/>
    <x v="2"/>
    <n v="53"/>
    <x v="0"/>
    <n v="4"/>
    <n v="50"/>
    <n v="200"/>
    <n v="3"/>
    <n v="4"/>
  </r>
  <r>
    <n v="962"/>
    <n v="19"/>
    <n v="10"/>
    <n v="2023"/>
    <s v="Thursday"/>
    <s v="October"/>
    <s v="2023"/>
    <d v="2023-10-19T00:00:00"/>
    <s v="CUST962"/>
    <x v="0"/>
    <x v="0"/>
    <n v="44"/>
    <x v="2"/>
    <n v="2"/>
    <n v="30"/>
    <n v="60"/>
    <n v="0.89999999999999991"/>
    <n v="1.2"/>
  </r>
  <r>
    <n v="963"/>
    <n v="14"/>
    <n v="11"/>
    <n v="2023"/>
    <s v="Tuesday"/>
    <s v="November"/>
    <s v="2023"/>
    <d v="2023-11-14T00:00:00"/>
    <s v="CUST963"/>
    <x v="1"/>
    <x v="2"/>
    <n v="55"/>
    <x v="0"/>
    <n v="1"/>
    <n v="50"/>
    <n v="50"/>
    <n v="0.75"/>
    <n v="1"/>
  </r>
  <r>
    <n v="964"/>
    <n v="31"/>
    <n v="1"/>
    <n v="2023"/>
    <s v="Tuesday"/>
    <s v="January"/>
    <s v="2023"/>
    <d v="2023-01-31T00:00:00"/>
    <s v="CUST964"/>
    <x v="0"/>
    <x v="1"/>
    <n v="24"/>
    <x v="2"/>
    <n v="3"/>
    <n v="300"/>
    <n v="900"/>
    <n v="13.5"/>
    <n v="18"/>
  </r>
  <r>
    <n v="965"/>
    <n v="9"/>
    <n v="11"/>
    <n v="2023"/>
    <s v="Thursday"/>
    <s v="November"/>
    <s v="2023"/>
    <d v="2023-11-09T00:00:00"/>
    <s v="CUST965"/>
    <x v="0"/>
    <x v="1"/>
    <n v="22"/>
    <x v="2"/>
    <n v="4"/>
    <n v="50"/>
    <n v="200"/>
    <n v="3"/>
    <n v="4"/>
  </r>
  <r>
    <n v="966"/>
    <n v="20"/>
    <n v="2"/>
    <n v="2023"/>
    <s v="Monday"/>
    <s v="February"/>
    <s v="2023"/>
    <d v="2023-02-20T00:00:00"/>
    <s v="CUST966"/>
    <x v="0"/>
    <x v="2"/>
    <n v="60"/>
    <x v="1"/>
    <n v="2"/>
    <n v="500"/>
    <n v="1000"/>
    <n v="15"/>
    <n v="20"/>
  </r>
  <r>
    <n v="967"/>
    <n v="17"/>
    <n v="4"/>
    <n v="2023"/>
    <s v="Monday"/>
    <s v="April"/>
    <s v="2023"/>
    <d v="2023-04-17T00:00:00"/>
    <s v="CUST967"/>
    <x v="0"/>
    <x v="2"/>
    <n v="62"/>
    <x v="0"/>
    <n v="1"/>
    <n v="25"/>
    <n v="25"/>
    <n v="0.375"/>
    <n v="0.5"/>
  </r>
  <r>
    <n v="968"/>
    <n v="17"/>
    <n v="11"/>
    <n v="2023"/>
    <s v="Friday"/>
    <s v="November"/>
    <s v="2023"/>
    <d v="2023-11-17T00:00:00"/>
    <s v="CUST968"/>
    <x v="1"/>
    <x v="0"/>
    <n v="48"/>
    <x v="2"/>
    <n v="3"/>
    <n v="300"/>
    <n v="900"/>
    <n v="13.5"/>
    <n v="18"/>
  </r>
  <r>
    <n v="969"/>
    <n v="19"/>
    <n v="4"/>
    <n v="2023"/>
    <s v="Wednesday"/>
    <s v="April"/>
    <s v="2023"/>
    <d v="2023-04-19T00:00:00"/>
    <s v="CUST969"/>
    <x v="1"/>
    <x v="0"/>
    <n v="40"/>
    <x v="2"/>
    <n v="3"/>
    <n v="300"/>
    <n v="900"/>
    <n v="13.5"/>
    <n v="18"/>
  </r>
  <r>
    <n v="970"/>
    <n v="16"/>
    <n v="5"/>
    <n v="2023"/>
    <s v="Tuesday"/>
    <s v="May"/>
    <s v="2023"/>
    <d v="2023-05-16T00:00:00"/>
    <s v="CUST970"/>
    <x v="0"/>
    <x v="2"/>
    <n v="59"/>
    <x v="1"/>
    <n v="4"/>
    <n v="500"/>
    <n v="2000"/>
    <n v="30"/>
    <n v="40"/>
  </r>
  <r>
    <n v="971"/>
    <n v="5"/>
    <n v="12"/>
    <n v="2023"/>
    <s v="Tuesday"/>
    <s v="December"/>
    <s v="2023"/>
    <d v="2023-12-05T00:00:00"/>
    <s v="CUST971"/>
    <x v="1"/>
    <x v="1"/>
    <n v="27"/>
    <x v="1"/>
    <n v="4"/>
    <n v="50"/>
    <n v="200"/>
    <n v="3"/>
    <n v="4"/>
  </r>
  <r>
    <n v="972"/>
    <n v="11"/>
    <n v="2"/>
    <n v="2023"/>
    <s v="Saturday"/>
    <s v="February"/>
    <s v="2023"/>
    <d v="2023-02-11T00:00:00"/>
    <s v="CUST972"/>
    <x v="0"/>
    <x v="0"/>
    <n v="49"/>
    <x v="0"/>
    <n v="4"/>
    <n v="25"/>
    <n v="100"/>
    <n v="1.5"/>
    <n v="2"/>
  </r>
  <r>
    <n v="973"/>
    <n v="22"/>
    <n v="3"/>
    <n v="2023"/>
    <s v="Wednesday"/>
    <s v="March"/>
    <s v="2023"/>
    <d v="2023-03-22T00:00:00"/>
    <s v="CUST973"/>
    <x v="0"/>
    <x v="2"/>
    <n v="60"/>
    <x v="2"/>
    <n v="1"/>
    <n v="50"/>
    <n v="50"/>
    <n v="0.75"/>
    <n v="1"/>
  </r>
  <r>
    <n v="974"/>
    <n v="3"/>
    <n v="5"/>
    <n v="2023"/>
    <s v="Wednesday"/>
    <s v="May"/>
    <s v="2023"/>
    <d v="2023-05-03T00:00:00"/>
    <s v="CUST974"/>
    <x v="0"/>
    <x v="0"/>
    <n v="47"/>
    <x v="0"/>
    <n v="1"/>
    <n v="30"/>
    <n v="30"/>
    <n v="0.44999999999999996"/>
    <n v="0.6"/>
  </r>
  <r>
    <n v="975"/>
    <n v="30"/>
    <n v="3"/>
    <n v="2023"/>
    <s v="Thursday"/>
    <s v="March"/>
    <s v="2023"/>
    <d v="2023-03-30T00:00:00"/>
    <s v="CUST975"/>
    <x v="1"/>
    <x v="2"/>
    <n v="56"/>
    <x v="2"/>
    <n v="4"/>
    <n v="50"/>
    <n v="200"/>
    <n v="3"/>
    <n v="4"/>
  </r>
  <r>
    <n v="976"/>
    <n v="10"/>
    <n v="10"/>
    <n v="2023"/>
    <s v="Tuesday"/>
    <s v="October"/>
    <s v="2023"/>
    <d v="2023-10-10T00:00:00"/>
    <s v="CUST976"/>
    <x v="1"/>
    <x v="0"/>
    <n v="48"/>
    <x v="0"/>
    <n v="2"/>
    <n v="300"/>
    <n v="600"/>
    <n v="9"/>
    <n v="12"/>
  </r>
  <r>
    <n v="977"/>
    <n v="8"/>
    <n v="2"/>
    <n v="2023"/>
    <s v="Wednesday"/>
    <s v="February"/>
    <s v="2023"/>
    <d v="2023-02-08T00:00:00"/>
    <s v="CUST977"/>
    <x v="1"/>
    <x v="0"/>
    <n v="35"/>
    <x v="1"/>
    <n v="3"/>
    <n v="25"/>
    <n v="75"/>
    <n v="1.125"/>
    <n v="1.5"/>
  </r>
  <r>
    <n v="978"/>
    <n v="22"/>
    <n v="3"/>
    <n v="2023"/>
    <s v="Wednesday"/>
    <s v="March"/>
    <s v="2023"/>
    <d v="2023-03-22T00:00:00"/>
    <s v="CUST978"/>
    <x v="1"/>
    <x v="2"/>
    <n v="53"/>
    <x v="2"/>
    <n v="3"/>
    <n v="50"/>
    <n v="150"/>
    <n v="2.25"/>
    <n v="3"/>
  </r>
  <r>
    <n v="979"/>
    <n v="2"/>
    <n v="1"/>
    <n v="2023"/>
    <s v="Monday"/>
    <s v="January"/>
    <s v="2023"/>
    <d v="2023-01-02T00:00:00"/>
    <s v="CUST979"/>
    <x v="1"/>
    <x v="1"/>
    <n v="19"/>
    <x v="0"/>
    <n v="1"/>
    <n v="25"/>
    <n v="25"/>
    <n v="0.375"/>
    <n v="0.5"/>
  </r>
  <r>
    <n v="980"/>
    <n v="29"/>
    <n v="7"/>
    <n v="2023"/>
    <s v="Saturday"/>
    <s v="July"/>
    <s v="2023"/>
    <d v="2023-07-29T00:00:00"/>
    <s v="CUST980"/>
    <x v="1"/>
    <x v="0"/>
    <n v="31"/>
    <x v="1"/>
    <n v="3"/>
    <n v="25"/>
    <n v="75"/>
    <n v="1.125"/>
    <n v="1.5"/>
  </r>
  <r>
    <n v="981"/>
    <n v="19"/>
    <n v="8"/>
    <n v="2023"/>
    <s v="Saturday"/>
    <s v="August"/>
    <s v="2023"/>
    <d v="2023-08-19T00:00:00"/>
    <s v="CUST981"/>
    <x v="1"/>
    <x v="0"/>
    <n v="30"/>
    <x v="1"/>
    <n v="2"/>
    <n v="30"/>
    <n v="60"/>
    <n v="0.89999999999999991"/>
    <n v="1.2"/>
  </r>
  <r>
    <n v="982"/>
    <n v="19"/>
    <n v="12"/>
    <n v="2023"/>
    <s v="Tuesday"/>
    <s v="December"/>
    <s v="2023"/>
    <d v="2023-12-19T00:00:00"/>
    <s v="CUST982"/>
    <x v="1"/>
    <x v="0"/>
    <n v="46"/>
    <x v="0"/>
    <n v="3"/>
    <n v="30"/>
    <n v="90"/>
    <n v="1.3499999999999999"/>
    <n v="1.8"/>
  </r>
  <r>
    <n v="983"/>
    <n v="1"/>
    <n v="11"/>
    <n v="2023"/>
    <s v="Wednesday"/>
    <s v="November"/>
    <s v="2023"/>
    <d v="2023-11-01T00:00:00"/>
    <s v="CUST983"/>
    <x v="1"/>
    <x v="1"/>
    <n v="29"/>
    <x v="2"/>
    <n v="1"/>
    <n v="300"/>
    <n v="300"/>
    <n v="4.5"/>
    <n v="6"/>
  </r>
  <r>
    <n v="984"/>
    <n v="29"/>
    <n v="8"/>
    <n v="2023"/>
    <s v="Tuesday"/>
    <s v="August"/>
    <s v="2023"/>
    <d v="2023-08-29T00:00:00"/>
    <s v="CUST984"/>
    <x v="0"/>
    <x v="2"/>
    <n v="56"/>
    <x v="2"/>
    <n v="1"/>
    <n v="500"/>
    <n v="500"/>
    <n v="7.5"/>
    <n v="10"/>
  </r>
  <r>
    <n v="985"/>
    <n v="30"/>
    <n v="5"/>
    <n v="2023"/>
    <s v="Tuesday"/>
    <s v="May"/>
    <s v="2023"/>
    <d v="2023-05-30T00:00:00"/>
    <s v="CUST985"/>
    <x v="1"/>
    <x v="1"/>
    <n v="19"/>
    <x v="1"/>
    <n v="2"/>
    <n v="25"/>
    <n v="50"/>
    <n v="0.75"/>
    <n v="1"/>
  </r>
  <r>
    <n v="986"/>
    <n v="17"/>
    <n v="1"/>
    <n v="2023"/>
    <s v="Tuesday"/>
    <s v="January"/>
    <s v="2023"/>
    <d v="2023-01-17T00:00:00"/>
    <s v="CUST986"/>
    <x v="1"/>
    <x v="0"/>
    <n v="49"/>
    <x v="2"/>
    <n v="2"/>
    <n v="500"/>
    <n v="1000"/>
    <n v="15"/>
    <n v="20"/>
  </r>
  <r>
    <n v="987"/>
    <n v="29"/>
    <n v="4"/>
    <n v="2023"/>
    <s v="Saturday"/>
    <s v="April"/>
    <s v="2023"/>
    <d v="2023-04-29T00:00:00"/>
    <s v="CUST987"/>
    <x v="1"/>
    <x v="0"/>
    <n v="30"/>
    <x v="2"/>
    <n v="3"/>
    <n v="300"/>
    <n v="900"/>
    <n v="13.5"/>
    <n v="18"/>
  </r>
  <r>
    <n v="988"/>
    <n v="28"/>
    <n v="5"/>
    <n v="2023"/>
    <s v="Sunday"/>
    <s v="May"/>
    <s v="2023"/>
    <d v="2023-05-28T00:00:00"/>
    <s v="CUST988"/>
    <x v="1"/>
    <x v="2"/>
    <n v="63"/>
    <x v="2"/>
    <n v="3"/>
    <n v="25"/>
    <n v="75"/>
    <n v="1.125"/>
    <n v="1.5"/>
  </r>
  <r>
    <n v="989"/>
    <n v="28"/>
    <n v="12"/>
    <n v="2023"/>
    <s v="Thursday"/>
    <s v="December"/>
    <s v="2023"/>
    <d v="2023-12-28T00:00:00"/>
    <s v="CUST989"/>
    <x v="1"/>
    <x v="0"/>
    <n v="44"/>
    <x v="1"/>
    <n v="1"/>
    <n v="25"/>
    <n v="25"/>
    <n v="0.375"/>
    <n v="0.5"/>
  </r>
  <r>
    <n v="990"/>
    <n v="25"/>
    <n v="5"/>
    <n v="2023"/>
    <s v="Thursday"/>
    <s v="May"/>
    <s v="2023"/>
    <d v="2023-05-25T00:00:00"/>
    <s v="CUST990"/>
    <x v="1"/>
    <x v="2"/>
    <n v="58"/>
    <x v="0"/>
    <n v="2"/>
    <n v="500"/>
    <n v="1000"/>
    <n v="15"/>
    <n v="20"/>
  </r>
  <r>
    <n v="991"/>
    <n v="26"/>
    <n v="12"/>
    <n v="2023"/>
    <s v="Tuesday"/>
    <s v="December"/>
    <s v="2023"/>
    <d v="2023-12-26T00:00:00"/>
    <s v="CUST991"/>
    <x v="1"/>
    <x v="0"/>
    <n v="34"/>
    <x v="2"/>
    <n v="2"/>
    <n v="50"/>
    <n v="100"/>
    <n v="1.5"/>
    <n v="2"/>
  </r>
  <r>
    <n v="992"/>
    <n v="21"/>
    <n v="8"/>
    <n v="2023"/>
    <s v="Monday"/>
    <s v="August"/>
    <s v="2023"/>
    <d v="2023-08-21T00:00:00"/>
    <s v="CUST992"/>
    <x v="1"/>
    <x v="2"/>
    <n v="57"/>
    <x v="1"/>
    <n v="2"/>
    <n v="30"/>
    <n v="60"/>
    <n v="0.89999999999999991"/>
    <n v="1.2"/>
  </r>
  <r>
    <n v="993"/>
    <n v="6"/>
    <n v="2"/>
    <n v="2023"/>
    <s v="Monday"/>
    <s v="February"/>
    <s v="2023"/>
    <d v="2023-02-06T00:00:00"/>
    <s v="CUST993"/>
    <x v="1"/>
    <x v="0"/>
    <n v="48"/>
    <x v="1"/>
    <n v="3"/>
    <n v="50"/>
    <n v="150"/>
    <n v="2.25"/>
    <n v="3"/>
  </r>
  <r>
    <n v="994"/>
    <n v="18"/>
    <n v="12"/>
    <n v="2023"/>
    <s v="Monday"/>
    <s v="December"/>
    <s v="2023"/>
    <d v="2023-12-18T00:00:00"/>
    <s v="CUST994"/>
    <x v="1"/>
    <x v="2"/>
    <n v="51"/>
    <x v="0"/>
    <n v="2"/>
    <n v="500"/>
    <n v="1000"/>
    <n v="15"/>
    <n v="20"/>
  </r>
  <r>
    <n v="995"/>
    <n v="30"/>
    <n v="4"/>
    <n v="2023"/>
    <s v="Sunday"/>
    <s v="April"/>
    <s v="2023"/>
    <d v="2023-04-30T00:00:00"/>
    <s v="CUST995"/>
    <x v="1"/>
    <x v="0"/>
    <n v="41"/>
    <x v="2"/>
    <n v="1"/>
    <n v="30"/>
    <n v="30"/>
    <n v="0.44999999999999996"/>
    <n v="0.6"/>
  </r>
  <r>
    <n v="996"/>
    <n v="16"/>
    <n v="5"/>
    <n v="2023"/>
    <s v="Tuesday"/>
    <s v="May"/>
    <s v="2023"/>
    <d v="2023-05-16T00:00:00"/>
    <s v="CUST996"/>
    <x v="0"/>
    <x v="2"/>
    <n v="62"/>
    <x v="2"/>
    <n v="1"/>
    <n v="50"/>
    <n v="50"/>
    <n v="0.75"/>
    <n v="1"/>
  </r>
  <r>
    <n v="997"/>
    <n v="17"/>
    <n v="11"/>
    <n v="2023"/>
    <s v="Friday"/>
    <s v="November"/>
    <s v="2023"/>
    <d v="2023-11-17T00:00:00"/>
    <s v="CUST997"/>
    <x v="0"/>
    <x v="2"/>
    <n v="52"/>
    <x v="0"/>
    <n v="3"/>
    <n v="30"/>
    <n v="90"/>
    <n v="1.3499999999999999"/>
    <n v="1.8"/>
  </r>
  <r>
    <n v="998"/>
    <n v="29"/>
    <n v="10"/>
    <n v="2023"/>
    <s v="Sunday"/>
    <s v="October"/>
    <s v="2023"/>
    <d v="2023-10-29T00:00:00"/>
    <s v="CUST998"/>
    <x v="1"/>
    <x v="1"/>
    <n v="23"/>
    <x v="0"/>
    <n v="4"/>
    <n v="25"/>
    <n v="100"/>
    <n v="1.5"/>
    <n v="2"/>
  </r>
  <r>
    <n v="999"/>
    <n v="5"/>
    <n v="12"/>
    <n v="2023"/>
    <s v="Tuesday"/>
    <s v="December"/>
    <s v="2023"/>
    <d v="2023-12-05T00:00:00"/>
    <s v="CUST999"/>
    <x v="1"/>
    <x v="0"/>
    <n v="36"/>
    <x v="1"/>
    <n v="3"/>
    <n v="50"/>
    <n v="150"/>
    <n v="2.25"/>
    <n v="3"/>
  </r>
  <r>
    <n v="1000"/>
    <n v="12"/>
    <n v="4"/>
    <n v="2023"/>
    <s v="Wednesday"/>
    <s v="April"/>
    <s v="2023"/>
    <d v="2023-04-12T00:00:00"/>
    <s v="CUST1000"/>
    <x v="0"/>
    <x v="0"/>
    <n v="47"/>
    <x v="1"/>
    <n v="4"/>
    <n v="30"/>
    <n v="120"/>
    <n v="1.7999999999999998"/>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080DF5-D08B-478D-B046-8CD5A56695FC}" name="PivotTable1"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1:D16" firstHeaderRow="1" firstDataRow="2" firstDataCol="1"/>
  <pivotFields count="1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dataField="1" compact="0" outline="0" showAll="0"/>
    <pivotField compact="0" numFmtId="165" outline="0" showAll="0"/>
    <pivotField compact="0" numFmtId="165" outline="0" showAll="0"/>
  </pivotFields>
  <rowFields count="1">
    <field x="12"/>
  </rowFields>
  <rowItems count="4">
    <i>
      <x/>
    </i>
    <i>
      <x v="1"/>
    </i>
    <i>
      <x v="2"/>
    </i>
    <i t="grand">
      <x/>
    </i>
  </rowItems>
  <colFields count="1">
    <field x="9"/>
  </colFields>
  <colItems count="3">
    <i>
      <x/>
    </i>
    <i>
      <x v="1"/>
    </i>
    <i t="grand">
      <x/>
    </i>
  </colItems>
  <dataFields count="1">
    <dataField name="Sum of Total Sales" fld="15" showDataAs="percentOfTotal" baseField="0" baseItem="0" numFmtId="9"/>
  </dataFields>
  <formats count="13">
    <format dxfId="386">
      <pivotArea dataOnly="0" labelOnly="1" outline="0" axis="axisValues" fieldPosition="0"/>
    </format>
    <format dxfId="385">
      <pivotArea outline="0" fieldPosition="0">
        <references count="2">
          <reference field="9" count="1" selected="0">
            <x v="0"/>
          </reference>
          <reference field="12" count="1" selected="0">
            <x v="0"/>
          </reference>
        </references>
      </pivotArea>
    </format>
    <format dxfId="384">
      <pivotArea outline="0" collapsedLevelsAreSubtotals="1" fieldPosition="0"/>
    </format>
    <format dxfId="381">
      <pivotArea type="all" dataOnly="0" outline="0" fieldPosition="0"/>
    </format>
    <format dxfId="380">
      <pivotArea outline="0" collapsedLevelsAreSubtotals="1" fieldPosition="0"/>
    </format>
    <format dxfId="379">
      <pivotArea type="origin" dataOnly="0" labelOnly="1" outline="0" fieldPosition="0"/>
    </format>
    <format dxfId="378">
      <pivotArea field="9" type="button" dataOnly="0" labelOnly="1" outline="0" axis="axisCol" fieldPosition="0"/>
    </format>
    <format dxfId="377">
      <pivotArea type="topRight" dataOnly="0" labelOnly="1" outline="0" fieldPosition="0"/>
    </format>
    <format dxfId="376">
      <pivotArea field="12" type="button" dataOnly="0" labelOnly="1" outline="0" axis="axisRow" fieldPosition="0"/>
    </format>
    <format dxfId="375">
      <pivotArea dataOnly="0" labelOnly="1" outline="0" fieldPosition="0">
        <references count="1">
          <reference field="12" count="0"/>
        </references>
      </pivotArea>
    </format>
    <format dxfId="374">
      <pivotArea dataOnly="0" labelOnly="1" grandRow="1" outline="0" fieldPosition="0"/>
    </format>
    <format dxfId="373">
      <pivotArea dataOnly="0" labelOnly="1" outline="0" fieldPosition="0">
        <references count="1">
          <reference field="9" count="0"/>
        </references>
      </pivotArea>
    </format>
    <format dxfId="372">
      <pivotArea dataOnly="0" labelOnly="1" grandCol="1" outline="0" fieldPosition="0"/>
    </format>
  </formats>
  <chartFormats count="8">
    <chartFormat chart="1" format="2" series="1">
      <pivotArea type="data" outline="0" fieldPosition="0">
        <references count="2">
          <reference field="4294967294" count="1" selected="0">
            <x v="0"/>
          </reference>
          <reference field="9" count="1" selected="0">
            <x v="0"/>
          </reference>
        </references>
      </pivotArea>
    </chartFormat>
    <chartFormat chart="1" format="3" series="1">
      <pivotArea type="data" outline="0" fieldPosition="0">
        <references count="2">
          <reference field="4294967294" count="1" selected="0">
            <x v="0"/>
          </reference>
          <reference field="9" count="1" selected="0">
            <x v="1"/>
          </reference>
        </references>
      </pivotArea>
    </chartFormat>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 chart="3" format="6" series="1">
      <pivotArea type="data" outline="0" fieldPosition="0">
        <references count="2">
          <reference field="4294967294" count="1" selected="0">
            <x v="0"/>
          </reference>
          <reference field="9" count="1" selected="0">
            <x v="0"/>
          </reference>
        </references>
      </pivotArea>
    </chartFormat>
    <chartFormat chart="3" format="7" series="1">
      <pivotArea type="data" outline="0" fieldPosition="0">
        <references count="2">
          <reference field="4294967294" count="1" selected="0">
            <x v="0"/>
          </reference>
          <reference field="9" count="1" selected="0">
            <x v="1"/>
          </reference>
        </references>
      </pivotArea>
    </chartFormat>
    <chartFormat chart="4" format="8" series="1">
      <pivotArea type="data" outline="0" fieldPosition="0">
        <references count="2">
          <reference field="4294967294" count="1" selected="0">
            <x v="0"/>
          </reference>
          <reference field="9" count="1" selected="0">
            <x v="0"/>
          </reference>
        </references>
      </pivotArea>
    </chartFormat>
    <chartFormat chart="4" format="9"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768293-DB5A-404B-BA40-BBC41407CA3D}"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K17" firstHeaderRow="1" firstDataRow="3" firstDataCol="1"/>
  <pivotFields count="18">
    <pivotField showAll="0"/>
    <pivotField showAll="0"/>
    <pivotField showAll="0"/>
    <pivotField showAll="0"/>
    <pivotField showAll="0"/>
    <pivotField showAll="0"/>
    <pivotField showAll="0"/>
    <pivotField numFmtId="14" showAll="0"/>
    <pivotField showAll="0"/>
    <pivotField axis="axisCol" showAll="0">
      <items count="3">
        <item x="1"/>
        <item x="0"/>
        <item t="default"/>
      </items>
    </pivotField>
    <pivotField axis="axisCol" showAll="0">
      <items count="4">
        <item x="0"/>
        <item x="2"/>
        <item x="1"/>
        <item t="default"/>
      </items>
    </pivotField>
    <pivotField showAll="0"/>
    <pivotField axis="axisRow" showAll="0">
      <items count="4">
        <item x="0"/>
        <item x="2"/>
        <item x="1"/>
        <item t="default"/>
      </items>
    </pivotField>
    <pivotField showAll="0"/>
    <pivotField showAll="0"/>
    <pivotField dataField="1" showAll="0"/>
    <pivotField showAll="0"/>
    <pivotField showAll="0"/>
  </pivotFields>
  <rowFields count="1">
    <field x="12"/>
  </rowFields>
  <rowItems count="4">
    <i>
      <x/>
    </i>
    <i>
      <x v="1"/>
    </i>
    <i>
      <x v="2"/>
    </i>
    <i t="grand">
      <x/>
    </i>
  </rowItems>
  <colFields count="2">
    <field x="10"/>
    <field x="9"/>
  </colFields>
  <colItems count="10">
    <i>
      <x/>
      <x/>
    </i>
    <i r="1">
      <x v="1"/>
    </i>
    <i t="default">
      <x/>
    </i>
    <i>
      <x v="1"/>
      <x/>
    </i>
    <i r="1">
      <x v="1"/>
    </i>
    <i t="default">
      <x v="1"/>
    </i>
    <i>
      <x v="2"/>
      <x/>
    </i>
    <i r="1">
      <x v="1"/>
    </i>
    <i t="default">
      <x v="2"/>
    </i>
    <i t="grand">
      <x/>
    </i>
  </colItems>
  <dataFields count="1">
    <dataField name="Sum of Total Sales" fld="15" baseField="12" baseItem="0"/>
  </dataFields>
  <formats count="4">
    <format dxfId="8">
      <pivotArea dataOnly="0" labelOnly="1" fieldPosition="0">
        <references count="1">
          <reference field="10" count="1">
            <x v="0"/>
          </reference>
        </references>
      </pivotArea>
    </format>
    <format dxfId="9">
      <pivotArea dataOnly="0" labelOnly="1" fieldPosition="0">
        <references count="1">
          <reference field="10" count="1">
            <x v="1"/>
          </reference>
        </references>
      </pivotArea>
    </format>
    <format dxfId="10">
      <pivotArea dataOnly="0" labelOnly="1" fieldPosition="0">
        <references count="1">
          <reference field="10" count="1">
            <x v="2"/>
          </reference>
        </references>
      </pivotArea>
    </format>
    <format dxfId="11">
      <pivotArea dataOnly="0" labelOnly="1" grandCol="1" outline="0" fieldPosition="0"/>
    </format>
  </formats>
  <chartFormats count="6">
    <chartFormat chart="3" format="0" series="1">
      <pivotArea type="data" outline="0" fieldPosition="0">
        <references count="3">
          <reference field="4294967294" count="1" selected="0">
            <x v="0"/>
          </reference>
          <reference field="9" count="1" selected="0">
            <x v="0"/>
          </reference>
          <reference field="10" count="1" selected="0">
            <x v="0"/>
          </reference>
        </references>
      </pivotArea>
    </chartFormat>
    <chartFormat chart="3" format="1" series="1">
      <pivotArea type="data" outline="0" fieldPosition="0">
        <references count="3">
          <reference field="4294967294" count="1" selected="0">
            <x v="0"/>
          </reference>
          <reference field="9" count="1" selected="0">
            <x v="1"/>
          </reference>
          <reference field="10" count="1" selected="0">
            <x v="0"/>
          </reference>
        </references>
      </pivotArea>
    </chartFormat>
    <chartFormat chart="3" format="2" series="1">
      <pivotArea type="data" outline="0" fieldPosition="0">
        <references count="3">
          <reference field="4294967294" count="1" selected="0">
            <x v="0"/>
          </reference>
          <reference field="9" count="1" selected="0">
            <x v="0"/>
          </reference>
          <reference field="10" count="1" selected="0">
            <x v="1"/>
          </reference>
        </references>
      </pivotArea>
    </chartFormat>
    <chartFormat chart="3" format="3" series="1">
      <pivotArea type="data" outline="0" fieldPosition="0">
        <references count="3">
          <reference field="4294967294" count="1" selected="0">
            <x v="0"/>
          </reference>
          <reference field="9" count="1" selected="0">
            <x v="1"/>
          </reference>
          <reference field="10" count="1" selected="0">
            <x v="1"/>
          </reference>
        </references>
      </pivotArea>
    </chartFormat>
    <chartFormat chart="3" format="4" series="1">
      <pivotArea type="data" outline="0" fieldPosition="0">
        <references count="3">
          <reference field="4294967294" count="1" selected="0">
            <x v="0"/>
          </reference>
          <reference field="9" count="1" selected="0">
            <x v="0"/>
          </reference>
          <reference field="10" count="1" selected="0">
            <x v="2"/>
          </reference>
        </references>
      </pivotArea>
    </chartFormat>
    <chartFormat chart="3" format="5" series="1">
      <pivotArea type="data" outline="0" fieldPosition="0">
        <references count="3">
          <reference field="4294967294" count="1" selected="0">
            <x v="0"/>
          </reference>
          <reference field="9" count="1" selected="0">
            <x v="1"/>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5E07D1-0656-4396-A502-E31CDD7B02AF}"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2:K18" firstHeaderRow="1" firstDataRow="3" firstDataCol="1"/>
  <pivotFields count="18">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1"/>
        <item x="0"/>
        <item x="2"/>
        <item t="default"/>
      </items>
    </pivotField>
    <pivotField axis="axisCol" compact="0" outline="0" showAll="0">
      <items count="5">
        <item x="0"/>
        <item x="2"/>
        <item x="1"/>
        <item x="3"/>
        <item t="default"/>
      </items>
    </pivotField>
    <pivotField compact="0" outline="0" showAll="0"/>
    <pivotField axis="axisRow" compact="0" outline="0" showAll="0">
      <items count="5">
        <item x="0"/>
        <item x="2"/>
        <item x="1"/>
        <item h="1" x="3"/>
        <item t="default"/>
      </items>
    </pivotField>
    <pivotField compact="0" outline="0" showAll="0"/>
    <pivotField compact="0" outline="0" showAll="0"/>
    <pivotField dataField="1" compact="0" outline="0" showAll="0"/>
    <pivotField compact="0" outline="0" showAll="0"/>
    <pivotField compact="0" outline="0" showAll="0"/>
  </pivotFields>
  <rowFields count="1">
    <field x="12"/>
  </rowFields>
  <rowItems count="4">
    <i>
      <x/>
    </i>
    <i>
      <x v="1"/>
    </i>
    <i>
      <x v="2"/>
    </i>
    <i t="grand">
      <x/>
    </i>
  </rowItems>
  <colFields count="2">
    <field x="10"/>
    <field x="9"/>
  </colFields>
  <colItems count="10">
    <i>
      <x/>
      <x/>
    </i>
    <i r="1">
      <x v="1"/>
    </i>
    <i t="default">
      <x/>
    </i>
    <i>
      <x v="1"/>
      <x/>
    </i>
    <i r="1">
      <x v="1"/>
    </i>
    <i t="default">
      <x v="1"/>
    </i>
    <i>
      <x v="2"/>
      <x/>
    </i>
    <i r="1">
      <x v="1"/>
    </i>
    <i t="default">
      <x v="2"/>
    </i>
    <i t="grand">
      <x/>
    </i>
  </colItems>
  <dataFields count="1">
    <dataField name="Sum of Total Sales" fld="15" showDataAs="percentOfTotal" baseField="0" baseItem="0" numFmtId="9"/>
  </dataFields>
  <formats count="47">
    <format dxfId="324">
      <pivotArea outline="0" collapsedLevelsAreSubtotals="1" fieldPosition="0"/>
    </format>
    <format dxfId="325">
      <pivotArea field="10" type="button" dataOnly="0" labelOnly="1" outline="0" axis="axisCol" fieldPosition="0"/>
    </format>
    <format dxfId="326">
      <pivotArea field="9" type="button" dataOnly="0" labelOnly="1" outline="0" axis="axisCol" fieldPosition="1"/>
    </format>
    <format dxfId="327">
      <pivotArea type="topRight" dataOnly="0" labelOnly="1" outline="0" fieldPosition="0"/>
    </format>
    <format dxfId="328">
      <pivotArea dataOnly="0" labelOnly="1" outline="0" fieldPosition="0">
        <references count="1">
          <reference field="10" count="0"/>
        </references>
      </pivotArea>
    </format>
    <format dxfId="329">
      <pivotArea dataOnly="0" labelOnly="1" outline="0" fieldPosition="0">
        <references count="1">
          <reference field="10" count="0" defaultSubtotal="1"/>
        </references>
      </pivotArea>
    </format>
    <format dxfId="330">
      <pivotArea dataOnly="0" labelOnly="1" grandCol="1" outline="0" fieldPosition="0"/>
    </format>
    <format dxfId="331">
      <pivotArea dataOnly="0" labelOnly="1" outline="0" fieldPosition="0">
        <references count="2">
          <reference field="9" count="2">
            <x v="0"/>
            <x v="1"/>
          </reference>
          <reference field="10" count="1" selected="0">
            <x v="0"/>
          </reference>
        </references>
      </pivotArea>
    </format>
    <format dxfId="332">
      <pivotArea dataOnly="0" labelOnly="1" outline="0" fieldPosition="0">
        <references count="2">
          <reference field="9" count="2">
            <x v="0"/>
            <x v="1"/>
          </reference>
          <reference field="10" count="1" selected="0">
            <x v="1"/>
          </reference>
        </references>
      </pivotArea>
    </format>
    <format dxfId="333">
      <pivotArea dataOnly="0" labelOnly="1" outline="0" fieldPosition="0">
        <references count="2">
          <reference field="9" count="2">
            <x v="0"/>
            <x v="1"/>
          </reference>
          <reference field="10" count="1" selected="0">
            <x v="2"/>
          </reference>
        </references>
      </pivotArea>
    </format>
    <format dxfId="334">
      <pivotArea dataOnly="0" labelOnly="1" outline="0" fieldPosition="0">
        <references count="2">
          <reference field="9" count="1">
            <x v="2"/>
          </reference>
          <reference field="10" count="1" selected="0">
            <x v="3"/>
          </reference>
        </references>
      </pivotArea>
    </format>
    <format dxfId="335">
      <pivotArea type="all" dataOnly="0" outline="0" fieldPosition="0"/>
    </format>
    <format dxfId="336">
      <pivotArea outline="0" collapsedLevelsAreSubtotals="1" fieldPosition="0"/>
    </format>
    <format dxfId="337">
      <pivotArea type="origin" dataOnly="0" labelOnly="1" outline="0" fieldPosition="0"/>
    </format>
    <format dxfId="338">
      <pivotArea field="10" type="button" dataOnly="0" labelOnly="1" outline="0" axis="axisCol" fieldPosition="0"/>
    </format>
    <format dxfId="339">
      <pivotArea field="9" type="button" dataOnly="0" labelOnly="1" outline="0" axis="axisCol" fieldPosition="1"/>
    </format>
    <format dxfId="340">
      <pivotArea type="topRight" dataOnly="0" labelOnly="1" outline="0" fieldPosition="0"/>
    </format>
    <format dxfId="341">
      <pivotArea field="12" type="button" dataOnly="0" labelOnly="1" outline="0" axis="axisRow" fieldPosition="0"/>
    </format>
    <format dxfId="342">
      <pivotArea dataOnly="0" labelOnly="1" outline="0" fieldPosition="0">
        <references count="1">
          <reference field="12" count="0"/>
        </references>
      </pivotArea>
    </format>
    <format dxfId="343">
      <pivotArea dataOnly="0" labelOnly="1" grandRow="1" outline="0" fieldPosition="0"/>
    </format>
    <format dxfId="344">
      <pivotArea dataOnly="0" labelOnly="1" outline="0" fieldPosition="0">
        <references count="1">
          <reference field="10" count="0"/>
        </references>
      </pivotArea>
    </format>
    <format dxfId="345">
      <pivotArea dataOnly="0" labelOnly="1" outline="0" fieldPosition="0">
        <references count="1">
          <reference field="10" count="0" defaultSubtotal="1"/>
        </references>
      </pivotArea>
    </format>
    <format dxfId="346">
      <pivotArea dataOnly="0" labelOnly="1" grandCol="1" outline="0" fieldPosition="0"/>
    </format>
    <format dxfId="347">
      <pivotArea dataOnly="0" labelOnly="1" outline="0" fieldPosition="0">
        <references count="2">
          <reference field="9" count="0"/>
          <reference field="10" count="0" selected="0"/>
        </references>
      </pivotArea>
    </format>
    <format dxfId="348">
      <pivotArea dataOnly="0" labelOnly="1" outline="0" fieldPosition="0">
        <references count="1">
          <reference field="10" count="1">
            <x v="0"/>
          </reference>
        </references>
      </pivotArea>
    </format>
    <format dxfId="349">
      <pivotArea dataOnly="0" labelOnly="1" outline="0" fieldPosition="0">
        <references count="1">
          <reference field="10" count="1">
            <x v="1"/>
          </reference>
        </references>
      </pivotArea>
    </format>
    <format dxfId="350">
      <pivotArea dataOnly="0" labelOnly="1" outline="0" fieldPosition="0">
        <references count="1">
          <reference field="10" count="1">
            <x v="2"/>
          </reference>
        </references>
      </pivotArea>
    </format>
    <format dxfId="351">
      <pivotArea outline="0" fieldPosition="0">
        <references count="1">
          <reference field="10" count="1" selected="0" defaultSubtotal="1">
            <x v="0"/>
          </reference>
        </references>
      </pivotArea>
    </format>
    <format dxfId="352">
      <pivotArea field="10" type="button" dataOnly="0" labelOnly="1" outline="0" axis="axisCol" fieldPosition="0"/>
    </format>
    <format dxfId="353">
      <pivotArea field="9" type="button" dataOnly="0" labelOnly="1" outline="0" axis="axisCol" fieldPosition="1"/>
    </format>
    <format dxfId="354">
      <pivotArea type="topRight" dataOnly="0" labelOnly="1" outline="0" offset="A1" fieldPosition="0"/>
    </format>
    <format dxfId="355">
      <pivotArea dataOnly="0" labelOnly="1" outline="0" fieldPosition="0">
        <references count="1">
          <reference field="10" count="1">
            <x v="0"/>
          </reference>
        </references>
      </pivotArea>
    </format>
    <format dxfId="356">
      <pivotArea dataOnly="0" labelOnly="1" outline="0" fieldPosition="0">
        <references count="1">
          <reference field="10" count="1" defaultSubtotal="1">
            <x v="0"/>
          </reference>
        </references>
      </pivotArea>
    </format>
    <format dxfId="357">
      <pivotArea dataOnly="0" labelOnly="1" outline="0" fieldPosition="0">
        <references count="2">
          <reference field="9" count="0"/>
          <reference field="10" count="1" selected="0">
            <x v="0"/>
          </reference>
        </references>
      </pivotArea>
    </format>
    <format dxfId="358">
      <pivotArea outline="0" fieldPosition="0">
        <references count="1">
          <reference field="10" count="1" selected="0" defaultSubtotal="1">
            <x v="1"/>
          </reference>
        </references>
      </pivotArea>
    </format>
    <format dxfId="359">
      <pivotArea type="topRight" dataOnly="0" labelOnly="1" outline="0" offset="B1:D1" fieldPosition="0"/>
    </format>
    <format dxfId="360">
      <pivotArea dataOnly="0" labelOnly="1" outline="0" fieldPosition="0">
        <references count="1">
          <reference field="10" count="1">
            <x v="1"/>
          </reference>
        </references>
      </pivotArea>
    </format>
    <format dxfId="361">
      <pivotArea dataOnly="0" labelOnly="1" outline="0" fieldPosition="0">
        <references count="1">
          <reference field="10" count="1" defaultSubtotal="1">
            <x v="1"/>
          </reference>
        </references>
      </pivotArea>
    </format>
    <format dxfId="362">
      <pivotArea dataOnly="0" labelOnly="1" outline="0" fieldPosition="0">
        <references count="2">
          <reference field="9" count="0"/>
          <reference field="10" count="1" selected="0">
            <x v="1"/>
          </reference>
        </references>
      </pivotArea>
    </format>
    <format dxfId="363">
      <pivotArea outline="0" fieldPosition="0">
        <references count="1">
          <reference field="10" count="1" selected="0" defaultSubtotal="1">
            <x v="2"/>
          </reference>
        </references>
      </pivotArea>
    </format>
    <format dxfId="364">
      <pivotArea type="topRight" dataOnly="0" labelOnly="1" outline="0" offset="E1:G1" fieldPosition="0"/>
    </format>
    <format dxfId="365">
      <pivotArea dataOnly="0" labelOnly="1" outline="0" fieldPosition="0">
        <references count="1">
          <reference field="10" count="1">
            <x v="2"/>
          </reference>
        </references>
      </pivotArea>
    </format>
    <format dxfId="366">
      <pivotArea dataOnly="0" labelOnly="1" outline="0" fieldPosition="0">
        <references count="1">
          <reference field="10" count="1" defaultSubtotal="1">
            <x v="2"/>
          </reference>
        </references>
      </pivotArea>
    </format>
    <format dxfId="367">
      <pivotArea dataOnly="0" labelOnly="1" outline="0" fieldPosition="0">
        <references count="2">
          <reference field="9" count="0"/>
          <reference field="10" count="1" selected="0">
            <x v="2"/>
          </reference>
        </references>
      </pivotArea>
    </format>
    <format dxfId="368">
      <pivotArea grandCol="1" outline="0" collapsedLevelsAreSubtotals="1" fieldPosition="0"/>
    </format>
    <format dxfId="369">
      <pivotArea type="topRight" dataOnly="0" labelOnly="1" outline="0" offset="H1" fieldPosition="0"/>
    </format>
    <format dxfId="370">
      <pivotArea dataOnly="0" labelOnly="1" grandCol="1" outline="0" fieldPosition="0"/>
    </format>
  </formats>
  <chartFormats count="1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3">
          <reference field="4294967294" count="1" selected="0">
            <x v="0"/>
          </reference>
          <reference field="9" count="1" selected="0">
            <x v="0"/>
          </reference>
          <reference field="10" count="1" selected="0">
            <x v="2"/>
          </reference>
        </references>
      </pivotArea>
    </chartFormat>
    <chartFormat chart="0" format="5" series="1">
      <pivotArea type="data" outline="0" fieldPosition="0">
        <references count="3">
          <reference field="4294967294" count="1" selected="0">
            <x v="0"/>
          </reference>
          <reference field="9" count="1" selected="0">
            <x v="1"/>
          </reference>
          <reference field="10" count="1" selected="0">
            <x v="2"/>
          </reference>
        </references>
      </pivotArea>
    </chartFormat>
    <chartFormat chart="0" format="6" series="1">
      <pivotArea type="data" outline="0" fieldPosition="0">
        <references count="3">
          <reference field="4294967294" count="1" selected="0">
            <x v="0"/>
          </reference>
          <reference field="9" count="1" selected="0">
            <x v="2"/>
          </reference>
          <reference field="10" count="1" selected="0">
            <x v="3"/>
          </reference>
        </references>
      </pivotArea>
    </chartFormat>
    <chartFormat chart="0" format="7" series="1">
      <pivotArea type="data" outline="0" fieldPosition="0">
        <references count="3">
          <reference field="4294967294" count="1" selected="0">
            <x v="0"/>
          </reference>
          <reference field="9" count="1" selected="0">
            <x v="1"/>
          </reference>
          <reference field="10" count="1" selected="0">
            <x v="0"/>
          </reference>
        </references>
      </pivotArea>
    </chartFormat>
    <chartFormat chart="0" format="8" series="1">
      <pivotArea type="data" outline="0" fieldPosition="0">
        <references count="3">
          <reference field="4294967294" count="1" selected="0">
            <x v="0"/>
          </reference>
          <reference field="9" count="1" selected="0">
            <x v="0"/>
          </reference>
          <reference field="10" count="1" selected="0">
            <x v="1"/>
          </reference>
        </references>
      </pivotArea>
    </chartFormat>
    <chartFormat chart="0" format="9" series="1">
      <pivotArea type="data" outline="0" fieldPosition="0">
        <references count="3">
          <reference field="4294967294" count="1" selected="0">
            <x v="0"/>
          </reference>
          <reference field="9" count="1" selected="0">
            <x v="1"/>
          </reference>
          <reference field="10" count="1" selected="0">
            <x v="1"/>
          </reference>
        </references>
      </pivotArea>
    </chartFormat>
    <chartFormat chart="0" format="10" series="1">
      <pivotArea type="data" outline="0" fieldPosition="0">
        <references count="3">
          <reference field="4294967294" count="1" selected="0">
            <x v="0"/>
          </reference>
          <reference field="9" count="1" selected="0">
            <x v="0"/>
          </reference>
          <reference field="10" count="1" selected="0">
            <x v="0"/>
          </reference>
        </references>
      </pivotArea>
    </chartFormat>
    <chartFormat chart="0" format="11">
      <pivotArea type="data" outline="0" fieldPosition="0">
        <references count="4">
          <reference field="4294967294" count="1" selected="0">
            <x v="0"/>
          </reference>
          <reference field="9" count="1" selected="0">
            <x v="1"/>
          </reference>
          <reference field="10" count="1" selected="0">
            <x v="2"/>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20D4B57-904A-4A91-B9DE-ABAD981EC1C1}" sourceName="Gender">
  <pivotTables>
    <pivotTable tabId="15" name="PivotTable1"/>
  </pivotTables>
  <data>
    <tabular pivotCacheId="34363778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_category" xr10:uid="{A88DA161-4FFF-44BA-B418-F4496230B76A}" sourceName="Age  category">
  <pivotTables>
    <pivotTable tabId="15" name="PivotTable1"/>
  </pivotTables>
  <data>
    <tabular pivotCacheId="34363778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E044C5B-FB32-41BE-A722-8CB6080000DA}" sourceName="Product Category">
  <pivotTables>
    <pivotTable tabId="15" name="PivotTable1"/>
  </pivotTables>
  <data>
    <tabular pivotCacheId="34363778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FCE261F-1231-4B0F-A6F5-583ADDF9A5BD}" cache="Slicer_Gender" caption="Gender" rowHeight="262466"/>
  <slicer name="Age  category" xr10:uid="{842421C4-1B48-44C2-BBE2-7D256AEB73F4}" cache="Slicer_Age__category" caption="Age  category" rowHeight="262466"/>
  <slicer name="Product Category" xr10:uid="{47F0F6BA-C916-4C27-9BA0-E410E951717E}" cache="Slicer_Product_Category" caption="Product Category"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00179D-1EB9-43C1-B21E-7D9306FAEEF0}" name="Table2" displayName="Table2" ref="A4:R1004" totalsRowShown="0">
  <autoFilter ref="A4:R1004" xr:uid="{7D00179D-1EB9-43C1-B21E-7D9306FAEEF0}"/>
  <sortState xmlns:xlrd2="http://schemas.microsoft.com/office/spreadsheetml/2017/richdata2" ref="A5:R1004">
    <sortCondition ref="A4:A1004"/>
  </sortState>
  <tableColumns count="18">
    <tableColumn id="1" xr3:uid="{AAD10563-A074-48A3-ACED-C7FF757A4095}" name="Transaction ID"/>
    <tableColumn id="2" xr3:uid="{0C9B0739-6C7F-482F-8274-820D79C9685C}" name="Day"/>
    <tableColumn id="3" xr3:uid="{6A40644F-C77A-40A5-8990-EF0DBFE018C6}" name="Month"/>
    <tableColumn id="4" xr3:uid="{0DF8E16E-D6E3-4A05-951B-647E61AFC41E}" name="Year "/>
    <tableColumn id="5" xr3:uid="{E6C63ABF-1084-4362-87E7-05174D3CB9D7}" name="Day name"/>
    <tableColumn id="6" xr3:uid="{C428F1D1-6879-4D04-BE07-6697A3CF1B9B}" name="Month name"/>
    <tableColumn id="7" xr3:uid="{05D1AA58-EE85-4FA9-BA1F-A082C89B3A6F}" name="Year name"/>
    <tableColumn id="8" xr3:uid="{008B34EE-451F-4BF6-9BB8-877C350C7637}" name="Date" dataDxfId="382"/>
    <tableColumn id="9" xr3:uid="{FAFC73AF-A8E3-4746-9F37-74B0E622DCDE}" name="Customer ID"/>
    <tableColumn id="10" xr3:uid="{D6035B7A-DCE8-4A78-87B2-5A23E0C8907C}" name="Gender"/>
    <tableColumn id="11" xr3:uid="{762B5912-871C-4B04-A13C-3D21229EF600}" name="Age  category"/>
    <tableColumn id="12" xr3:uid="{C5960C14-1089-4CA0-934D-C41C9EB7FC6C}" name="Age"/>
    <tableColumn id="13" xr3:uid="{491E79F9-75D3-44D7-B666-4925D5F3F5D4}" name="Product Category"/>
    <tableColumn id="14" xr3:uid="{0867ECE4-A1F6-4D54-AEA3-0FC7B8326AB6}" name="Quantity"/>
    <tableColumn id="15" xr3:uid="{5BBB8381-68C7-4E03-97D8-65894F06985F}" name="Price per Unit"/>
    <tableColumn id="16" xr3:uid="{C7960B17-CFDD-4DCC-BA11-04DEEEFF8922}" name="Total Sales"/>
    <tableColumn id="17" xr3:uid="{47E5A200-7E09-4DE5-BFE2-B0B40C54AD57}" name="Commission 2023"/>
    <tableColumn id="18" xr3:uid="{35F54F7F-F281-49B9-A5FD-02D4EB4FB406}" name="Commission 20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3CE166-823D-4656-9AAB-6D924121504A}" name="Table1" displayName="Table1" ref="A12:S674" totalsRowShown="0">
  <autoFilter ref="A12:S674" xr:uid="{0C3CE166-823D-4656-9AAB-6D924121504A}"/>
  <sortState xmlns:xlrd2="http://schemas.microsoft.com/office/spreadsheetml/2017/richdata2" ref="A13:S674">
    <sortCondition ref="A12:A674"/>
  </sortState>
  <tableColumns count="19">
    <tableColumn id="1" xr3:uid="{4831C3D7-D5D9-4E4D-BC4D-07268697FE18}" name="Transaction ID"/>
    <tableColumn id="2" xr3:uid="{210F6708-FE6D-411B-9F08-ECAE257AF685}" name="Day"/>
    <tableColumn id="3" xr3:uid="{A74F1ADC-B3B7-406E-96BF-0849BB232750}" name="Month"/>
    <tableColumn id="4" xr3:uid="{A27D0331-FAEB-4696-9F22-A763D4435932}" name="Year "/>
    <tableColumn id="5" xr3:uid="{00E601EC-4D13-41E8-ACB9-8C67393E00A7}" name="Day name"/>
    <tableColumn id="6" xr3:uid="{7DEC9CA1-9242-4B51-82BB-937BF7F3846D}" name="Month name"/>
    <tableColumn id="7" xr3:uid="{A440E54A-FC1D-4060-BBE1-0A5A87F06AEF}" name="Year name"/>
    <tableColumn id="8" xr3:uid="{A91AB575-4961-4BE4-8BC6-4D66755B4CBB}" name="Date" dataDxfId="383"/>
    <tableColumn id="9" xr3:uid="{74F7683B-575C-458C-AE69-B87399EF7F9C}" name="Customer ID"/>
    <tableColumn id="10" xr3:uid="{246A726D-3713-4C47-B870-073CD743CB9B}" name="Gender"/>
    <tableColumn id="11" xr3:uid="{F87812DC-A468-4D65-9751-7635130AF3D7}" name="Age  category" dataDxfId="371"/>
    <tableColumn id="12" xr3:uid="{3F00DC36-80F6-4A41-AA5E-CF45ED8A50F6}" name="Age"/>
    <tableColumn id="13" xr3:uid="{210330F0-B0A7-4578-BDA7-4C1842625223}" name="Product Category"/>
    <tableColumn id="14" xr3:uid="{1D82286D-565C-4B20-B4CC-874960C514EA}" name="Quantity"/>
    <tableColumn id="15" xr3:uid="{BF1461B0-256F-4A93-86CD-A0D148BE3F6E}" name="Price per Unit"/>
    <tableColumn id="16" xr3:uid="{93F2F389-6E79-4950-849C-FF386E02FD69}" name="Total Sales"/>
    <tableColumn id="17" xr3:uid="{B0B0FBCE-E7A9-4F57-A83C-8F189DE4838A}" name="Commission 2023"/>
    <tableColumn id="18" xr3:uid="{771FE8DF-5CEE-4465-AE9C-6BF46B7D8C19}" name="Commission 2024"/>
    <tableColumn id="19" xr3:uid="{9ED45C0F-945D-47F9-A9CF-8AD841E01075}" name="Commission 202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5B973-EB36-47F2-9D90-8F467399550E}">
  <sheetPr>
    <tabColor theme="2" tint="-0.499984740745262"/>
  </sheetPr>
  <dimension ref="A2:R1004"/>
  <sheetViews>
    <sheetView topLeftCell="A5" workbookViewId="0">
      <selection activeCell="A10" sqref="A10"/>
    </sheetView>
  </sheetViews>
  <sheetFormatPr defaultRowHeight="15.5" x14ac:dyDescent="0.35"/>
  <cols>
    <col min="1" max="1" width="15.08203125" bestFit="1" customWidth="1"/>
    <col min="5" max="5" width="11.33203125" bestFit="1" customWidth="1"/>
    <col min="6" max="6" width="13.75" bestFit="1" customWidth="1"/>
    <col min="7" max="7" width="11.83203125" bestFit="1" customWidth="1"/>
    <col min="8" max="8" width="10.58203125" bestFit="1" customWidth="1"/>
    <col min="9" max="9" width="13.25" bestFit="1" customWidth="1"/>
    <col min="10" max="10" width="9.08203125" bestFit="1" customWidth="1"/>
    <col min="11" max="11" width="10.83203125" bestFit="1" customWidth="1"/>
    <col min="13" max="13" width="17.5" bestFit="1" customWidth="1"/>
    <col min="14" max="14" width="10.33203125" bestFit="1" customWidth="1"/>
    <col min="15" max="15" width="14.33203125" bestFit="1" customWidth="1"/>
    <col min="16" max="16" width="11.83203125" bestFit="1" customWidth="1"/>
    <col min="17" max="18" width="17.75" bestFit="1" customWidth="1"/>
  </cols>
  <sheetData>
    <row r="2" spans="1:18" ht="18.5" x14ac:dyDescent="0.45">
      <c r="A2" s="26"/>
    </row>
    <row r="4" spans="1:18" x14ac:dyDescent="0.35">
      <c r="A4" t="s">
        <v>0</v>
      </c>
      <c r="B4" t="s">
        <v>1</v>
      </c>
      <c r="C4" t="s">
        <v>2</v>
      </c>
      <c r="D4" t="s">
        <v>3</v>
      </c>
      <c r="E4" t="s">
        <v>4</v>
      </c>
      <c r="F4" t="s">
        <v>5</v>
      </c>
      <c r="G4" t="s">
        <v>6</v>
      </c>
      <c r="H4" t="s">
        <v>7</v>
      </c>
      <c r="I4" t="s">
        <v>8</v>
      </c>
      <c r="J4" t="s">
        <v>9</v>
      </c>
      <c r="K4" t="s">
        <v>1057</v>
      </c>
      <c r="L4" t="s">
        <v>11</v>
      </c>
      <c r="M4" t="s">
        <v>12</v>
      </c>
      <c r="N4" t="s">
        <v>13</v>
      </c>
      <c r="O4" t="s">
        <v>14</v>
      </c>
      <c r="P4" t="s">
        <v>15</v>
      </c>
      <c r="Q4" t="s">
        <v>16</v>
      </c>
      <c r="R4" t="s">
        <v>17</v>
      </c>
    </row>
    <row r="5" spans="1:18" x14ac:dyDescent="0.35">
      <c r="A5">
        <v>1</v>
      </c>
      <c r="B5">
        <v>24</v>
      </c>
      <c r="C5">
        <v>11</v>
      </c>
      <c r="D5">
        <v>2023</v>
      </c>
      <c r="E5" t="s">
        <v>1070</v>
      </c>
      <c r="F5" t="s">
        <v>1068</v>
      </c>
      <c r="G5" t="s">
        <v>1061</v>
      </c>
      <c r="H5" s="18">
        <v>45254</v>
      </c>
      <c r="I5" t="s">
        <v>19</v>
      </c>
      <c r="J5" t="s">
        <v>20</v>
      </c>
      <c r="K5" t="s">
        <v>1030</v>
      </c>
      <c r="L5">
        <v>34</v>
      </c>
      <c r="M5" t="s">
        <v>21</v>
      </c>
      <c r="N5">
        <v>3</v>
      </c>
      <c r="O5">
        <v>50</v>
      </c>
      <c r="P5">
        <v>150</v>
      </c>
      <c r="Q5">
        <v>2.25</v>
      </c>
      <c r="R5">
        <v>3</v>
      </c>
    </row>
    <row r="6" spans="1:18" x14ac:dyDescent="0.35">
      <c r="A6">
        <v>2</v>
      </c>
      <c r="B6">
        <v>27</v>
      </c>
      <c r="C6">
        <v>2</v>
      </c>
      <c r="D6">
        <v>2023</v>
      </c>
      <c r="E6" t="s">
        <v>1067</v>
      </c>
      <c r="F6" t="s">
        <v>1073</v>
      </c>
      <c r="G6" t="s">
        <v>1061</v>
      </c>
      <c r="H6" s="18">
        <v>44984</v>
      </c>
      <c r="I6" t="s">
        <v>22</v>
      </c>
      <c r="J6" t="s">
        <v>23</v>
      </c>
      <c r="K6" t="s">
        <v>1034</v>
      </c>
      <c r="L6">
        <v>26</v>
      </c>
      <c r="M6" t="s">
        <v>21</v>
      </c>
      <c r="N6">
        <v>2</v>
      </c>
      <c r="O6">
        <v>500</v>
      </c>
      <c r="P6">
        <v>1000</v>
      </c>
      <c r="Q6">
        <v>15</v>
      </c>
      <c r="R6">
        <v>20</v>
      </c>
    </row>
    <row r="7" spans="1:18" x14ac:dyDescent="0.35">
      <c r="A7">
        <v>3</v>
      </c>
      <c r="B7">
        <v>13</v>
      </c>
      <c r="C7">
        <v>1</v>
      </c>
      <c r="D7">
        <v>2023</v>
      </c>
      <c r="E7" t="s">
        <v>1070</v>
      </c>
      <c r="F7" t="s">
        <v>1060</v>
      </c>
      <c r="G7" t="s">
        <v>1061</v>
      </c>
      <c r="H7" s="18">
        <v>44939</v>
      </c>
      <c r="I7" t="s">
        <v>25</v>
      </c>
      <c r="J7" t="s">
        <v>20</v>
      </c>
      <c r="K7" t="s">
        <v>1030</v>
      </c>
      <c r="L7">
        <v>50</v>
      </c>
      <c r="M7" t="s">
        <v>21</v>
      </c>
      <c r="N7">
        <v>1</v>
      </c>
      <c r="O7">
        <v>30</v>
      </c>
      <c r="P7">
        <v>30</v>
      </c>
      <c r="Q7">
        <v>0.44999999999999996</v>
      </c>
      <c r="R7">
        <v>0.6</v>
      </c>
    </row>
    <row r="8" spans="1:18" x14ac:dyDescent="0.35">
      <c r="A8">
        <v>4</v>
      </c>
      <c r="B8">
        <v>21</v>
      </c>
      <c r="C8">
        <v>5</v>
      </c>
      <c r="D8">
        <v>2023</v>
      </c>
      <c r="E8" t="s">
        <v>1063</v>
      </c>
      <c r="F8" t="s">
        <v>1076</v>
      </c>
      <c r="G8" t="s">
        <v>1061</v>
      </c>
      <c r="H8" s="18">
        <v>45067</v>
      </c>
      <c r="I8" t="s">
        <v>27</v>
      </c>
      <c r="J8" t="s">
        <v>20</v>
      </c>
      <c r="K8" t="s">
        <v>1030</v>
      </c>
      <c r="L8">
        <v>37</v>
      </c>
      <c r="M8" t="s">
        <v>21</v>
      </c>
      <c r="N8">
        <v>1</v>
      </c>
      <c r="O8">
        <v>500</v>
      </c>
      <c r="P8">
        <v>500</v>
      </c>
      <c r="Q8">
        <v>7.5</v>
      </c>
      <c r="R8">
        <v>10</v>
      </c>
    </row>
    <row r="9" spans="1:18" x14ac:dyDescent="0.35">
      <c r="A9">
        <v>5</v>
      </c>
      <c r="B9">
        <v>6</v>
      </c>
      <c r="C9">
        <v>5</v>
      </c>
      <c r="D9">
        <v>2023</v>
      </c>
      <c r="E9" t="s">
        <v>1075</v>
      </c>
      <c r="F9" t="s">
        <v>1076</v>
      </c>
      <c r="G9" t="s">
        <v>1061</v>
      </c>
      <c r="H9" s="18">
        <v>45052</v>
      </c>
      <c r="I9" t="s">
        <v>28</v>
      </c>
      <c r="J9" t="s">
        <v>20</v>
      </c>
      <c r="K9" t="s">
        <v>1030</v>
      </c>
      <c r="L9">
        <v>30</v>
      </c>
      <c r="M9" t="s">
        <v>21</v>
      </c>
      <c r="N9">
        <v>2</v>
      </c>
      <c r="O9">
        <v>50</v>
      </c>
      <c r="P9">
        <v>100</v>
      </c>
      <c r="Q9">
        <v>1.5</v>
      </c>
      <c r="R9">
        <v>2</v>
      </c>
    </row>
    <row r="10" spans="1:18" x14ac:dyDescent="0.35">
      <c r="A10">
        <v>6</v>
      </c>
      <c r="B10">
        <v>25</v>
      </c>
      <c r="C10">
        <v>4</v>
      </c>
      <c r="D10">
        <v>2023</v>
      </c>
      <c r="E10" t="s">
        <v>1059</v>
      </c>
      <c r="F10" t="s">
        <v>1077</v>
      </c>
      <c r="G10" t="s">
        <v>1061</v>
      </c>
      <c r="H10" s="18">
        <v>45041</v>
      </c>
      <c r="I10" t="s">
        <v>29</v>
      </c>
      <c r="J10" t="s">
        <v>23</v>
      </c>
      <c r="K10" t="s">
        <v>1030</v>
      </c>
      <c r="L10">
        <v>45</v>
      </c>
      <c r="M10" t="s">
        <v>21</v>
      </c>
      <c r="N10">
        <v>1</v>
      </c>
      <c r="O10">
        <v>30</v>
      </c>
      <c r="P10">
        <v>30</v>
      </c>
      <c r="Q10">
        <v>0.44999999999999996</v>
      </c>
      <c r="R10">
        <v>0.6</v>
      </c>
    </row>
    <row r="11" spans="1:18" x14ac:dyDescent="0.35">
      <c r="A11">
        <v>7</v>
      </c>
      <c r="B11">
        <v>13</v>
      </c>
      <c r="C11">
        <v>3</v>
      </c>
      <c r="D11">
        <v>2023</v>
      </c>
      <c r="E11" t="s">
        <v>1067</v>
      </c>
      <c r="F11" t="s">
        <v>1066</v>
      </c>
      <c r="G11" t="s">
        <v>1061</v>
      </c>
      <c r="H11" s="18">
        <v>44998</v>
      </c>
      <c r="I11" t="s">
        <v>30</v>
      </c>
      <c r="J11" t="s">
        <v>20</v>
      </c>
      <c r="K11" t="s">
        <v>1030</v>
      </c>
      <c r="L11">
        <v>46</v>
      </c>
      <c r="M11" t="s">
        <v>21</v>
      </c>
      <c r="N11">
        <v>2</v>
      </c>
      <c r="O11">
        <v>25</v>
      </c>
      <c r="P11">
        <v>50</v>
      </c>
      <c r="Q11">
        <v>0.75</v>
      </c>
      <c r="R11">
        <v>1</v>
      </c>
    </row>
    <row r="12" spans="1:18" x14ac:dyDescent="0.35">
      <c r="A12">
        <v>8</v>
      </c>
      <c r="B12">
        <v>22</v>
      </c>
      <c r="C12">
        <v>2</v>
      </c>
      <c r="D12">
        <v>2023</v>
      </c>
      <c r="E12" t="s">
        <v>1065</v>
      </c>
      <c r="F12" t="s">
        <v>1073</v>
      </c>
      <c r="G12" t="s">
        <v>1061</v>
      </c>
      <c r="H12" s="18">
        <v>44979</v>
      </c>
      <c r="I12" t="s">
        <v>31</v>
      </c>
      <c r="J12" t="s">
        <v>20</v>
      </c>
      <c r="K12" t="s">
        <v>1030</v>
      </c>
      <c r="L12">
        <v>30</v>
      </c>
      <c r="M12" t="s">
        <v>21</v>
      </c>
      <c r="N12">
        <v>4</v>
      </c>
      <c r="O12">
        <v>25</v>
      </c>
      <c r="P12">
        <v>100</v>
      </c>
      <c r="Q12">
        <v>1.5</v>
      </c>
      <c r="R12">
        <v>2</v>
      </c>
    </row>
    <row r="13" spans="1:18" x14ac:dyDescent="0.35">
      <c r="A13">
        <v>9</v>
      </c>
      <c r="B13">
        <v>13</v>
      </c>
      <c r="C13">
        <v>12</v>
      </c>
      <c r="D13">
        <v>2023</v>
      </c>
      <c r="E13" t="s">
        <v>1065</v>
      </c>
      <c r="F13" t="s">
        <v>1062</v>
      </c>
      <c r="G13" t="s">
        <v>1061</v>
      </c>
      <c r="H13" s="18">
        <v>45273</v>
      </c>
      <c r="I13" t="s">
        <v>32</v>
      </c>
      <c r="J13" t="s">
        <v>20</v>
      </c>
      <c r="K13" t="s">
        <v>1032</v>
      </c>
      <c r="L13">
        <v>63</v>
      </c>
      <c r="M13" t="s">
        <v>21</v>
      </c>
      <c r="N13">
        <v>2</v>
      </c>
      <c r="O13">
        <v>300</v>
      </c>
      <c r="P13">
        <v>600</v>
      </c>
      <c r="Q13">
        <v>9</v>
      </c>
      <c r="R13">
        <v>12</v>
      </c>
    </row>
    <row r="14" spans="1:18" x14ac:dyDescent="0.35">
      <c r="A14">
        <v>10</v>
      </c>
      <c r="B14">
        <v>7</v>
      </c>
      <c r="C14">
        <v>10</v>
      </c>
      <c r="D14">
        <v>2023</v>
      </c>
      <c r="E14" t="s">
        <v>1075</v>
      </c>
      <c r="F14" t="s">
        <v>1064</v>
      </c>
      <c r="G14" t="s">
        <v>1061</v>
      </c>
      <c r="H14" s="18">
        <v>45206</v>
      </c>
      <c r="I14" t="s">
        <v>33</v>
      </c>
      <c r="J14" t="s">
        <v>23</v>
      </c>
      <c r="K14" t="s">
        <v>1032</v>
      </c>
      <c r="L14">
        <v>52</v>
      </c>
      <c r="M14" t="s">
        <v>21</v>
      </c>
      <c r="N14">
        <v>4</v>
      </c>
      <c r="O14">
        <v>50</v>
      </c>
      <c r="P14">
        <v>200</v>
      </c>
      <c r="Q14">
        <v>3</v>
      </c>
      <c r="R14">
        <v>4</v>
      </c>
    </row>
    <row r="15" spans="1:18" x14ac:dyDescent="0.35">
      <c r="A15">
        <v>11</v>
      </c>
      <c r="B15">
        <v>14</v>
      </c>
      <c r="C15">
        <v>2</v>
      </c>
      <c r="D15">
        <v>2023</v>
      </c>
      <c r="E15" t="s">
        <v>1059</v>
      </c>
      <c r="F15" t="s">
        <v>1073</v>
      </c>
      <c r="G15" t="s">
        <v>1061</v>
      </c>
      <c r="H15" s="18">
        <v>44971</v>
      </c>
      <c r="I15" t="s">
        <v>34</v>
      </c>
      <c r="J15" t="s">
        <v>20</v>
      </c>
      <c r="K15" t="s">
        <v>1034</v>
      </c>
      <c r="L15">
        <v>23</v>
      </c>
      <c r="M15" t="s">
        <v>21</v>
      </c>
      <c r="N15">
        <v>2</v>
      </c>
      <c r="O15">
        <v>50</v>
      </c>
      <c r="P15">
        <v>100</v>
      </c>
      <c r="Q15">
        <v>1.5</v>
      </c>
      <c r="R15">
        <v>2</v>
      </c>
    </row>
    <row r="16" spans="1:18" x14ac:dyDescent="0.35">
      <c r="A16">
        <v>12</v>
      </c>
      <c r="B16">
        <v>30</v>
      </c>
      <c r="C16">
        <v>10</v>
      </c>
      <c r="D16">
        <v>2023</v>
      </c>
      <c r="E16" t="s">
        <v>1067</v>
      </c>
      <c r="F16" t="s">
        <v>1064</v>
      </c>
      <c r="G16" t="s">
        <v>1061</v>
      </c>
      <c r="H16" s="18">
        <v>45229</v>
      </c>
      <c r="I16" t="s">
        <v>35</v>
      </c>
      <c r="J16" t="s">
        <v>20</v>
      </c>
      <c r="K16" t="s">
        <v>1030</v>
      </c>
      <c r="L16">
        <v>35</v>
      </c>
      <c r="M16" t="s">
        <v>21</v>
      </c>
      <c r="N16">
        <v>3</v>
      </c>
      <c r="O16">
        <v>25</v>
      </c>
      <c r="P16">
        <v>75</v>
      </c>
      <c r="Q16">
        <v>1.125</v>
      </c>
      <c r="R16">
        <v>1.5</v>
      </c>
    </row>
    <row r="17" spans="1:18" x14ac:dyDescent="0.35">
      <c r="A17">
        <v>13</v>
      </c>
      <c r="B17">
        <v>5</v>
      </c>
      <c r="C17">
        <v>8</v>
      </c>
      <c r="D17">
        <v>2023</v>
      </c>
      <c r="E17" t="s">
        <v>1075</v>
      </c>
      <c r="F17" t="s">
        <v>1074</v>
      </c>
      <c r="G17" t="s">
        <v>1061</v>
      </c>
      <c r="H17" s="18">
        <v>45143</v>
      </c>
      <c r="I17" t="s">
        <v>37</v>
      </c>
      <c r="J17" t="s">
        <v>20</v>
      </c>
      <c r="K17" t="s">
        <v>1034</v>
      </c>
      <c r="L17">
        <v>22</v>
      </c>
      <c r="M17" t="s">
        <v>21</v>
      </c>
      <c r="N17">
        <v>3</v>
      </c>
      <c r="O17">
        <v>500</v>
      </c>
      <c r="P17">
        <v>1500</v>
      </c>
      <c r="Q17">
        <v>22.5</v>
      </c>
      <c r="R17">
        <v>30</v>
      </c>
    </row>
    <row r="18" spans="1:18" x14ac:dyDescent="0.35">
      <c r="A18">
        <v>14</v>
      </c>
      <c r="B18">
        <v>17</v>
      </c>
      <c r="C18">
        <v>1</v>
      </c>
      <c r="D18">
        <v>2023</v>
      </c>
      <c r="E18" t="s">
        <v>1059</v>
      </c>
      <c r="F18" t="s">
        <v>1060</v>
      </c>
      <c r="G18" t="s">
        <v>1061</v>
      </c>
      <c r="H18" s="18">
        <v>44943</v>
      </c>
      <c r="I18" t="s">
        <v>38</v>
      </c>
      <c r="J18" t="s">
        <v>20</v>
      </c>
      <c r="K18" t="s">
        <v>1032</v>
      </c>
      <c r="L18">
        <v>64</v>
      </c>
      <c r="M18" t="s">
        <v>21</v>
      </c>
      <c r="N18">
        <v>4</v>
      </c>
      <c r="O18">
        <v>30</v>
      </c>
      <c r="P18">
        <v>120</v>
      </c>
      <c r="Q18">
        <v>1.7999999999999998</v>
      </c>
      <c r="R18">
        <v>2.4</v>
      </c>
    </row>
    <row r="19" spans="1:18" x14ac:dyDescent="0.35">
      <c r="A19">
        <v>15</v>
      </c>
      <c r="B19">
        <v>16</v>
      </c>
      <c r="C19">
        <v>1</v>
      </c>
      <c r="D19">
        <v>2023</v>
      </c>
      <c r="E19" t="s">
        <v>1067</v>
      </c>
      <c r="F19" t="s">
        <v>1060</v>
      </c>
      <c r="G19" t="s">
        <v>1061</v>
      </c>
      <c r="H19" s="18">
        <v>44942</v>
      </c>
      <c r="I19" t="s">
        <v>39</v>
      </c>
      <c r="J19" t="s">
        <v>23</v>
      </c>
      <c r="K19" t="s">
        <v>1030</v>
      </c>
      <c r="L19">
        <v>42</v>
      </c>
      <c r="M19" t="s">
        <v>21</v>
      </c>
      <c r="N19">
        <v>4</v>
      </c>
      <c r="O19">
        <v>500</v>
      </c>
      <c r="P19">
        <v>2000</v>
      </c>
      <c r="Q19">
        <v>30</v>
      </c>
      <c r="R19">
        <v>40</v>
      </c>
    </row>
    <row r="20" spans="1:18" x14ac:dyDescent="0.35">
      <c r="A20">
        <v>16</v>
      </c>
      <c r="B20">
        <v>17</v>
      </c>
      <c r="C20">
        <v>2</v>
      </c>
      <c r="D20">
        <v>2023</v>
      </c>
      <c r="E20" t="s">
        <v>1070</v>
      </c>
      <c r="F20" t="s">
        <v>1073</v>
      </c>
      <c r="G20" t="s">
        <v>1061</v>
      </c>
      <c r="H20" s="18">
        <v>44974</v>
      </c>
      <c r="I20" t="s">
        <v>40</v>
      </c>
      <c r="J20" t="s">
        <v>20</v>
      </c>
      <c r="K20" t="s">
        <v>1034</v>
      </c>
      <c r="L20">
        <v>19</v>
      </c>
      <c r="M20" t="s">
        <v>21</v>
      </c>
      <c r="N20">
        <v>3</v>
      </c>
      <c r="O20">
        <v>500</v>
      </c>
      <c r="P20">
        <v>1500</v>
      </c>
      <c r="Q20">
        <v>22.5</v>
      </c>
      <c r="R20">
        <v>30</v>
      </c>
    </row>
    <row r="21" spans="1:18" x14ac:dyDescent="0.35">
      <c r="A21">
        <v>17</v>
      </c>
      <c r="B21">
        <v>22</v>
      </c>
      <c r="C21">
        <v>4</v>
      </c>
      <c r="D21">
        <v>2023</v>
      </c>
      <c r="E21" t="s">
        <v>1075</v>
      </c>
      <c r="F21" t="s">
        <v>1077</v>
      </c>
      <c r="G21" t="s">
        <v>1061</v>
      </c>
      <c r="H21" s="18">
        <v>45038</v>
      </c>
      <c r="I21" t="s">
        <v>42</v>
      </c>
      <c r="J21" t="s">
        <v>23</v>
      </c>
      <c r="K21" t="s">
        <v>1034</v>
      </c>
      <c r="L21">
        <v>27</v>
      </c>
      <c r="M21" t="s">
        <v>21</v>
      </c>
      <c r="N21">
        <v>4</v>
      </c>
      <c r="O21">
        <v>25</v>
      </c>
      <c r="P21">
        <v>100</v>
      </c>
      <c r="Q21">
        <v>1.5</v>
      </c>
      <c r="R21">
        <v>2</v>
      </c>
    </row>
    <row r="22" spans="1:18" x14ac:dyDescent="0.35">
      <c r="A22">
        <v>18</v>
      </c>
      <c r="B22">
        <v>30</v>
      </c>
      <c r="C22">
        <v>4</v>
      </c>
      <c r="D22">
        <v>2023</v>
      </c>
      <c r="E22" t="s">
        <v>1063</v>
      </c>
      <c r="F22" t="s">
        <v>1077</v>
      </c>
      <c r="G22" t="s">
        <v>1061</v>
      </c>
      <c r="H22" s="18">
        <v>45046</v>
      </c>
      <c r="I22" t="s">
        <v>43</v>
      </c>
      <c r="J22" t="s">
        <v>23</v>
      </c>
      <c r="K22" t="s">
        <v>1030</v>
      </c>
      <c r="L22">
        <v>47</v>
      </c>
      <c r="M22" t="s">
        <v>21</v>
      </c>
      <c r="N22">
        <v>2</v>
      </c>
      <c r="O22">
        <v>25</v>
      </c>
      <c r="P22">
        <v>50</v>
      </c>
      <c r="Q22">
        <v>0.75</v>
      </c>
      <c r="R22">
        <v>1</v>
      </c>
    </row>
    <row r="23" spans="1:18" x14ac:dyDescent="0.35">
      <c r="A23">
        <v>19</v>
      </c>
      <c r="B23">
        <v>16</v>
      </c>
      <c r="C23">
        <v>9</v>
      </c>
      <c r="D23">
        <v>2023</v>
      </c>
      <c r="E23" t="s">
        <v>1075</v>
      </c>
      <c r="F23" t="s">
        <v>1071</v>
      </c>
      <c r="G23" t="s">
        <v>1061</v>
      </c>
      <c r="H23" s="18">
        <v>45185</v>
      </c>
      <c r="I23" t="s">
        <v>44</v>
      </c>
      <c r="J23" t="s">
        <v>23</v>
      </c>
      <c r="K23" t="s">
        <v>1032</v>
      </c>
      <c r="L23">
        <v>62</v>
      </c>
      <c r="M23" t="s">
        <v>21</v>
      </c>
      <c r="N23">
        <v>2</v>
      </c>
      <c r="O23">
        <v>25</v>
      </c>
      <c r="P23">
        <v>50</v>
      </c>
      <c r="Q23">
        <v>0.75</v>
      </c>
      <c r="R23">
        <v>1</v>
      </c>
    </row>
    <row r="24" spans="1:18" x14ac:dyDescent="0.35">
      <c r="A24">
        <v>20</v>
      </c>
      <c r="B24">
        <v>5</v>
      </c>
      <c r="C24">
        <v>11</v>
      </c>
      <c r="D24">
        <v>2023</v>
      </c>
      <c r="E24" t="s">
        <v>1063</v>
      </c>
      <c r="F24" t="s">
        <v>1068</v>
      </c>
      <c r="G24" t="s">
        <v>1061</v>
      </c>
      <c r="H24" s="18">
        <v>45235</v>
      </c>
      <c r="I24" t="s">
        <v>45</v>
      </c>
      <c r="J24" t="s">
        <v>20</v>
      </c>
      <c r="K24" t="s">
        <v>1034</v>
      </c>
      <c r="L24">
        <v>22</v>
      </c>
      <c r="M24" t="s">
        <v>21</v>
      </c>
      <c r="N24">
        <v>3</v>
      </c>
      <c r="O24">
        <v>300</v>
      </c>
      <c r="P24">
        <v>900</v>
      </c>
      <c r="Q24">
        <v>13.5</v>
      </c>
      <c r="R24">
        <v>18</v>
      </c>
    </row>
    <row r="25" spans="1:18" x14ac:dyDescent="0.35">
      <c r="A25">
        <v>21</v>
      </c>
      <c r="B25">
        <v>14</v>
      </c>
      <c r="C25">
        <v>1</v>
      </c>
      <c r="D25">
        <v>2023</v>
      </c>
      <c r="E25" t="s">
        <v>1075</v>
      </c>
      <c r="F25" t="s">
        <v>1060</v>
      </c>
      <c r="G25" t="s">
        <v>1061</v>
      </c>
      <c r="H25" s="18">
        <v>44940</v>
      </c>
      <c r="I25" t="s">
        <v>46</v>
      </c>
      <c r="J25" t="s">
        <v>23</v>
      </c>
      <c r="K25" t="s">
        <v>1030</v>
      </c>
      <c r="L25">
        <v>50</v>
      </c>
      <c r="M25" t="s">
        <v>21</v>
      </c>
      <c r="N25">
        <v>1</v>
      </c>
      <c r="O25">
        <v>500</v>
      </c>
      <c r="P25">
        <v>500</v>
      </c>
      <c r="Q25">
        <v>7.5</v>
      </c>
      <c r="R25">
        <v>10</v>
      </c>
    </row>
    <row r="26" spans="1:18" x14ac:dyDescent="0.35">
      <c r="A26">
        <v>22</v>
      </c>
      <c r="B26">
        <v>15</v>
      </c>
      <c r="C26">
        <v>10</v>
      </c>
      <c r="D26">
        <v>2023</v>
      </c>
      <c r="E26" t="s">
        <v>1063</v>
      </c>
      <c r="F26" t="s">
        <v>1064</v>
      </c>
      <c r="G26" t="s">
        <v>1061</v>
      </c>
      <c r="H26" s="18">
        <v>45214</v>
      </c>
      <c r="I26" t="s">
        <v>47</v>
      </c>
      <c r="J26" t="s">
        <v>20</v>
      </c>
      <c r="K26" t="s">
        <v>1034</v>
      </c>
      <c r="L26">
        <v>18</v>
      </c>
      <c r="M26" t="s">
        <v>21</v>
      </c>
      <c r="N26">
        <v>2</v>
      </c>
      <c r="O26">
        <v>50</v>
      </c>
      <c r="P26">
        <v>100</v>
      </c>
      <c r="Q26">
        <v>1.5</v>
      </c>
      <c r="R26">
        <v>2</v>
      </c>
    </row>
    <row r="27" spans="1:18" x14ac:dyDescent="0.35">
      <c r="A27">
        <v>23</v>
      </c>
      <c r="B27">
        <v>12</v>
      </c>
      <c r="C27">
        <v>4</v>
      </c>
      <c r="D27">
        <v>2023</v>
      </c>
      <c r="E27" t="s">
        <v>1065</v>
      </c>
      <c r="F27" t="s">
        <v>1077</v>
      </c>
      <c r="G27" t="s">
        <v>1061</v>
      </c>
      <c r="H27" s="18">
        <v>45028</v>
      </c>
      <c r="I27" t="s">
        <v>48</v>
      </c>
      <c r="J27" t="s">
        <v>23</v>
      </c>
      <c r="K27" t="s">
        <v>1030</v>
      </c>
      <c r="L27">
        <v>35</v>
      </c>
      <c r="M27" t="s">
        <v>21</v>
      </c>
      <c r="N27">
        <v>4</v>
      </c>
      <c r="O27">
        <v>30</v>
      </c>
      <c r="P27">
        <v>120</v>
      </c>
      <c r="Q27">
        <v>1.7999999999999998</v>
      </c>
      <c r="R27">
        <v>2.4</v>
      </c>
    </row>
    <row r="28" spans="1:18" x14ac:dyDescent="0.35">
      <c r="A28">
        <v>24</v>
      </c>
      <c r="B28">
        <v>29</v>
      </c>
      <c r="C28">
        <v>11</v>
      </c>
      <c r="D28">
        <v>2023</v>
      </c>
      <c r="E28" t="s">
        <v>1065</v>
      </c>
      <c r="F28" t="s">
        <v>1068</v>
      </c>
      <c r="G28" t="s">
        <v>1061</v>
      </c>
      <c r="H28" s="18">
        <v>45259</v>
      </c>
      <c r="I28" t="s">
        <v>49</v>
      </c>
      <c r="J28" t="s">
        <v>23</v>
      </c>
      <c r="K28" t="s">
        <v>1030</v>
      </c>
      <c r="L28">
        <v>49</v>
      </c>
      <c r="M28" t="s">
        <v>21</v>
      </c>
      <c r="N28">
        <v>1</v>
      </c>
      <c r="O28">
        <v>300</v>
      </c>
      <c r="P28">
        <v>300</v>
      </c>
      <c r="Q28">
        <v>4.5</v>
      </c>
      <c r="R28">
        <v>6</v>
      </c>
    </row>
    <row r="29" spans="1:18" x14ac:dyDescent="0.35">
      <c r="A29">
        <v>25</v>
      </c>
      <c r="B29">
        <v>26</v>
      </c>
      <c r="C29">
        <v>12</v>
      </c>
      <c r="D29">
        <v>2023</v>
      </c>
      <c r="E29" t="s">
        <v>1059</v>
      </c>
      <c r="F29" t="s">
        <v>1062</v>
      </c>
      <c r="G29" t="s">
        <v>1061</v>
      </c>
      <c r="H29" s="18">
        <v>45286</v>
      </c>
      <c r="I29" t="s">
        <v>50</v>
      </c>
      <c r="J29" t="s">
        <v>23</v>
      </c>
      <c r="K29" t="s">
        <v>1032</v>
      </c>
      <c r="L29">
        <v>64</v>
      </c>
      <c r="M29" t="s">
        <v>21</v>
      </c>
      <c r="N29">
        <v>1</v>
      </c>
      <c r="O29">
        <v>50</v>
      </c>
      <c r="P29">
        <v>50</v>
      </c>
      <c r="Q29">
        <v>0.75</v>
      </c>
      <c r="R29">
        <v>1</v>
      </c>
    </row>
    <row r="30" spans="1:18" x14ac:dyDescent="0.35">
      <c r="A30">
        <v>26</v>
      </c>
      <c r="B30">
        <v>7</v>
      </c>
      <c r="C30">
        <v>10</v>
      </c>
      <c r="D30">
        <v>2023</v>
      </c>
      <c r="E30" t="s">
        <v>1075</v>
      </c>
      <c r="F30" t="s">
        <v>1064</v>
      </c>
      <c r="G30" t="s">
        <v>1061</v>
      </c>
      <c r="H30" s="18">
        <v>45206</v>
      </c>
      <c r="I30" t="s">
        <v>51</v>
      </c>
      <c r="J30" t="s">
        <v>23</v>
      </c>
      <c r="K30" t="s">
        <v>1034</v>
      </c>
      <c r="L30">
        <v>28</v>
      </c>
      <c r="M30" t="s">
        <v>21</v>
      </c>
      <c r="N30">
        <v>2</v>
      </c>
      <c r="O30">
        <v>500</v>
      </c>
      <c r="P30">
        <v>1000</v>
      </c>
      <c r="Q30">
        <v>15</v>
      </c>
      <c r="R30">
        <v>20</v>
      </c>
    </row>
    <row r="31" spans="1:18" x14ac:dyDescent="0.35">
      <c r="A31">
        <v>27</v>
      </c>
      <c r="B31">
        <v>3</v>
      </c>
      <c r="C31">
        <v>8</v>
      </c>
      <c r="D31">
        <v>2023</v>
      </c>
      <c r="E31" t="s">
        <v>1072</v>
      </c>
      <c r="F31" t="s">
        <v>1074</v>
      </c>
      <c r="G31" t="s">
        <v>1061</v>
      </c>
      <c r="H31" s="18">
        <v>45141</v>
      </c>
      <c r="I31" t="s">
        <v>52</v>
      </c>
      <c r="J31" t="s">
        <v>23</v>
      </c>
      <c r="K31" t="s">
        <v>1030</v>
      </c>
      <c r="L31">
        <v>38</v>
      </c>
      <c r="M31" t="s">
        <v>21</v>
      </c>
      <c r="N31">
        <v>2</v>
      </c>
      <c r="O31">
        <v>25</v>
      </c>
      <c r="P31">
        <v>50</v>
      </c>
      <c r="Q31">
        <v>0.75</v>
      </c>
      <c r="R31">
        <v>1</v>
      </c>
    </row>
    <row r="32" spans="1:18" x14ac:dyDescent="0.35">
      <c r="A32">
        <v>28</v>
      </c>
      <c r="B32">
        <v>23</v>
      </c>
      <c r="C32">
        <v>4</v>
      </c>
      <c r="D32">
        <v>2023</v>
      </c>
      <c r="E32" t="s">
        <v>1063</v>
      </c>
      <c r="F32" t="s">
        <v>1077</v>
      </c>
      <c r="G32" t="s">
        <v>1061</v>
      </c>
      <c r="H32" s="18">
        <v>45039</v>
      </c>
      <c r="I32" t="s">
        <v>53</v>
      </c>
      <c r="J32" t="s">
        <v>23</v>
      </c>
      <c r="K32" t="s">
        <v>1030</v>
      </c>
      <c r="L32">
        <v>43</v>
      </c>
      <c r="M32" t="s">
        <v>21</v>
      </c>
      <c r="N32">
        <v>1</v>
      </c>
      <c r="O32">
        <v>500</v>
      </c>
      <c r="P32">
        <v>500</v>
      </c>
      <c r="Q32">
        <v>7.5</v>
      </c>
      <c r="R32">
        <v>10</v>
      </c>
    </row>
    <row r="33" spans="1:18" x14ac:dyDescent="0.35">
      <c r="A33">
        <v>29</v>
      </c>
      <c r="B33">
        <v>18</v>
      </c>
      <c r="C33">
        <v>8</v>
      </c>
      <c r="D33">
        <v>2023</v>
      </c>
      <c r="E33" t="s">
        <v>1070</v>
      </c>
      <c r="F33" t="s">
        <v>1074</v>
      </c>
      <c r="G33" t="s">
        <v>1061</v>
      </c>
      <c r="H33" s="18">
        <v>45156</v>
      </c>
      <c r="I33" t="s">
        <v>54</v>
      </c>
      <c r="J33" t="s">
        <v>23</v>
      </c>
      <c r="K33" t="s">
        <v>1030</v>
      </c>
      <c r="L33">
        <v>42</v>
      </c>
      <c r="M33" t="s">
        <v>21</v>
      </c>
      <c r="N33">
        <v>1</v>
      </c>
      <c r="O33">
        <v>30</v>
      </c>
      <c r="P33">
        <v>30</v>
      </c>
      <c r="Q33">
        <v>0.44999999999999996</v>
      </c>
      <c r="R33">
        <v>0.6</v>
      </c>
    </row>
    <row r="34" spans="1:18" x14ac:dyDescent="0.35">
      <c r="A34">
        <v>30</v>
      </c>
      <c r="B34">
        <v>29</v>
      </c>
      <c r="C34">
        <v>10</v>
      </c>
      <c r="D34">
        <v>2023</v>
      </c>
      <c r="E34" t="s">
        <v>1063</v>
      </c>
      <c r="F34" t="s">
        <v>1064</v>
      </c>
      <c r="G34" t="s">
        <v>1061</v>
      </c>
      <c r="H34" s="18">
        <v>45228</v>
      </c>
      <c r="I34" t="s">
        <v>55</v>
      </c>
      <c r="J34" t="s">
        <v>23</v>
      </c>
      <c r="K34" t="s">
        <v>1030</v>
      </c>
      <c r="L34">
        <v>39</v>
      </c>
      <c r="M34" t="s">
        <v>21</v>
      </c>
      <c r="N34">
        <v>3</v>
      </c>
      <c r="O34">
        <v>300</v>
      </c>
      <c r="P34">
        <v>900</v>
      </c>
      <c r="Q34">
        <v>13.5</v>
      </c>
      <c r="R34">
        <v>18</v>
      </c>
    </row>
    <row r="35" spans="1:18" x14ac:dyDescent="0.35">
      <c r="A35">
        <v>31</v>
      </c>
      <c r="B35">
        <v>23</v>
      </c>
      <c r="C35">
        <v>5</v>
      </c>
      <c r="D35">
        <v>2023</v>
      </c>
      <c r="E35" t="s">
        <v>1059</v>
      </c>
      <c r="F35" t="s">
        <v>1076</v>
      </c>
      <c r="G35" t="s">
        <v>1061</v>
      </c>
      <c r="H35" s="18">
        <v>45069</v>
      </c>
      <c r="I35" t="s">
        <v>56</v>
      </c>
      <c r="J35" t="s">
        <v>20</v>
      </c>
      <c r="K35" t="s">
        <v>1030</v>
      </c>
      <c r="L35">
        <v>44</v>
      </c>
      <c r="M35" t="s">
        <v>21</v>
      </c>
      <c r="N35">
        <v>4</v>
      </c>
      <c r="O35">
        <v>300</v>
      </c>
      <c r="P35">
        <v>1200</v>
      </c>
      <c r="Q35">
        <v>18</v>
      </c>
      <c r="R35">
        <v>24</v>
      </c>
    </row>
    <row r="36" spans="1:18" x14ac:dyDescent="0.35">
      <c r="A36">
        <v>32</v>
      </c>
      <c r="B36">
        <v>4</v>
      </c>
      <c r="C36">
        <v>1</v>
      </c>
      <c r="D36">
        <v>2023</v>
      </c>
      <c r="E36" t="s">
        <v>1065</v>
      </c>
      <c r="F36" t="s">
        <v>1060</v>
      </c>
      <c r="G36" t="s">
        <v>1061</v>
      </c>
      <c r="H36" s="18">
        <v>44930</v>
      </c>
      <c r="I36" t="s">
        <v>57</v>
      </c>
      <c r="J36" t="s">
        <v>20</v>
      </c>
      <c r="K36" t="s">
        <v>1030</v>
      </c>
      <c r="L36">
        <v>30</v>
      </c>
      <c r="M36" t="s">
        <v>21</v>
      </c>
      <c r="N36">
        <v>3</v>
      </c>
      <c r="O36">
        <v>30</v>
      </c>
      <c r="P36">
        <v>90</v>
      </c>
      <c r="Q36">
        <v>1.3499999999999999</v>
      </c>
      <c r="R36">
        <v>1.8</v>
      </c>
    </row>
    <row r="37" spans="1:18" x14ac:dyDescent="0.35">
      <c r="A37">
        <v>33</v>
      </c>
      <c r="B37">
        <v>23</v>
      </c>
      <c r="C37">
        <v>3</v>
      </c>
      <c r="D37">
        <v>2023</v>
      </c>
      <c r="E37" t="s">
        <v>1072</v>
      </c>
      <c r="F37" t="s">
        <v>1066</v>
      </c>
      <c r="G37" t="s">
        <v>1061</v>
      </c>
      <c r="H37" s="18">
        <v>45008</v>
      </c>
      <c r="I37" t="s">
        <v>58</v>
      </c>
      <c r="J37" t="s">
        <v>23</v>
      </c>
      <c r="K37" t="s">
        <v>1030</v>
      </c>
      <c r="L37">
        <v>50</v>
      </c>
      <c r="M37" t="s">
        <v>21</v>
      </c>
      <c r="N37">
        <v>2</v>
      </c>
      <c r="O37">
        <v>50</v>
      </c>
      <c r="P37">
        <v>100</v>
      </c>
      <c r="Q37">
        <v>1.5</v>
      </c>
      <c r="R37">
        <v>2</v>
      </c>
    </row>
    <row r="38" spans="1:18" x14ac:dyDescent="0.35">
      <c r="A38">
        <v>34</v>
      </c>
      <c r="B38">
        <v>24</v>
      </c>
      <c r="C38">
        <v>12</v>
      </c>
      <c r="D38">
        <v>2023</v>
      </c>
      <c r="E38" t="s">
        <v>1063</v>
      </c>
      <c r="F38" t="s">
        <v>1062</v>
      </c>
      <c r="G38" t="s">
        <v>1061</v>
      </c>
      <c r="H38" s="18">
        <v>45284</v>
      </c>
      <c r="I38" t="s">
        <v>59</v>
      </c>
      <c r="J38" t="s">
        <v>23</v>
      </c>
      <c r="K38" t="s">
        <v>1032</v>
      </c>
      <c r="L38">
        <v>51</v>
      </c>
      <c r="M38" t="s">
        <v>21</v>
      </c>
      <c r="N38">
        <v>3</v>
      </c>
      <c r="O38">
        <v>50</v>
      </c>
      <c r="P38">
        <v>150</v>
      </c>
      <c r="Q38">
        <v>2.25</v>
      </c>
      <c r="R38">
        <v>3</v>
      </c>
    </row>
    <row r="39" spans="1:18" x14ac:dyDescent="0.35">
      <c r="A39">
        <v>35</v>
      </c>
      <c r="B39">
        <v>5</v>
      </c>
      <c r="C39">
        <v>8</v>
      </c>
      <c r="D39">
        <v>2023</v>
      </c>
      <c r="E39" t="s">
        <v>1075</v>
      </c>
      <c r="F39" t="s">
        <v>1074</v>
      </c>
      <c r="G39" t="s">
        <v>1061</v>
      </c>
      <c r="H39" s="18">
        <v>45143</v>
      </c>
      <c r="I39" t="s">
        <v>60</v>
      </c>
      <c r="J39" t="s">
        <v>23</v>
      </c>
      <c r="K39" t="s">
        <v>1032</v>
      </c>
      <c r="L39">
        <v>58</v>
      </c>
      <c r="M39" t="s">
        <v>21</v>
      </c>
      <c r="N39">
        <v>3</v>
      </c>
      <c r="O39">
        <v>300</v>
      </c>
      <c r="P39">
        <v>900</v>
      </c>
      <c r="Q39">
        <v>13.5</v>
      </c>
      <c r="R39">
        <v>18</v>
      </c>
    </row>
    <row r="40" spans="1:18" x14ac:dyDescent="0.35">
      <c r="A40">
        <v>36</v>
      </c>
      <c r="B40">
        <v>24</v>
      </c>
      <c r="C40">
        <v>6</v>
      </c>
      <c r="D40">
        <v>2023</v>
      </c>
      <c r="E40" t="s">
        <v>1075</v>
      </c>
      <c r="F40" t="s">
        <v>1069</v>
      </c>
      <c r="G40" t="s">
        <v>1061</v>
      </c>
      <c r="H40" s="18">
        <v>45101</v>
      </c>
      <c r="I40" t="s">
        <v>61</v>
      </c>
      <c r="J40" t="s">
        <v>20</v>
      </c>
      <c r="K40" t="s">
        <v>1032</v>
      </c>
      <c r="L40">
        <v>52</v>
      </c>
      <c r="M40" t="s">
        <v>21</v>
      </c>
      <c r="N40">
        <v>3</v>
      </c>
      <c r="O40">
        <v>300</v>
      </c>
      <c r="P40">
        <v>900</v>
      </c>
      <c r="Q40">
        <v>13.5</v>
      </c>
      <c r="R40">
        <v>18</v>
      </c>
    </row>
    <row r="41" spans="1:18" x14ac:dyDescent="0.35">
      <c r="A41">
        <v>37</v>
      </c>
      <c r="B41">
        <v>23</v>
      </c>
      <c r="C41">
        <v>5</v>
      </c>
      <c r="D41">
        <v>2023</v>
      </c>
      <c r="E41" t="s">
        <v>1059</v>
      </c>
      <c r="F41" t="s">
        <v>1076</v>
      </c>
      <c r="G41" t="s">
        <v>1061</v>
      </c>
      <c r="H41" s="18">
        <v>45069</v>
      </c>
      <c r="I41" t="s">
        <v>62</v>
      </c>
      <c r="J41" t="s">
        <v>23</v>
      </c>
      <c r="K41" t="s">
        <v>1034</v>
      </c>
      <c r="L41">
        <v>18</v>
      </c>
      <c r="M41" t="s">
        <v>21</v>
      </c>
      <c r="N41">
        <v>3</v>
      </c>
      <c r="O41">
        <v>25</v>
      </c>
      <c r="P41">
        <v>75</v>
      </c>
      <c r="Q41">
        <v>1.125</v>
      </c>
      <c r="R41">
        <v>1.5</v>
      </c>
    </row>
    <row r="42" spans="1:18" x14ac:dyDescent="0.35">
      <c r="A42">
        <v>38</v>
      </c>
      <c r="B42">
        <v>21</v>
      </c>
      <c r="C42">
        <v>3</v>
      </c>
      <c r="D42">
        <v>2023</v>
      </c>
      <c r="E42" t="s">
        <v>1059</v>
      </c>
      <c r="F42" t="s">
        <v>1066</v>
      </c>
      <c r="G42" t="s">
        <v>1061</v>
      </c>
      <c r="H42" s="18">
        <v>45006</v>
      </c>
      <c r="I42" t="s">
        <v>63</v>
      </c>
      <c r="J42" t="s">
        <v>20</v>
      </c>
      <c r="K42" t="s">
        <v>1030</v>
      </c>
      <c r="L42">
        <v>38</v>
      </c>
      <c r="M42" t="s">
        <v>21</v>
      </c>
      <c r="N42">
        <v>4</v>
      </c>
      <c r="O42">
        <v>50</v>
      </c>
      <c r="P42">
        <v>200</v>
      </c>
      <c r="Q42">
        <v>3</v>
      </c>
      <c r="R42">
        <v>4</v>
      </c>
    </row>
    <row r="43" spans="1:18" x14ac:dyDescent="0.35">
      <c r="A43">
        <v>39</v>
      </c>
      <c r="B43">
        <v>21</v>
      </c>
      <c r="C43">
        <v>4</v>
      </c>
      <c r="D43">
        <v>2023</v>
      </c>
      <c r="E43" t="s">
        <v>1070</v>
      </c>
      <c r="F43" t="s">
        <v>1077</v>
      </c>
      <c r="G43" t="s">
        <v>1061</v>
      </c>
      <c r="H43" s="18">
        <v>45037</v>
      </c>
      <c r="I43" t="s">
        <v>64</v>
      </c>
      <c r="J43" t="s">
        <v>20</v>
      </c>
      <c r="K43" t="s">
        <v>1034</v>
      </c>
      <c r="L43">
        <v>23</v>
      </c>
      <c r="M43" t="s">
        <v>21</v>
      </c>
      <c r="N43">
        <v>4</v>
      </c>
      <c r="O43">
        <v>30</v>
      </c>
      <c r="P43">
        <v>120</v>
      </c>
      <c r="Q43">
        <v>1.7999999999999998</v>
      </c>
      <c r="R43">
        <v>2.4</v>
      </c>
    </row>
    <row r="44" spans="1:18" x14ac:dyDescent="0.35">
      <c r="A44">
        <v>40</v>
      </c>
      <c r="B44">
        <v>22</v>
      </c>
      <c r="C44">
        <v>6</v>
      </c>
      <c r="D44">
        <v>2023</v>
      </c>
      <c r="E44" t="s">
        <v>1072</v>
      </c>
      <c r="F44" t="s">
        <v>1069</v>
      </c>
      <c r="G44" t="s">
        <v>1061</v>
      </c>
      <c r="H44" s="18">
        <v>45099</v>
      </c>
      <c r="I44" t="s">
        <v>65</v>
      </c>
      <c r="J44" t="s">
        <v>20</v>
      </c>
      <c r="K44" t="s">
        <v>1030</v>
      </c>
      <c r="L44">
        <v>45</v>
      </c>
      <c r="M44" t="s">
        <v>21</v>
      </c>
      <c r="N44">
        <v>1</v>
      </c>
      <c r="O44">
        <v>50</v>
      </c>
      <c r="P44">
        <v>50</v>
      </c>
      <c r="Q44">
        <v>0.75</v>
      </c>
      <c r="R44">
        <v>1</v>
      </c>
    </row>
    <row r="45" spans="1:18" x14ac:dyDescent="0.35">
      <c r="A45">
        <v>41</v>
      </c>
      <c r="B45">
        <v>22</v>
      </c>
      <c r="C45">
        <v>2</v>
      </c>
      <c r="D45">
        <v>2023</v>
      </c>
      <c r="E45" t="s">
        <v>1065</v>
      </c>
      <c r="F45" t="s">
        <v>1073</v>
      </c>
      <c r="G45" t="s">
        <v>1061</v>
      </c>
      <c r="H45" s="18">
        <v>44979</v>
      </c>
      <c r="I45" t="s">
        <v>66</v>
      </c>
      <c r="J45" t="s">
        <v>20</v>
      </c>
      <c r="K45" t="s">
        <v>1030</v>
      </c>
      <c r="L45">
        <v>34</v>
      </c>
      <c r="M45" t="s">
        <v>21</v>
      </c>
      <c r="N45">
        <v>2</v>
      </c>
      <c r="O45">
        <v>25</v>
      </c>
      <c r="P45">
        <v>50</v>
      </c>
      <c r="Q45">
        <v>0.75</v>
      </c>
      <c r="R45">
        <v>1</v>
      </c>
    </row>
    <row r="46" spans="1:18" x14ac:dyDescent="0.35">
      <c r="A46">
        <v>42</v>
      </c>
      <c r="B46">
        <v>17</v>
      </c>
      <c r="C46">
        <v>2</v>
      </c>
      <c r="D46">
        <v>2023</v>
      </c>
      <c r="E46" t="s">
        <v>1070</v>
      </c>
      <c r="F46" t="s">
        <v>1073</v>
      </c>
      <c r="G46" t="s">
        <v>1061</v>
      </c>
      <c r="H46" s="18">
        <v>44974</v>
      </c>
      <c r="I46" t="s">
        <v>67</v>
      </c>
      <c r="J46" t="s">
        <v>20</v>
      </c>
      <c r="K46" t="s">
        <v>1034</v>
      </c>
      <c r="L46">
        <v>22</v>
      </c>
      <c r="M46" t="s">
        <v>21</v>
      </c>
      <c r="N46">
        <v>3</v>
      </c>
      <c r="O46">
        <v>300</v>
      </c>
      <c r="P46">
        <v>900</v>
      </c>
      <c r="Q46">
        <v>13.5</v>
      </c>
      <c r="R46">
        <v>18</v>
      </c>
    </row>
    <row r="47" spans="1:18" x14ac:dyDescent="0.35">
      <c r="A47">
        <v>43</v>
      </c>
      <c r="B47">
        <v>14</v>
      </c>
      <c r="C47">
        <v>7</v>
      </c>
      <c r="D47">
        <v>2023</v>
      </c>
      <c r="E47" t="s">
        <v>1070</v>
      </c>
      <c r="F47" t="s">
        <v>1078</v>
      </c>
      <c r="G47" t="s">
        <v>1061</v>
      </c>
      <c r="H47" s="18">
        <v>45121</v>
      </c>
      <c r="I47" t="s">
        <v>68</v>
      </c>
      <c r="J47" t="s">
        <v>23</v>
      </c>
      <c r="K47" t="s">
        <v>1030</v>
      </c>
      <c r="L47">
        <v>48</v>
      </c>
      <c r="M47" t="s">
        <v>21</v>
      </c>
      <c r="N47">
        <v>1</v>
      </c>
      <c r="O47">
        <v>300</v>
      </c>
      <c r="P47">
        <v>300</v>
      </c>
      <c r="Q47">
        <v>4.5</v>
      </c>
      <c r="R47">
        <v>6</v>
      </c>
    </row>
    <row r="48" spans="1:18" x14ac:dyDescent="0.35">
      <c r="A48">
        <v>44</v>
      </c>
      <c r="B48">
        <v>19</v>
      </c>
      <c r="C48">
        <v>2</v>
      </c>
      <c r="D48">
        <v>2023</v>
      </c>
      <c r="E48" t="s">
        <v>1063</v>
      </c>
      <c r="F48" t="s">
        <v>1073</v>
      </c>
      <c r="G48" t="s">
        <v>1061</v>
      </c>
      <c r="H48" s="18">
        <v>44976</v>
      </c>
      <c r="I48" t="s">
        <v>69</v>
      </c>
      <c r="J48" t="s">
        <v>23</v>
      </c>
      <c r="K48" t="s">
        <v>1034</v>
      </c>
      <c r="L48">
        <v>22</v>
      </c>
      <c r="M48" t="s">
        <v>21</v>
      </c>
      <c r="N48">
        <v>1</v>
      </c>
      <c r="O48">
        <v>25</v>
      </c>
      <c r="P48">
        <v>25</v>
      </c>
      <c r="Q48">
        <v>0.375</v>
      </c>
      <c r="R48">
        <v>0.5</v>
      </c>
    </row>
    <row r="49" spans="1:18" x14ac:dyDescent="0.35">
      <c r="A49">
        <v>45</v>
      </c>
      <c r="B49">
        <v>3</v>
      </c>
      <c r="C49">
        <v>7</v>
      </c>
      <c r="D49">
        <v>2023</v>
      </c>
      <c r="E49" t="s">
        <v>1067</v>
      </c>
      <c r="F49" t="s">
        <v>1078</v>
      </c>
      <c r="G49" t="s">
        <v>1061</v>
      </c>
      <c r="H49" s="18">
        <v>45110</v>
      </c>
      <c r="I49" t="s">
        <v>70</v>
      </c>
      <c r="J49" t="s">
        <v>23</v>
      </c>
      <c r="K49" t="s">
        <v>1032</v>
      </c>
      <c r="L49">
        <v>55</v>
      </c>
      <c r="M49" t="s">
        <v>21</v>
      </c>
      <c r="N49">
        <v>1</v>
      </c>
      <c r="O49">
        <v>30</v>
      </c>
      <c r="P49">
        <v>30</v>
      </c>
      <c r="Q49">
        <v>0.44999999999999996</v>
      </c>
      <c r="R49">
        <v>0.6</v>
      </c>
    </row>
    <row r="50" spans="1:18" x14ac:dyDescent="0.35">
      <c r="A50">
        <v>46</v>
      </c>
      <c r="B50">
        <v>26</v>
      </c>
      <c r="C50">
        <v>6</v>
      </c>
      <c r="D50">
        <v>2023</v>
      </c>
      <c r="E50" t="s">
        <v>1067</v>
      </c>
      <c r="F50" t="s">
        <v>1069</v>
      </c>
      <c r="G50" t="s">
        <v>1061</v>
      </c>
      <c r="H50" s="18">
        <v>45103</v>
      </c>
      <c r="I50" t="s">
        <v>71</v>
      </c>
      <c r="J50" t="s">
        <v>23</v>
      </c>
      <c r="K50" t="s">
        <v>1034</v>
      </c>
      <c r="L50">
        <v>20</v>
      </c>
      <c r="M50" t="s">
        <v>21</v>
      </c>
      <c r="N50">
        <v>4</v>
      </c>
      <c r="O50">
        <v>300</v>
      </c>
      <c r="P50">
        <v>1200</v>
      </c>
      <c r="Q50">
        <v>18</v>
      </c>
      <c r="R50">
        <v>24</v>
      </c>
    </row>
    <row r="51" spans="1:18" x14ac:dyDescent="0.35">
      <c r="A51">
        <v>47</v>
      </c>
      <c r="B51">
        <v>6</v>
      </c>
      <c r="C51">
        <v>11</v>
      </c>
      <c r="D51">
        <v>2023</v>
      </c>
      <c r="E51" t="s">
        <v>1067</v>
      </c>
      <c r="F51" t="s">
        <v>1068</v>
      </c>
      <c r="G51" t="s">
        <v>1061</v>
      </c>
      <c r="H51" s="18">
        <v>45236</v>
      </c>
      <c r="I51" t="s">
        <v>72</v>
      </c>
      <c r="J51" t="s">
        <v>23</v>
      </c>
      <c r="K51" t="s">
        <v>1030</v>
      </c>
      <c r="L51">
        <v>40</v>
      </c>
      <c r="M51" t="s">
        <v>21</v>
      </c>
      <c r="N51">
        <v>3</v>
      </c>
      <c r="O51">
        <v>500</v>
      </c>
      <c r="P51">
        <v>1500</v>
      </c>
      <c r="Q51">
        <v>22.5</v>
      </c>
      <c r="R51">
        <v>30</v>
      </c>
    </row>
    <row r="52" spans="1:18" x14ac:dyDescent="0.35">
      <c r="A52">
        <v>48</v>
      </c>
      <c r="B52">
        <v>16</v>
      </c>
      <c r="C52">
        <v>5</v>
      </c>
      <c r="D52">
        <v>2023</v>
      </c>
      <c r="E52" t="s">
        <v>1059</v>
      </c>
      <c r="F52" t="s">
        <v>1076</v>
      </c>
      <c r="G52" t="s">
        <v>1061</v>
      </c>
      <c r="H52" s="18">
        <v>45062</v>
      </c>
      <c r="I52" t="s">
        <v>73</v>
      </c>
      <c r="J52" t="s">
        <v>20</v>
      </c>
      <c r="K52" t="s">
        <v>1032</v>
      </c>
      <c r="L52">
        <v>54</v>
      </c>
      <c r="M52" t="s">
        <v>21</v>
      </c>
      <c r="N52">
        <v>3</v>
      </c>
      <c r="O52">
        <v>300</v>
      </c>
      <c r="P52">
        <v>900</v>
      </c>
      <c r="Q52">
        <v>13.5</v>
      </c>
      <c r="R52">
        <v>18</v>
      </c>
    </row>
    <row r="53" spans="1:18" x14ac:dyDescent="0.35">
      <c r="A53">
        <v>49</v>
      </c>
      <c r="B53">
        <v>23</v>
      </c>
      <c r="C53">
        <v>1</v>
      </c>
      <c r="D53">
        <v>2023</v>
      </c>
      <c r="E53" t="s">
        <v>1067</v>
      </c>
      <c r="F53" t="s">
        <v>1060</v>
      </c>
      <c r="G53" t="s">
        <v>1061</v>
      </c>
      <c r="H53" s="18">
        <v>44949</v>
      </c>
      <c r="I53" t="s">
        <v>74</v>
      </c>
      <c r="J53" t="s">
        <v>23</v>
      </c>
      <c r="K53" t="s">
        <v>1032</v>
      </c>
      <c r="L53">
        <v>54</v>
      </c>
      <c r="M53" t="s">
        <v>21</v>
      </c>
      <c r="N53">
        <v>2</v>
      </c>
      <c r="O53">
        <v>500</v>
      </c>
      <c r="P53">
        <v>1000</v>
      </c>
      <c r="Q53">
        <v>15</v>
      </c>
      <c r="R53">
        <v>20</v>
      </c>
    </row>
    <row r="54" spans="1:18" x14ac:dyDescent="0.35">
      <c r="A54">
        <v>50</v>
      </c>
      <c r="B54">
        <v>24</v>
      </c>
      <c r="C54">
        <v>8</v>
      </c>
      <c r="D54">
        <v>2023</v>
      </c>
      <c r="E54" t="s">
        <v>1072</v>
      </c>
      <c r="F54" t="s">
        <v>1074</v>
      </c>
      <c r="G54" t="s">
        <v>1061</v>
      </c>
      <c r="H54" s="18">
        <v>45162</v>
      </c>
      <c r="I54" t="s">
        <v>75</v>
      </c>
      <c r="J54" t="s">
        <v>23</v>
      </c>
      <c r="K54" t="s">
        <v>1034</v>
      </c>
      <c r="L54">
        <v>27</v>
      </c>
      <c r="M54" t="s">
        <v>21</v>
      </c>
      <c r="N54">
        <v>3</v>
      </c>
      <c r="O54">
        <v>25</v>
      </c>
      <c r="P54">
        <v>75</v>
      </c>
      <c r="Q54">
        <v>1.125</v>
      </c>
      <c r="R54">
        <v>1.5</v>
      </c>
    </row>
    <row r="55" spans="1:18" x14ac:dyDescent="0.35">
      <c r="A55">
        <v>51</v>
      </c>
      <c r="B55">
        <v>2</v>
      </c>
      <c r="C55">
        <v>10</v>
      </c>
      <c r="D55">
        <v>2023</v>
      </c>
      <c r="E55" t="s">
        <v>1067</v>
      </c>
      <c r="F55" t="s">
        <v>1064</v>
      </c>
      <c r="G55" t="s">
        <v>1061</v>
      </c>
      <c r="H55" s="18">
        <v>45201</v>
      </c>
      <c r="I55" t="s">
        <v>76</v>
      </c>
      <c r="J55" t="s">
        <v>20</v>
      </c>
      <c r="K55" t="s">
        <v>1034</v>
      </c>
      <c r="L55">
        <v>27</v>
      </c>
      <c r="M55" t="s">
        <v>21</v>
      </c>
      <c r="N55">
        <v>3</v>
      </c>
      <c r="O55">
        <v>25</v>
      </c>
      <c r="P55">
        <v>75</v>
      </c>
      <c r="Q55">
        <v>1.125</v>
      </c>
      <c r="R55">
        <v>1.5</v>
      </c>
    </row>
    <row r="56" spans="1:18" x14ac:dyDescent="0.35">
      <c r="A56">
        <v>52</v>
      </c>
      <c r="B56">
        <v>5</v>
      </c>
      <c r="C56">
        <v>3</v>
      </c>
      <c r="D56">
        <v>2023</v>
      </c>
      <c r="E56" t="s">
        <v>1063</v>
      </c>
      <c r="F56" t="s">
        <v>1066</v>
      </c>
      <c r="G56" t="s">
        <v>1061</v>
      </c>
      <c r="H56" s="18">
        <v>44990</v>
      </c>
      <c r="I56" t="s">
        <v>77</v>
      </c>
      <c r="J56" t="s">
        <v>23</v>
      </c>
      <c r="K56" t="s">
        <v>1030</v>
      </c>
      <c r="L56">
        <v>36</v>
      </c>
      <c r="M56" t="s">
        <v>21</v>
      </c>
      <c r="N56">
        <v>1</v>
      </c>
      <c r="O56">
        <v>300</v>
      </c>
      <c r="P56">
        <v>300</v>
      </c>
      <c r="Q56">
        <v>4.5</v>
      </c>
      <c r="R56">
        <v>6</v>
      </c>
    </row>
    <row r="57" spans="1:18" x14ac:dyDescent="0.35">
      <c r="A57">
        <v>53</v>
      </c>
      <c r="B57">
        <v>13</v>
      </c>
      <c r="C57">
        <v>7</v>
      </c>
      <c r="D57">
        <v>2023</v>
      </c>
      <c r="E57" t="s">
        <v>1072</v>
      </c>
      <c r="F57" t="s">
        <v>1078</v>
      </c>
      <c r="G57" t="s">
        <v>1061</v>
      </c>
      <c r="H57" s="18">
        <v>45120</v>
      </c>
      <c r="I57" t="s">
        <v>78</v>
      </c>
      <c r="J57" t="s">
        <v>20</v>
      </c>
      <c r="K57" t="s">
        <v>1030</v>
      </c>
      <c r="L57">
        <v>34</v>
      </c>
      <c r="M57" t="s">
        <v>21</v>
      </c>
      <c r="N57">
        <v>2</v>
      </c>
      <c r="O57">
        <v>50</v>
      </c>
      <c r="P57">
        <v>100</v>
      </c>
      <c r="Q57">
        <v>1.5</v>
      </c>
      <c r="R57">
        <v>2</v>
      </c>
    </row>
    <row r="58" spans="1:18" x14ac:dyDescent="0.35">
      <c r="A58">
        <v>54</v>
      </c>
      <c r="B58">
        <v>10</v>
      </c>
      <c r="C58">
        <v>2</v>
      </c>
      <c r="D58">
        <v>2023</v>
      </c>
      <c r="E58" t="s">
        <v>1070</v>
      </c>
      <c r="F58" t="s">
        <v>1073</v>
      </c>
      <c r="G58" t="s">
        <v>1061</v>
      </c>
      <c r="H58" s="18">
        <v>44967</v>
      </c>
      <c r="I58" t="s">
        <v>79</v>
      </c>
      <c r="J58" t="s">
        <v>23</v>
      </c>
      <c r="K58" t="s">
        <v>1030</v>
      </c>
      <c r="L58">
        <v>38</v>
      </c>
      <c r="M58" t="s">
        <v>21</v>
      </c>
      <c r="N58">
        <v>3</v>
      </c>
      <c r="O58">
        <v>500</v>
      </c>
      <c r="P58">
        <v>1500</v>
      </c>
      <c r="Q58">
        <v>22.5</v>
      </c>
      <c r="R58">
        <v>30</v>
      </c>
    </row>
    <row r="59" spans="1:18" x14ac:dyDescent="0.35">
      <c r="A59">
        <v>55</v>
      </c>
      <c r="B59">
        <v>10</v>
      </c>
      <c r="C59">
        <v>10</v>
      </c>
      <c r="D59">
        <v>2023</v>
      </c>
      <c r="E59" t="s">
        <v>1059</v>
      </c>
      <c r="F59" t="s">
        <v>1064</v>
      </c>
      <c r="G59" t="s">
        <v>1061</v>
      </c>
      <c r="H59" s="18">
        <v>45209</v>
      </c>
      <c r="I59" t="s">
        <v>80</v>
      </c>
      <c r="J59" t="s">
        <v>20</v>
      </c>
      <c r="K59" t="s">
        <v>1030</v>
      </c>
      <c r="L59">
        <v>31</v>
      </c>
      <c r="M59" t="s">
        <v>21</v>
      </c>
      <c r="N59">
        <v>4</v>
      </c>
      <c r="O59">
        <v>30</v>
      </c>
      <c r="P59">
        <v>120</v>
      </c>
      <c r="Q59">
        <v>1.7999999999999998</v>
      </c>
      <c r="R59">
        <v>2.4</v>
      </c>
    </row>
    <row r="60" spans="1:18" x14ac:dyDescent="0.35">
      <c r="A60">
        <v>56</v>
      </c>
      <c r="B60">
        <v>31</v>
      </c>
      <c r="C60">
        <v>5</v>
      </c>
      <c r="D60">
        <v>2023</v>
      </c>
      <c r="E60" t="s">
        <v>1065</v>
      </c>
      <c r="F60" t="s">
        <v>1076</v>
      </c>
      <c r="G60" t="s">
        <v>1061</v>
      </c>
      <c r="H60" s="18">
        <v>45077</v>
      </c>
      <c r="I60" t="s">
        <v>81</v>
      </c>
      <c r="J60" t="s">
        <v>23</v>
      </c>
      <c r="K60" t="s">
        <v>1034</v>
      </c>
      <c r="L60">
        <v>26</v>
      </c>
      <c r="M60" t="s">
        <v>21</v>
      </c>
      <c r="N60">
        <v>3</v>
      </c>
      <c r="O60">
        <v>300</v>
      </c>
      <c r="P60">
        <v>900</v>
      </c>
      <c r="Q60">
        <v>13.5</v>
      </c>
      <c r="R60">
        <v>18</v>
      </c>
    </row>
    <row r="61" spans="1:18" x14ac:dyDescent="0.35">
      <c r="A61">
        <v>57</v>
      </c>
      <c r="B61">
        <v>18</v>
      </c>
      <c r="C61">
        <v>11</v>
      </c>
      <c r="D61">
        <v>2023</v>
      </c>
      <c r="E61" t="s">
        <v>1075</v>
      </c>
      <c r="F61" t="s">
        <v>1068</v>
      </c>
      <c r="G61" t="s">
        <v>1061</v>
      </c>
      <c r="H61" s="18">
        <v>45248</v>
      </c>
      <c r="I61" t="s">
        <v>82</v>
      </c>
      <c r="J61" t="s">
        <v>23</v>
      </c>
      <c r="K61" t="s">
        <v>1032</v>
      </c>
      <c r="L61">
        <v>63</v>
      </c>
      <c r="M61" t="s">
        <v>21</v>
      </c>
      <c r="N61">
        <v>1</v>
      </c>
      <c r="O61">
        <v>30</v>
      </c>
      <c r="P61">
        <v>30</v>
      </c>
      <c r="Q61">
        <v>0.44999999999999996</v>
      </c>
      <c r="R61">
        <v>0.6</v>
      </c>
    </row>
    <row r="62" spans="1:18" x14ac:dyDescent="0.35">
      <c r="A62">
        <v>58</v>
      </c>
      <c r="B62">
        <v>13</v>
      </c>
      <c r="C62">
        <v>11</v>
      </c>
      <c r="D62">
        <v>2023</v>
      </c>
      <c r="E62" t="s">
        <v>1067</v>
      </c>
      <c r="F62" t="s">
        <v>1068</v>
      </c>
      <c r="G62" t="s">
        <v>1061</v>
      </c>
      <c r="H62" s="18">
        <v>45243</v>
      </c>
      <c r="I62" t="s">
        <v>83</v>
      </c>
      <c r="J62" t="s">
        <v>20</v>
      </c>
      <c r="K62" t="s">
        <v>1034</v>
      </c>
      <c r="L62">
        <v>18</v>
      </c>
      <c r="M62" t="s">
        <v>21</v>
      </c>
      <c r="N62">
        <v>4</v>
      </c>
      <c r="O62">
        <v>300</v>
      </c>
      <c r="P62">
        <v>1200</v>
      </c>
      <c r="Q62">
        <v>18</v>
      </c>
      <c r="R62">
        <v>24</v>
      </c>
    </row>
    <row r="63" spans="1:18" x14ac:dyDescent="0.35">
      <c r="A63">
        <v>59</v>
      </c>
      <c r="B63">
        <v>5</v>
      </c>
      <c r="C63">
        <v>7</v>
      </c>
      <c r="D63">
        <v>2023</v>
      </c>
      <c r="E63" t="s">
        <v>1065</v>
      </c>
      <c r="F63" t="s">
        <v>1078</v>
      </c>
      <c r="G63" t="s">
        <v>1061</v>
      </c>
      <c r="H63" s="18">
        <v>45112</v>
      </c>
      <c r="I63" t="s">
        <v>84</v>
      </c>
      <c r="J63" t="s">
        <v>20</v>
      </c>
      <c r="K63" t="s">
        <v>1032</v>
      </c>
      <c r="L63">
        <v>62</v>
      </c>
      <c r="M63" t="s">
        <v>21</v>
      </c>
      <c r="N63">
        <v>1</v>
      </c>
      <c r="O63">
        <v>50</v>
      </c>
      <c r="P63">
        <v>50</v>
      </c>
      <c r="Q63">
        <v>0.75</v>
      </c>
      <c r="R63">
        <v>1</v>
      </c>
    </row>
    <row r="64" spans="1:18" x14ac:dyDescent="0.35">
      <c r="A64">
        <v>60</v>
      </c>
      <c r="B64">
        <v>23</v>
      </c>
      <c r="C64">
        <v>10</v>
      </c>
      <c r="D64">
        <v>2023</v>
      </c>
      <c r="E64" t="s">
        <v>1067</v>
      </c>
      <c r="F64" t="s">
        <v>1064</v>
      </c>
      <c r="G64" t="s">
        <v>1061</v>
      </c>
      <c r="H64" s="18">
        <v>45222</v>
      </c>
      <c r="I64" t="s">
        <v>85</v>
      </c>
      <c r="J64" t="s">
        <v>20</v>
      </c>
      <c r="K64" t="s">
        <v>1030</v>
      </c>
      <c r="L64">
        <v>30</v>
      </c>
      <c r="M64" t="s">
        <v>21</v>
      </c>
      <c r="N64">
        <v>3</v>
      </c>
      <c r="O64">
        <v>50</v>
      </c>
      <c r="P64">
        <v>150</v>
      </c>
      <c r="Q64">
        <v>2.25</v>
      </c>
      <c r="R64">
        <v>3</v>
      </c>
    </row>
    <row r="65" spans="1:18" x14ac:dyDescent="0.35">
      <c r="A65">
        <v>61</v>
      </c>
      <c r="B65">
        <v>9</v>
      </c>
      <c r="C65">
        <v>4</v>
      </c>
      <c r="D65">
        <v>2023</v>
      </c>
      <c r="E65" t="s">
        <v>1063</v>
      </c>
      <c r="F65" t="s">
        <v>1077</v>
      </c>
      <c r="G65" t="s">
        <v>1061</v>
      </c>
      <c r="H65" s="18">
        <v>45025</v>
      </c>
      <c r="I65" t="s">
        <v>86</v>
      </c>
      <c r="J65" t="s">
        <v>20</v>
      </c>
      <c r="K65" t="s">
        <v>1034</v>
      </c>
      <c r="L65">
        <v>21</v>
      </c>
      <c r="M65" t="s">
        <v>21</v>
      </c>
      <c r="N65">
        <v>4</v>
      </c>
      <c r="O65">
        <v>50</v>
      </c>
      <c r="P65">
        <v>200</v>
      </c>
      <c r="Q65">
        <v>3</v>
      </c>
      <c r="R65">
        <v>4</v>
      </c>
    </row>
    <row r="66" spans="1:18" x14ac:dyDescent="0.35">
      <c r="A66">
        <v>62</v>
      </c>
      <c r="B66">
        <v>27</v>
      </c>
      <c r="C66">
        <v>12</v>
      </c>
      <c r="D66">
        <v>2023</v>
      </c>
      <c r="E66" t="s">
        <v>1065</v>
      </c>
      <c r="F66" t="s">
        <v>1062</v>
      </c>
      <c r="G66" t="s">
        <v>1061</v>
      </c>
      <c r="H66" s="18">
        <v>45287</v>
      </c>
      <c r="I66" t="s">
        <v>87</v>
      </c>
      <c r="J66" t="s">
        <v>20</v>
      </c>
      <c r="K66" t="s">
        <v>1034</v>
      </c>
      <c r="L66">
        <v>18</v>
      </c>
      <c r="M66" t="s">
        <v>21</v>
      </c>
      <c r="N66">
        <v>2</v>
      </c>
      <c r="O66">
        <v>50</v>
      </c>
      <c r="P66">
        <v>100</v>
      </c>
      <c r="Q66">
        <v>1.5</v>
      </c>
      <c r="R66">
        <v>2</v>
      </c>
    </row>
    <row r="67" spans="1:18" x14ac:dyDescent="0.35">
      <c r="A67">
        <v>63</v>
      </c>
      <c r="B67">
        <v>5</v>
      </c>
      <c r="C67">
        <v>2</v>
      </c>
      <c r="D67">
        <v>2023</v>
      </c>
      <c r="E67" t="s">
        <v>1063</v>
      </c>
      <c r="F67" t="s">
        <v>1073</v>
      </c>
      <c r="G67" t="s">
        <v>1061</v>
      </c>
      <c r="H67" s="18">
        <v>44962</v>
      </c>
      <c r="I67" t="s">
        <v>88</v>
      </c>
      <c r="J67" t="s">
        <v>20</v>
      </c>
      <c r="K67" t="s">
        <v>1032</v>
      </c>
      <c r="L67">
        <v>57</v>
      </c>
      <c r="M67" t="s">
        <v>21</v>
      </c>
      <c r="N67">
        <v>2</v>
      </c>
      <c r="O67">
        <v>25</v>
      </c>
      <c r="P67">
        <v>50</v>
      </c>
      <c r="Q67">
        <v>0.75</v>
      </c>
      <c r="R67">
        <v>1</v>
      </c>
    </row>
    <row r="68" spans="1:18" x14ac:dyDescent="0.35">
      <c r="A68">
        <v>64</v>
      </c>
      <c r="B68">
        <v>24</v>
      </c>
      <c r="C68">
        <v>1</v>
      </c>
      <c r="D68">
        <v>2023</v>
      </c>
      <c r="E68" t="s">
        <v>1059</v>
      </c>
      <c r="F68" t="s">
        <v>1060</v>
      </c>
      <c r="G68" t="s">
        <v>1061</v>
      </c>
      <c r="H68" s="18">
        <v>44950</v>
      </c>
      <c r="I68" t="s">
        <v>89</v>
      </c>
      <c r="J68" t="s">
        <v>20</v>
      </c>
      <c r="K68" t="s">
        <v>1030</v>
      </c>
      <c r="L68">
        <v>49</v>
      </c>
      <c r="M68" t="s">
        <v>21</v>
      </c>
      <c r="N68">
        <v>4</v>
      </c>
      <c r="O68">
        <v>25</v>
      </c>
      <c r="P68">
        <v>100</v>
      </c>
      <c r="Q68">
        <v>1.5</v>
      </c>
      <c r="R68">
        <v>2</v>
      </c>
    </row>
    <row r="69" spans="1:18" x14ac:dyDescent="0.35">
      <c r="A69">
        <v>65</v>
      </c>
      <c r="B69">
        <v>5</v>
      </c>
      <c r="C69">
        <v>12</v>
      </c>
      <c r="D69">
        <v>2023</v>
      </c>
      <c r="E69" t="s">
        <v>1059</v>
      </c>
      <c r="F69" t="s">
        <v>1062</v>
      </c>
      <c r="G69" t="s">
        <v>1061</v>
      </c>
      <c r="H69" s="18">
        <v>45265</v>
      </c>
      <c r="I69" t="s">
        <v>90</v>
      </c>
      <c r="J69" t="s">
        <v>20</v>
      </c>
      <c r="K69" t="s">
        <v>1032</v>
      </c>
      <c r="L69">
        <v>51</v>
      </c>
      <c r="M69" t="s">
        <v>21</v>
      </c>
      <c r="N69">
        <v>4</v>
      </c>
      <c r="O69">
        <v>500</v>
      </c>
      <c r="P69">
        <v>2000</v>
      </c>
      <c r="Q69">
        <v>30</v>
      </c>
      <c r="R69">
        <v>40</v>
      </c>
    </row>
    <row r="70" spans="1:18" x14ac:dyDescent="0.35">
      <c r="A70">
        <v>66</v>
      </c>
      <c r="B70">
        <v>27</v>
      </c>
      <c r="C70">
        <v>4</v>
      </c>
      <c r="D70">
        <v>2023</v>
      </c>
      <c r="E70" t="s">
        <v>1072</v>
      </c>
      <c r="F70" t="s">
        <v>1077</v>
      </c>
      <c r="G70" t="s">
        <v>1061</v>
      </c>
      <c r="H70" s="18">
        <v>45043</v>
      </c>
      <c r="I70" t="s">
        <v>91</v>
      </c>
      <c r="J70" t="s">
        <v>23</v>
      </c>
      <c r="K70" t="s">
        <v>1030</v>
      </c>
      <c r="L70">
        <v>45</v>
      </c>
      <c r="M70" t="s">
        <v>21</v>
      </c>
      <c r="N70">
        <v>1</v>
      </c>
      <c r="O70">
        <v>30</v>
      </c>
      <c r="P70">
        <v>30</v>
      </c>
      <c r="Q70">
        <v>0.44999999999999996</v>
      </c>
      <c r="R70">
        <v>0.6</v>
      </c>
    </row>
    <row r="71" spans="1:18" x14ac:dyDescent="0.35">
      <c r="A71">
        <v>67</v>
      </c>
      <c r="B71">
        <v>29</v>
      </c>
      <c r="C71">
        <v>5</v>
      </c>
      <c r="D71">
        <v>2023</v>
      </c>
      <c r="E71" t="s">
        <v>1067</v>
      </c>
      <c r="F71" t="s">
        <v>1076</v>
      </c>
      <c r="G71" t="s">
        <v>1061</v>
      </c>
      <c r="H71" s="18">
        <v>45075</v>
      </c>
      <c r="I71" t="s">
        <v>92</v>
      </c>
      <c r="J71" t="s">
        <v>23</v>
      </c>
      <c r="K71" t="s">
        <v>1030</v>
      </c>
      <c r="L71">
        <v>48</v>
      </c>
      <c r="M71" t="s">
        <v>21</v>
      </c>
      <c r="N71">
        <v>4</v>
      </c>
      <c r="O71">
        <v>300</v>
      </c>
      <c r="P71">
        <v>1200</v>
      </c>
      <c r="Q71">
        <v>18</v>
      </c>
      <c r="R71">
        <v>24</v>
      </c>
    </row>
    <row r="72" spans="1:18" x14ac:dyDescent="0.35">
      <c r="A72">
        <v>68</v>
      </c>
      <c r="B72">
        <v>10</v>
      </c>
      <c r="C72">
        <v>2</v>
      </c>
      <c r="D72">
        <v>2023</v>
      </c>
      <c r="E72" t="s">
        <v>1070</v>
      </c>
      <c r="F72" t="s">
        <v>1073</v>
      </c>
      <c r="G72" t="s">
        <v>1061</v>
      </c>
      <c r="H72" s="18">
        <v>44967</v>
      </c>
      <c r="I72" t="s">
        <v>93</v>
      </c>
      <c r="J72" t="s">
        <v>20</v>
      </c>
      <c r="K72" t="s">
        <v>1034</v>
      </c>
      <c r="L72">
        <v>25</v>
      </c>
      <c r="M72" t="s">
        <v>21</v>
      </c>
      <c r="N72">
        <v>1</v>
      </c>
      <c r="O72">
        <v>300</v>
      </c>
      <c r="P72">
        <v>300</v>
      </c>
      <c r="Q72">
        <v>4.5</v>
      </c>
      <c r="R72">
        <v>6</v>
      </c>
    </row>
    <row r="73" spans="1:18" x14ac:dyDescent="0.35">
      <c r="A73">
        <v>69</v>
      </c>
      <c r="B73">
        <v>30</v>
      </c>
      <c r="C73">
        <v>4</v>
      </c>
      <c r="D73">
        <v>2023</v>
      </c>
      <c r="E73" t="s">
        <v>1063</v>
      </c>
      <c r="F73" t="s">
        <v>1077</v>
      </c>
      <c r="G73" t="s">
        <v>1061</v>
      </c>
      <c r="H73" s="18">
        <v>45046</v>
      </c>
      <c r="I73" t="s">
        <v>94</v>
      </c>
      <c r="J73" t="s">
        <v>23</v>
      </c>
      <c r="K73" t="s">
        <v>1032</v>
      </c>
      <c r="L73">
        <v>56</v>
      </c>
      <c r="M73" t="s">
        <v>21</v>
      </c>
      <c r="N73">
        <v>3</v>
      </c>
      <c r="O73">
        <v>25</v>
      </c>
      <c r="P73">
        <v>75</v>
      </c>
      <c r="Q73">
        <v>1.125</v>
      </c>
      <c r="R73">
        <v>1.5</v>
      </c>
    </row>
    <row r="74" spans="1:18" x14ac:dyDescent="0.35">
      <c r="A74">
        <v>70</v>
      </c>
      <c r="B74">
        <v>21</v>
      </c>
      <c r="C74">
        <v>2</v>
      </c>
      <c r="D74">
        <v>2023</v>
      </c>
      <c r="E74" t="s">
        <v>1059</v>
      </c>
      <c r="F74" t="s">
        <v>1073</v>
      </c>
      <c r="G74" t="s">
        <v>1061</v>
      </c>
      <c r="H74" s="18">
        <v>44978</v>
      </c>
      <c r="I74" t="s">
        <v>95</v>
      </c>
      <c r="J74" t="s">
        <v>23</v>
      </c>
      <c r="K74" t="s">
        <v>1030</v>
      </c>
      <c r="L74">
        <v>43</v>
      </c>
      <c r="M74" t="s">
        <v>21</v>
      </c>
      <c r="N74">
        <v>1</v>
      </c>
      <c r="O74">
        <v>300</v>
      </c>
      <c r="P74">
        <v>300</v>
      </c>
      <c r="Q74">
        <v>4.5</v>
      </c>
      <c r="R74">
        <v>6</v>
      </c>
    </row>
    <row r="75" spans="1:18" x14ac:dyDescent="0.35">
      <c r="A75">
        <v>71</v>
      </c>
      <c r="B75">
        <v>14</v>
      </c>
      <c r="C75">
        <v>7</v>
      </c>
      <c r="D75">
        <v>2023</v>
      </c>
      <c r="E75" t="s">
        <v>1070</v>
      </c>
      <c r="F75" t="s">
        <v>1078</v>
      </c>
      <c r="G75" t="s">
        <v>1061</v>
      </c>
      <c r="H75" s="18">
        <v>45121</v>
      </c>
      <c r="I75" t="s">
        <v>96</v>
      </c>
      <c r="J75" t="s">
        <v>23</v>
      </c>
      <c r="K75" t="s">
        <v>1032</v>
      </c>
      <c r="L75">
        <v>51</v>
      </c>
      <c r="M75" t="s">
        <v>21</v>
      </c>
      <c r="N75">
        <v>4</v>
      </c>
      <c r="O75">
        <v>25</v>
      </c>
      <c r="P75">
        <v>100</v>
      </c>
      <c r="Q75">
        <v>1.5</v>
      </c>
      <c r="R75">
        <v>2</v>
      </c>
    </row>
    <row r="76" spans="1:18" x14ac:dyDescent="0.35">
      <c r="A76">
        <v>72</v>
      </c>
      <c r="B76">
        <v>23</v>
      </c>
      <c r="C76">
        <v>5</v>
      </c>
      <c r="D76">
        <v>2023</v>
      </c>
      <c r="E76" t="s">
        <v>1059</v>
      </c>
      <c r="F76" t="s">
        <v>1076</v>
      </c>
      <c r="G76" t="s">
        <v>1061</v>
      </c>
      <c r="H76" s="18">
        <v>45069</v>
      </c>
      <c r="I76" t="s">
        <v>97</v>
      </c>
      <c r="J76" t="s">
        <v>23</v>
      </c>
      <c r="K76" t="s">
        <v>1034</v>
      </c>
      <c r="L76">
        <v>20</v>
      </c>
      <c r="M76" t="s">
        <v>21</v>
      </c>
      <c r="N76">
        <v>4</v>
      </c>
      <c r="O76">
        <v>500</v>
      </c>
      <c r="P76">
        <v>2000</v>
      </c>
      <c r="Q76">
        <v>30</v>
      </c>
      <c r="R76">
        <v>40</v>
      </c>
    </row>
    <row r="77" spans="1:18" x14ac:dyDescent="0.35">
      <c r="A77">
        <v>73</v>
      </c>
      <c r="B77">
        <v>21</v>
      </c>
      <c r="C77">
        <v>8</v>
      </c>
      <c r="D77">
        <v>2023</v>
      </c>
      <c r="E77" t="s">
        <v>1067</v>
      </c>
      <c r="F77" t="s">
        <v>1074</v>
      </c>
      <c r="G77" t="s">
        <v>1061</v>
      </c>
      <c r="H77" s="18">
        <v>45159</v>
      </c>
      <c r="I77" t="s">
        <v>98</v>
      </c>
      <c r="J77" t="s">
        <v>20</v>
      </c>
      <c r="K77" t="s">
        <v>1034</v>
      </c>
      <c r="L77">
        <v>29</v>
      </c>
      <c r="M77" t="s">
        <v>21</v>
      </c>
      <c r="N77">
        <v>3</v>
      </c>
      <c r="O77">
        <v>30</v>
      </c>
      <c r="P77">
        <v>90</v>
      </c>
      <c r="Q77">
        <v>1.3499999999999999</v>
      </c>
      <c r="R77">
        <v>1.8</v>
      </c>
    </row>
    <row r="78" spans="1:18" x14ac:dyDescent="0.35">
      <c r="A78">
        <v>74</v>
      </c>
      <c r="B78">
        <v>22</v>
      </c>
      <c r="C78">
        <v>11</v>
      </c>
      <c r="D78">
        <v>2023</v>
      </c>
      <c r="E78" t="s">
        <v>1065</v>
      </c>
      <c r="F78" t="s">
        <v>1068</v>
      </c>
      <c r="G78" t="s">
        <v>1061</v>
      </c>
      <c r="H78" s="18">
        <v>45252</v>
      </c>
      <c r="I78" t="s">
        <v>99</v>
      </c>
      <c r="J78" t="s">
        <v>23</v>
      </c>
      <c r="K78" t="s">
        <v>1034</v>
      </c>
      <c r="L78">
        <v>18</v>
      </c>
      <c r="M78" t="s">
        <v>21</v>
      </c>
      <c r="N78">
        <v>4</v>
      </c>
      <c r="O78">
        <v>500</v>
      </c>
      <c r="P78">
        <v>2000</v>
      </c>
      <c r="Q78">
        <v>30</v>
      </c>
      <c r="R78">
        <v>40</v>
      </c>
    </row>
    <row r="79" spans="1:18" x14ac:dyDescent="0.35">
      <c r="A79">
        <v>75</v>
      </c>
      <c r="B79">
        <v>6</v>
      </c>
      <c r="C79">
        <v>7</v>
      </c>
      <c r="D79">
        <v>2023</v>
      </c>
      <c r="E79" t="s">
        <v>1072</v>
      </c>
      <c r="F79" t="s">
        <v>1078</v>
      </c>
      <c r="G79" t="s">
        <v>1061</v>
      </c>
      <c r="H79" s="18">
        <v>45113</v>
      </c>
      <c r="I79" t="s">
        <v>100</v>
      </c>
      <c r="J79" t="s">
        <v>20</v>
      </c>
      <c r="K79" t="s">
        <v>1032</v>
      </c>
      <c r="L79">
        <v>61</v>
      </c>
      <c r="M79" t="s">
        <v>21</v>
      </c>
      <c r="N79">
        <v>4</v>
      </c>
      <c r="O79">
        <v>50</v>
      </c>
      <c r="P79">
        <v>200</v>
      </c>
      <c r="Q79">
        <v>3</v>
      </c>
      <c r="R79">
        <v>4</v>
      </c>
    </row>
    <row r="80" spans="1:18" x14ac:dyDescent="0.35">
      <c r="A80">
        <v>76</v>
      </c>
      <c r="B80">
        <v>25</v>
      </c>
      <c r="C80">
        <v>3</v>
      </c>
      <c r="D80">
        <v>2023</v>
      </c>
      <c r="E80" t="s">
        <v>1075</v>
      </c>
      <c r="F80" t="s">
        <v>1066</v>
      </c>
      <c r="G80" t="s">
        <v>1061</v>
      </c>
      <c r="H80" s="18">
        <v>45010</v>
      </c>
      <c r="I80" t="s">
        <v>101</v>
      </c>
      <c r="J80" t="s">
        <v>23</v>
      </c>
      <c r="K80" t="s">
        <v>1034</v>
      </c>
      <c r="L80">
        <v>22</v>
      </c>
      <c r="M80" t="s">
        <v>21</v>
      </c>
      <c r="N80">
        <v>2</v>
      </c>
      <c r="O80">
        <v>50</v>
      </c>
      <c r="P80">
        <v>100</v>
      </c>
      <c r="Q80">
        <v>1.5</v>
      </c>
      <c r="R80">
        <v>2</v>
      </c>
    </row>
    <row r="81" spans="1:18" x14ac:dyDescent="0.35">
      <c r="A81">
        <v>77</v>
      </c>
      <c r="B81">
        <v>9</v>
      </c>
      <c r="C81">
        <v>7</v>
      </c>
      <c r="D81">
        <v>2023</v>
      </c>
      <c r="E81" t="s">
        <v>1063</v>
      </c>
      <c r="F81" t="s">
        <v>1078</v>
      </c>
      <c r="G81" t="s">
        <v>1061</v>
      </c>
      <c r="H81" s="18">
        <v>45116</v>
      </c>
      <c r="I81" t="s">
        <v>102</v>
      </c>
      <c r="J81" t="s">
        <v>23</v>
      </c>
      <c r="K81" t="s">
        <v>1030</v>
      </c>
      <c r="L81">
        <v>47</v>
      </c>
      <c r="M81" t="s">
        <v>21</v>
      </c>
      <c r="N81">
        <v>2</v>
      </c>
      <c r="O81">
        <v>50</v>
      </c>
      <c r="P81">
        <v>100</v>
      </c>
      <c r="Q81">
        <v>1.5</v>
      </c>
      <c r="R81">
        <v>2</v>
      </c>
    </row>
    <row r="82" spans="1:18" x14ac:dyDescent="0.35">
      <c r="A82">
        <v>78</v>
      </c>
      <c r="B82">
        <v>1</v>
      </c>
      <c r="C82">
        <v>7</v>
      </c>
      <c r="D82">
        <v>2023</v>
      </c>
      <c r="E82" t="s">
        <v>1075</v>
      </c>
      <c r="F82" t="s">
        <v>1078</v>
      </c>
      <c r="G82" t="s">
        <v>1061</v>
      </c>
      <c r="H82" s="18">
        <v>45108</v>
      </c>
      <c r="I82" t="s">
        <v>103</v>
      </c>
      <c r="J82" t="s">
        <v>23</v>
      </c>
      <c r="K82" t="s">
        <v>1030</v>
      </c>
      <c r="L82">
        <v>47</v>
      </c>
      <c r="M82" t="s">
        <v>21</v>
      </c>
      <c r="N82">
        <v>3</v>
      </c>
      <c r="O82">
        <v>500</v>
      </c>
      <c r="P82">
        <v>1500</v>
      </c>
      <c r="Q82">
        <v>22.5</v>
      </c>
      <c r="R82">
        <v>30</v>
      </c>
    </row>
    <row r="83" spans="1:18" x14ac:dyDescent="0.35">
      <c r="A83">
        <v>79</v>
      </c>
      <c r="B83">
        <v>18</v>
      </c>
      <c r="C83">
        <v>4</v>
      </c>
      <c r="D83">
        <v>2023</v>
      </c>
      <c r="E83" t="s">
        <v>1059</v>
      </c>
      <c r="F83" t="s">
        <v>1077</v>
      </c>
      <c r="G83" t="s">
        <v>1061</v>
      </c>
      <c r="H83" s="18">
        <v>45034</v>
      </c>
      <c r="I83" t="s">
        <v>104</v>
      </c>
      <c r="J83" t="s">
        <v>20</v>
      </c>
      <c r="K83" t="s">
        <v>1030</v>
      </c>
      <c r="L83">
        <v>34</v>
      </c>
      <c r="M83" t="s">
        <v>21</v>
      </c>
      <c r="N83">
        <v>1</v>
      </c>
      <c r="O83">
        <v>300</v>
      </c>
      <c r="P83">
        <v>300</v>
      </c>
      <c r="Q83">
        <v>4.5</v>
      </c>
      <c r="R83">
        <v>6</v>
      </c>
    </row>
    <row r="84" spans="1:18" x14ac:dyDescent="0.35">
      <c r="A84">
        <v>80</v>
      </c>
      <c r="B84">
        <v>10</v>
      </c>
      <c r="C84">
        <v>12</v>
      </c>
      <c r="D84">
        <v>2023</v>
      </c>
      <c r="E84" t="s">
        <v>1063</v>
      </c>
      <c r="F84" t="s">
        <v>1062</v>
      </c>
      <c r="G84" t="s">
        <v>1061</v>
      </c>
      <c r="H84" s="18">
        <v>45270</v>
      </c>
      <c r="I84" t="s">
        <v>105</v>
      </c>
      <c r="J84" t="s">
        <v>23</v>
      </c>
      <c r="K84" t="s">
        <v>1032</v>
      </c>
      <c r="L84">
        <v>64</v>
      </c>
      <c r="M84" t="s">
        <v>21</v>
      </c>
      <c r="N84">
        <v>2</v>
      </c>
      <c r="O84">
        <v>30</v>
      </c>
      <c r="P84">
        <v>60</v>
      </c>
      <c r="Q84">
        <v>0.89999999999999991</v>
      </c>
      <c r="R84">
        <v>1.2</v>
      </c>
    </row>
    <row r="85" spans="1:18" x14ac:dyDescent="0.35">
      <c r="A85">
        <v>81</v>
      </c>
      <c r="B85">
        <v>17</v>
      </c>
      <c r="C85">
        <v>5</v>
      </c>
      <c r="D85">
        <v>2023</v>
      </c>
      <c r="E85" t="s">
        <v>1065</v>
      </c>
      <c r="F85" t="s">
        <v>1076</v>
      </c>
      <c r="G85" t="s">
        <v>1061</v>
      </c>
      <c r="H85" s="18">
        <v>45063</v>
      </c>
      <c r="I85" t="s">
        <v>106</v>
      </c>
      <c r="J85" t="s">
        <v>20</v>
      </c>
      <c r="K85" t="s">
        <v>1030</v>
      </c>
      <c r="L85">
        <v>40</v>
      </c>
      <c r="M85" t="s">
        <v>21</v>
      </c>
      <c r="N85">
        <v>1</v>
      </c>
      <c r="O85">
        <v>50</v>
      </c>
      <c r="P85">
        <v>50</v>
      </c>
      <c r="Q85">
        <v>0.75</v>
      </c>
      <c r="R85">
        <v>1</v>
      </c>
    </row>
    <row r="86" spans="1:18" x14ac:dyDescent="0.35">
      <c r="A86">
        <v>82</v>
      </c>
      <c r="B86">
        <v>26</v>
      </c>
      <c r="C86">
        <v>12</v>
      </c>
      <c r="D86">
        <v>2023</v>
      </c>
      <c r="E86" t="s">
        <v>1059</v>
      </c>
      <c r="F86" t="s">
        <v>1062</v>
      </c>
      <c r="G86" t="s">
        <v>1061</v>
      </c>
      <c r="H86" s="18">
        <v>45286</v>
      </c>
      <c r="I86" t="s">
        <v>107</v>
      </c>
      <c r="J86" t="s">
        <v>23</v>
      </c>
      <c r="K86" t="s">
        <v>1030</v>
      </c>
      <c r="L86">
        <v>32</v>
      </c>
      <c r="M86" t="s">
        <v>21</v>
      </c>
      <c r="N86">
        <v>4</v>
      </c>
      <c r="O86">
        <v>50</v>
      </c>
      <c r="P86">
        <v>200</v>
      </c>
      <c r="Q86">
        <v>3</v>
      </c>
      <c r="R86">
        <v>4</v>
      </c>
    </row>
    <row r="87" spans="1:18" x14ac:dyDescent="0.35">
      <c r="A87">
        <v>83</v>
      </c>
      <c r="B87">
        <v>16</v>
      </c>
      <c r="C87">
        <v>12</v>
      </c>
      <c r="D87">
        <v>2023</v>
      </c>
      <c r="E87" t="s">
        <v>1075</v>
      </c>
      <c r="F87" t="s">
        <v>1062</v>
      </c>
      <c r="G87" t="s">
        <v>1061</v>
      </c>
      <c r="H87" s="18">
        <v>45276</v>
      </c>
      <c r="I87" t="s">
        <v>108</v>
      </c>
      <c r="J87" t="s">
        <v>20</v>
      </c>
      <c r="K87" t="s">
        <v>1032</v>
      </c>
      <c r="L87">
        <v>54</v>
      </c>
      <c r="M87" t="s">
        <v>21</v>
      </c>
      <c r="N87">
        <v>2</v>
      </c>
      <c r="O87">
        <v>50</v>
      </c>
      <c r="P87">
        <v>100</v>
      </c>
      <c r="Q87">
        <v>1.5</v>
      </c>
      <c r="R87">
        <v>2</v>
      </c>
    </row>
    <row r="88" spans="1:18" x14ac:dyDescent="0.35">
      <c r="A88">
        <v>84</v>
      </c>
      <c r="B88">
        <v>28</v>
      </c>
      <c r="C88">
        <v>11</v>
      </c>
      <c r="D88">
        <v>2023</v>
      </c>
      <c r="E88" t="s">
        <v>1059</v>
      </c>
      <c r="F88" t="s">
        <v>1068</v>
      </c>
      <c r="G88" t="s">
        <v>1061</v>
      </c>
      <c r="H88" s="18">
        <v>45258</v>
      </c>
      <c r="I88" t="s">
        <v>109</v>
      </c>
      <c r="J88" t="s">
        <v>23</v>
      </c>
      <c r="K88" t="s">
        <v>1030</v>
      </c>
      <c r="L88">
        <v>38</v>
      </c>
      <c r="M88" t="s">
        <v>21</v>
      </c>
      <c r="N88">
        <v>3</v>
      </c>
      <c r="O88">
        <v>30</v>
      </c>
      <c r="P88">
        <v>90</v>
      </c>
      <c r="Q88">
        <v>1.3499999999999999</v>
      </c>
      <c r="R88">
        <v>1.8</v>
      </c>
    </row>
    <row r="89" spans="1:18" x14ac:dyDescent="0.35">
      <c r="A89">
        <v>85</v>
      </c>
      <c r="B89">
        <v>6</v>
      </c>
      <c r="C89">
        <v>2</v>
      </c>
      <c r="D89">
        <v>2023</v>
      </c>
      <c r="E89" t="s">
        <v>1067</v>
      </c>
      <c r="F89" t="s">
        <v>1073</v>
      </c>
      <c r="G89" t="s">
        <v>1061</v>
      </c>
      <c r="H89" s="18">
        <v>44963</v>
      </c>
      <c r="I89" t="s">
        <v>110</v>
      </c>
      <c r="J89" t="s">
        <v>20</v>
      </c>
      <c r="K89" t="s">
        <v>1030</v>
      </c>
      <c r="L89">
        <v>31</v>
      </c>
      <c r="M89" t="s">
        <v>21</v>
      </c>
      <c r="N89">
        <v>3</v>
      </c>
      <c r="O89">
        <v>50</v>
      </c>
      <c r="P89">
        <v>150</v>
      </c>
      <c r="Q89">
        <v>2.25</v>
      </c>
      <c r="R89">
        <v>3</v>
      </c>
    </row>
    <row r="90" spans="1:18" x14ac:dyDescent="0.35">
      <c r="A90">
        <v>86</v>
      </c>
      <c r="B90">
        <v>8</v>
      </c>
      <c r="C90">
        <v>11</v>
      </c>
      <c r="D90">
        <v>2023</v>
      </c>
      <c r="E90" t="s">
        <v>1065</v>
      </c>
      <c r="F90" t="s">
        <v>1068</v>
      </c>
      <c r="G90" t="s">
        <v>1061</v>
      </c>
      <c r="H90" s="18">
        <v>45238</v>
      </c>
      <c r="I90" t="s">
        <v>111</v>
      </c>
      <c r="J90" t="s">
        <v>20</v>
      </c>
      <c r="K90" t="s">
        <v>1034</v>
      </c>
      <c r="L90">
        <v>19</v>
      </c>
      <c r="M90" t="s">
        <v>21</v>
      </c>
      <c r="N90">
        <v>3</v>
      </c>
      <c r="O90">
        <v>30</v>
      </c>
      <c r="P90">
        <v>90</v>
      </c>
      <c r="Q90">
        <v>1.3499999999999999</v>
      </c>
      <c r="R90">
        <v>1.8</v>
      </c>
    </row>
    <row r="91" spans="1:18" x14ac:dyDescent="0.35">
      <c r="A91">
        <v>87</v>
      </c>
      <c r="B91">
        <v>22</v>
      </c>
      <c r="C91">
        <v>11</v>
      </c>
      <c r="D91">
        <v>2023</v>
      </c>
      <c r="E91" t="s">
        <v>1065</v>
      </c>
      <c r="F91" t="s">
        <v>1068</v>
      </c>
      <c r="G91" t="s">
        <v>1061</v>
      </c>
      <c r="H91" s="18">
        <v>45252</v>
      </c>
      <c r="I91" t="s">
        <v>112</v>
      </c>
      <c r="J91" t="s">
        <v>23</v>
      </c>
      <c r="K91" t="s">
        <v>1034</v>
      </c>
      <c r="L91">
        <v>28</v>
      </c>
      <c r="M91" t="s">
        <v>21</v>
      </c>
      <c r="N91">
        <v>2</v>
      </c>
      <c r="O91">
        <v>50</v>
      </c>
      <c r="P91">
        <v>100</v>
      </c>
      <c r="Q91">
        <v>1.5</v>
      </c>
      <c r="R91">
        <v>2</v>
      </c>
    </row>
    <row r="92" spans="1:18" x14ac:dyDescent="0.35">
      <c r="A92">
        <v>88</v>
      </c>
      <c r="B92">
        <v>29</v>
      </c>
      <c r="C92">
        <v>3</v>
      </c>
      <c r="D92">
        <v>2023</v>
      </c>
      <c r="E92" t="s">
        <v>1065</v>
      </c>
      <c r="F92" t="s">
        <v>1066</v>
      </c>
      <c r="G92" t="s">
        <v>1061</v>
      </c>
      <c r="H92" s="18">
        <v>45014</v>
      </c>
      <c r="I92" t="s">
        <v>113</v>
      </c>
      <c r="J92" t="s">
        <v>20</v>
      </c>
      <c r="K92" t="s">
        <v>1032</v>
      </c>
      <c r="L92">
        <v>56</v>
      </c>
      <c r="M92" t="s">
        <v>21</v>
      </c>
      <c r="N92">
        <v>1</v>
      </c>
      <c r="O92">
        <v>500</v>
      </c>
      <c r="P92">
        <v>500</v>
      </c>
      <c r="Q92">
        <v>7.5</v>
      </c>
      <c r="R92">
        <v>10</v>
      </c>
    </row>
    <row r="93" spans="1:18" x14ac:dyDescent="0.35">
      <c r="A93">
        <v>89</v>
      </c>
      <c r="B93">
        <v>1</v>
      </c>
      <c r="C93">
        <v>10</v>
      </c>
      <c r="D93">
        <v>2023</v>
      </c>
      <c r="E93" t="s">
        <v>1063</v>
      </c>
      <c r="F93" t="s">
        <v>1064</v>
      </c>
      <c r="G93" t="s">
        <v>1061</v>
      </c>
      <c r="H93" s="18">
        <v>45200</v>
      </c>
      <c r="I93" t="s">
        <v>114</v>
      </c>
      <c r="J93" t="s">
        <v>23</v>
      </c>
      <c r="K93" t="s">
        <v>1032</v>
      </c>
      <c r="L93">
        <v>55</v>
      </c>
      <c r="M93" t="s">
        <v>21</v>
      </c>
      <c r="N93">
        <v>4</v>
      </c>
      <c r="O93">
        <v>500</v>
      </c>
      <c r="P93">
        <v>2000</v>
      </c>
      <c r="Q93">
        <v>30</v>
      </c>
      <c r="R93">
        <v>40</v>
      </c>
    </row>
    <row r="94" spans="1:18" x14ac:dyDescent="0.35">
      <c r="A94">
        <v>90</v>
      </c>
      <c r="B94">
        <v>6</v>
      </c>
      <c r="C94">
        <v>5</v>
      </c>
      <c r="D94">
        <v>2023</v>
      </c>
      <c r="E94" t="s">
        <v>1075</v>
      </c>
      <c r="F94" t="s">
        <v>1076</v>
      </c>
      <c r="G94" t="s">
        <v>1061</v>
      </c>
      <c r="H94" s="18">
        <v>45052</v>
      </c>
      <c r="I94" t="s">
        <v>115</v>
      </c>
      <c r="J94" t="s">
        <v>23</v>
      </c>
      <c r="K94" t="s">
        <v>1032</v>
      </c>
      <c r="L94">
        <v>51</v>
      </c>
      <c r="M94" t="s">
        <v>21</v>
      </c>
      <c r="N94">
        <v>1</v>
      </c>
      <c r="O94">
        <v>30</v>
      </c>
      <c r="P94">
        <v>30</v>
      </c>
      <c r="Q94">
        <v>0.44999999999999996</v>
      </c>
      <c r="R94">
        <v>0.6</v>
      </c>
    </row>
    <row r="95" spans="1:18" x14ac:dyDescent="0.35">
      <c r="A95">
        <v>91</v>
      </c>
      <c r="B95">
        <v>25</v>
      </c>
      <c r="C95">
        <v>3</v>
      </c>
      <c r="D95">
        <v>2023</v>
      </c>
      <c r="E95" t="s">
        <v>1075</v>
      </c>
      <c r="F95" t="s">
        <v>1066</v>
      </c>
      <c r="G95" t="s">
        <v>1061</v>
      </c>
      <c r="H95" s="18">
        <v>45010</v>
      </c>
      <c r="I95" t="s">
        <v>116</v>
      </c>
      <c r="J95" t="s">
        <v>23</v>
      </c>
      <c r="K95" t="s">
        <v>1032</v>
      </c>
      <c r="L95">
        <v>55</v>
      </c>
      <c r="M95" t="s">
        <v>21</v>
      </c>
      <c r="N95">
        <v>1</v>
      </c>
      <c r="O95">
        <v>500</v>
      </c>
      <c r="P95">
        <v>500</v>
      </c>
      <c r="Q95">
        <v>7.5</v>
      </c>
      <c r="R95">
        <v>10</v>
      </c>
    </row>
    <row r="96" spans="1:18" x14ac:dyDescent="0.35">
      <c r="A96">
        <v>92</v>
      </c>
      <c r="B96">
        <v>25</v>
      </c>
      <c r="C96">
        <v>8</v>
      </c>
      <c r="D96">
        <v>2023</v>
      </c>
      <c r="E96" t="s">
        <v>1070</v>
      </c>
      <c r="F96" t="s">
        <v>1074</v>
      </c>
      <c r="G96" t="s">
        <v>1061</v>
      </c>
      <c r="H96" s="18">
        <v>45163</v>
      </c>
      <c r="I96" t="s">
        <v>117</v>
      </c>
      <c r="J96" t="s">
        <v>23</v>
      </c>
      <c r="K96" t="s">
        <v>1032</v>
      </c>
      <c r="L96">
        <v>51</v>
      </c>
      <c r="M96" t="s">
        <v>21</v>
      </c>
      <c r="N96">
        <v>4</v>
      </c>
      <c r="O96">
        <v>30</v>
      </c>
      <c r="P96">
        <v>120</v>
      </c>
      <c r="Q96">
        <v>1.7999999999999998</v>
      </c>
      <c r="R96">
        <v>2.4</v>
      </c>
    </row>
    <row r="97" spans="1:18" x14ac:dyDescent="0.35">
      <c r="A97">
        <v>93</v>
      </c>
      <c r="B97">
        <v>14</v>
      </c>
      <c r="C97">
        <v>7</v>
      </c>
      <c r="D97">
        <v>2023</v>
      </c>
      <c r="E97" t="s">
        <v>1070</v>
      </c>
      <c r="F97" t="s">
        <v>1078</v>
      </c>
      <c r="G97" t="s">
        <v>1061</v>
      </c>
      <c r="H97" s="18">
        <v>45121</v>
      </c>
      <c r="I97" t="s">
        <v>118</v>
      </c>
      <c r="J97" t="s">
        <v>23</v>
      </c>
      <c r="K97" t="s">
        <v>1030</v>
      </c>
      <c r="L97">
        <v>35</v>
      </c>
      <c r="M97" t="s">
        <v>21</v>
      </c>
      <c r="N97">
        <v>4</v>
      </c>
      <c r="O97">
        <v>500</v>
      </c>
      <c r="P97">
        <v>2000</v>
      </c>
      <c r="Q97">
        <v>30</v>
      </c>
      <c r="R97">
        <v>40</v>
      </c>
    </row>
    <row r="98" spans="1:18" x14ac:dyDescent="0.35">
      <c r="A98">
        <v>94</v>
      </c>
      <c r="B98">
        <v>19</v>
      </c>
      <c r="C98">
        <v>5</v>
      </c>
      <c r="D98">
        <v>2023</v>
      </c>
      <c r="E98" t="s">
        <v>1070</v>
      </c>
      <c r="F98" t="s">
        <v>1076</v>
      </c>
      <c r="G98" t="s">
        <v>1061</v>
      </c>
      <c r="H98" s="18">
        <v>45065</v>
      </c>
      <c r="I98" t="s">
        <v>119</v>
      </c>
      <c r="J98" t="s">
        <v>23</v>
      </c>
      <c r="K98" t="s">
        <v>1030</v>
      </c>
      <c r="L98">
        <v>47</v>
      </c>
      <c r="M98" t="s">
        <v>21</v>
      </c>
      <c r="N98">
        <v>2</v>
      </c>
      <c r="O98">
        <v>500</v>
      </c>
      <c r="P98">
        <v>1000</v>
      </c>
      <c r="Q98">
        <v>15</v>
      </c>
      <c r="R98">
        <v>20</v>
      </c>
    </row>
    <row r="99" spans="1:18" x14ac:dyDescent="0.35">
      <c r="A99">
        <v>95</v>
      </c>
      <c r="B99">
        <v>24</v>
      </c>
      <c r="C99">
        <v>11</v>
      </c>
      <c r="D99">
        <v>2023</v>
      </c>
      <c r="E99" t="s">
        <v>1070</v>
      </c>
      <c r="F99" t="s">
        <v>1068</v>
      </c>
      <c r="G99" t="s">
        <v>1061</v>
      </c>
      <c r="H99" s="18">
        <v>45254</v>
      </c>
      <c r="I99" t="s">
        <v>120</v>
      </c>
      <c r="J99" t="s">
        <v>23</v>
      </c>
      <c r="K99" t="s">
        <v>1030</v>
      </c>
      <c r="L99">
        <v>32</v>
      </c>
      <c r="M99" t="s">
        <v>21</v>
      </c>
      <c r="N99">
        <v>2</v>
      </c>
      <c r="O99">
        <v>30</v>
      </c>
      <c r="P99">
        <v>60</v>
      </c>
      <c r="Q99">
        <v>0.89999999999999991</v>
      </c>
      <c r="R99">
        <v>1.2</v>
      </c>
    </row>
    <row r="100" spans="1:18" x14ac:dyDescent="0.35">
      <c r="A100">
        <v>96</v>
      </c>
      <c r="B100">
        <v>19</v>
      </c>
      <c r="C100">
        <v>12</v>
      </c>
      <c r="D100">
        <v>2023</v>
      </c>
      <c r="E100" t="s">
        <v>1059</v>
      </c>
      <c r="F100" t="s">
        <v>1062</v>
      </c>
      <c r="G100" t="s">
        <v>1061</v>
      </c>
      <c r="H100" s="18">
        <v>45279</v>
      </c>
      <c r="I100" t="s">
        <v>121</v>
      </c>
      <c r="J100" t="s">
        <v>23</v>
      </c>
      <c r="K100" t="s">
        <v>1030</v>
      </c>
      <c r="L100">
        <v>44</v>
      </c>
      <c r="M100" t="s">
        <v>21</v>
      </c>
      <c r="N100">
        <v>2</v>
      </c>
      <c r="O100">
        <v>300</v>
      </c>
      <c r="P100">
        <v>600</v>
      </c>
      <c r="Q100">
        <v>9</v>
      </c>
      <c r="R100">
        <v>12</v>
      </c>
    </row>
    <row r="101" spans="1:18" x14ac:dyDescent="0.35">
      <c r="A101">
        <v>97</v>
      </c>
      <c r="B101">
        <v>13</v>
      </c>
      <c r="C101">
        <v>10</v>
      </c>
      <c r="D101">
        <v>2023</v>
      </c>
      <c r="E101" t="s">
        <v>1070</v>
      </c>
      <c r="F101" t="s">
        <v>1064</v>
      </c>
      <c r="G101" t="s">
        <v>1061</v>
      </c>
      <c r="H101" s="18">
        <v>45212</v>
      </c>
      <c r="I101" t="s">
        <v>122</v>
      </c>
      <c r="J101" t="s">
        <v>23</v>
      </c>
      <c r="K101" t="s">
        <v>1032</v>
      </c>
      <c r="L101">
        <v>51</v>
      </c>
      <c r="M101" t="s">
        <v>21</v>
      </c>
      <c r="N101">
        <v>2</v>
      </c>
      <c r="O101">
        <v>500</v>
      </c>
      <c r="P101">
        <v>1000</v>
      </c>
      <c r="Q101">
        <v>15</v>
      </c>
      <c r="R101">
        <v>20</v>
      </c>
    </row>
    <row r="102" spans="1:18" x14ac:dyDescent="0.35">
      <c r="A102">
        <v>98</v>
      </c>
      <c r="B102">
        <v>23</v>
      </c>
      <c r="C102">
        <v>4</v>
      </c>
      <c r="D102">
        <v>2023</v>
      </c>
      <c r="E102" t="s">
        <v>1063</v>
      </c>
      <c r="F102" t="s">
        <v>1077</v>
      </c>
      <c r="G102" t="s">
        <v>1061</v>
      </c>
      <c r="H102" s="18">
        <v>45039</v>
      </c>
      <c r="I102" t="s">
        <v>123</v>
      </c>
      <c r="J102" t="s">
        <v>23</v>
      </c>
      <c r="K102" t="s">
        <v>1032</v>
      </c>
      <c r="L102">
        <v>55</v>
      </c>
      <c r="M102" t="s">
        <v>21</v>
      </c>
      <c r="N102">
        <v>2</v>
      </c>
      <c r="O102">
        <v>50</v>
      </c>
      <c r="P102">
        <v>100</v>
      </c>
      <c r="Q102">
        <v>1.5</v>
      </c>
      <c r="R102">
        <v>2</v>
      </c>
    </row>
    <row r="103" spans="1:18" x14ac:dyDescent="0.35">
      <c r="A103">
        <v>99</v>
      </c>
      <c r="B103">
        <v>17</v>
      </c>
      <c r="C103">
        <v>12</v>
      </c>
      <c r="D103">
        <v>2023</v>
      </c>
      <c r="E103" t="s">
        <v>1063</v>
      </c>
      <c r="F103" t="s">
        <v>1062</v>
      </c>
      <c r="G103" t="s">
        <v>1061</v>
      </c>
      <c r="H103" s="18">
        <v>45277</v>
      </c>
      <c r="I103" t="s">
        <v>124</v>
      </c>
      <c r="J103" t="s">
        <v>23</v>
      </c>
      <c r="K103" t="s">
        <v>1030</v>
      </c>
      <c r="L103">
        <v>50</v>
      </c>
      <c r="M103" t="s">
        <v>21</v>
      </c>
      <c r="N103">
        <v>4</v>
      </c>
      <c r="O103">
        <v>300</v>
      </c>
      <c r="P103">
        <v>1200</v>
      </c>
      <c r="Q103">
        <v>18</v>
      </c>
      <c r="R103">
        <v>24</v>
      </c>
    </row>
    <row r="104" spans="1:18" x14ac:dyDescent="0.35">
      <c r="A104">
        <v>100</v>
      </c>
      <c r="B104">
        <v>16</v>
      </c>
      <c r="C104">
        <v>6</v>
      </c>
      <c r="D104">
        <v>2023</v>
      </c>
      <c r="E104" t="s">
        <v>1070</v>
      </c>
      <c r="F104" t="s">
        <v>1069</v>
      </c>
      <c r="G104" t="s">
        <v>1061</v>
      </c>
      <c r="H104" s="18">
        <v>45093</v>
      </c>
      <c r="I104" t="s">
        <v>125</v>
      </c>
      <c r="J104" t="s">
        <v>20</v>
      </c>
      <c r="K104" t="s">
        <v>1030</v>
      </c>
      <c r="L104">
        <v>41</v>
      </c>
      <c r="M104" t="s">
        <v>21</v>
      </c>
      <c r="N104">
        <v>1</v>
      </c>
      <c r="O104">
        <v>30</v>
      </c>
      <c r="P104">
        <v>30</v>
      </c>
      <c r="Q104">
        <v>0.44999999999999996</v>
      </c>
      <c r="R104">
        <v>0.6</v>
      </c>
    </row>
    <row r="105" spans="1:18" x14ac:dyDescent="0.35">
      <c r="A105">
        <v>101</v>
      </c>
      <c r="B105">
        <v>29</v>
      </c>
      <c r="C105">
        <v>1</v>
      </c>
      <c r="D105">
        <v>2023</v>
      </c>
      <c r="E105" t="s">
        <v>1063</v>
      </c>
      <c r="F105" t="s">
        <v>1060</v>
      </c>
      <c r="G105" t="s">
        <v>1061</v>
      </c>
      <c r="H105" s="18">
        <v>44955</v>
      </c>
      <c r="I105" t="s">
        <v>126</v>
      </c>
      <c r="J105" t="s">
        <v>20</v>
      </c>
      <c r="K105" t="s">
        <v>1030</v>
      </c>
      <c r="L105">
        <v>32</v>
      </c>
      <c r="M105" t="s">
        <v>21</v>
      </c>
      <c r="N105">
        <v>2</v>
      </c>
      <c r="O105">
        <v>300</v>
      </c>
      <c r="P105">
        <v>600</v>
      </c>
      <c r="Q105">
        <v>9</v>
      </c>
      <c r="R105">
        <v>12</v>
      </c>
    </row>
    <row r="106" spans="1:18" x14ac:dyDescent="0.35">
      <c r="A106">
        <v>102</v>
      </c>
      <c r="B106">
        <v>28</v>
      </c>
      <c r="C106">
        <v>4</v>
      </c>
      <c r="D106">
        <v>2023</v>
      </c>
      <c r="E106" t="s">
        <v>1070</v>
      </c>
      <c r="F106" t="s">
        <v>1077</v>
      </c>
      <c r="G106" t="s">
        <v>1061</v>
      </c>
      <c r="H106" s="18">
        <v>45044</v>
      </c>
      <c r="I106" t="s">
        <v>127</v>
      </c>
      <c r="J106" t="s">
        <v>23</v>
      </c>
      <c r="K106" t="s">
        <v>1030</v>
      </c>
      <c r="L106">
        <v>47</v>
      </c>
      <c r="M106" t="s">
        <v>21</v>
      </c>
      <c r="N106">
        <v>2</v>
      </c>
      <c r="O106">
        <v>25</v>
      </c>
      <c r="P106">
        <v>50</v>
      </c>
      <c r="Q106">
        <v>0.75</v>
      </c>
      <c r="R106">
        <v>1</v>
      </c>
    </row>
    <row r="107" spans="1:18" x14ac:dyDescent="0.35">
      <c r="A107">
        <v>103</v>
      </c>
      <c r="B107">
        <v>17</v>
      </c>
      <c r="C107">
        <v>1</v>
      </c>
      <c r="D107">
        <v>2023</v>
      </c>
      <c r="E107" t="s">
        <v>1059</v>
      </c>
      <c r="F107" t="s">
        <v>1060</v>
      </c>
      <c r="G107" t="s">
        <v>1061</v>
      </c>
      <c r="H107" s="18">
        <v>44943</v>
      </c>
      <c r="I107" t="s">
        <v>128</v>
      </c>
      <c r="J107" t="s">
        <v>23</v>
      </c>
      <c r="K107" t="s">
        <v>1032</v>
      </c>
      <c r="L107">
        <v>59</v>
      </c>
      <c r="M107" t="s">
        <v>21</v>
      </c>
      <c r="N107">
        <v>1</v>
      </c>
      <c r="O107">
        <v>25</v>
      </c>
      <c r="P107">
        <v>25</v>
      </c>
      <c r="Q107">
        <v>0.375</v>
      </c>
      <c r="R107">
        <v>0.5</v>
      </c>
    </row>
    <row r="108" spans="1:18" x14ac:dyDescent="0.35">
      <c r="A108">
        <v>104</v>
      </c>
      <c r="B108">
        <v>11</v>
      </c>
      <c r="C108">
        <v>6</v>
      </c>
      <c r="D108">
        <v>2023</v>
      </c>
      <c r="E108" t="s">
        <v>1063</v>
      </c>
      <c r="F108" t="s">
        <v>1069</v>
      </c>
      <c r="G108" t="s">
        <v>1061</v>
      </c>
      <c r="H108" s="18">
        <v>45088</v>
      </c>
      <c r="I108" t="s">
        <v>129</v>
      </c>
      <c r="J108" t="s">
        <v>23</v>
      </c>
      <c r="K108" t="s">
        <v>1030</v>
      </c>
      <c r="L108">
        <v>34</v>
      </c>
      <c r="M108" t="s">
        <v>21</v>
      </c>
      <c r="N108">
        <v>2</v>
      </c>
      <c r="O108">
        <v>500</v>
      </c>
      <c r="P108">
        <v>1000</v>
      </c>
      <c r="Q108">
        <v>15</v>
      </c>
      <c r="R108">
        <v>20</v>
      </c>
    </row>
    <row r="109" spans="1:18" x14ac:dyDescent="0.35">
      <c r="A109">
        <v>105</v>
      </c>
      <c r="B109">
        <v>25</v>
      </c>
      <c r="C109">
        <v>7</v>
      </c>
      <c r="D109">
        <v>2023</v>
      </c>
      <c r="E109" t="s">
        <v>1059</v>
      </c>
      <c r="F109" t="s">
        <v>1078</v>
      </c>
      <c r="G109" t="s">
        <v>1061</v>
      </c>
      <c r="H109" s="18">
        <v>45132</v>
      </c>
      <c r="I109" t="s">
        <v>130</v>
      </c>
      <c r="J109" t="s">
        <v>23</v>
      </c>
      <c r="K109" t="s">
        <v>1034</v>
      </c>
      <c r="L109">
        <v>22</v>
      </c>
      <c r="M109" t="s">
        <v>21</v>
      </c>
      <c r="N109">
        <v>1</v>
      </c>
      <c r="O109">
        <v>500</v>
      </c>
      <c r="P109">
        <v>500</v>
      </c>
      <c r="Q109">
        <v>7.5</v>
      </c>
      <c r="R109">
        <v>10</v>
      </c>
    </row>
    <row r="110" spans="1:18" x14ac:dyDescent="0.35">
      <c r="A110">
        <v>106</v>
      </c>
      <c r="B110">
        <v>18</v>
      </c>
      <c r="C110">
        <v>5</v>
      </c>
      <c r="D110">
        <v>2023</v>
      </c>
      <c r="E110" t="s">
        <v>1072</v>
      </c>
      <c r="F110" t="s">
        <v>1076</v>
      </c>
      <c r="G110" t="s">
        <v>1061</v>
      </c>
      <c r="H110" s="18">
        <v>45064</v>
      </c>
      <c r="I110" t="s">
        <v>131</v>
      </c>
      <c r="J110" t="s">
        <v>23</v>
      </c>
      <c r="K110" t="s">
        <v>1030</v>
      </c>
      <c r="L110">
        <v>46</v>
      </c>
      <c r="M110" t="s">
        <v>21</v>
      </c>
      <c r="N110">
        <v>1</v>
      </c>
      <c r="O110">
        <v>50</v>
      </c>
      <c r="P110">
        <v>50</v>
      </c>
      <c r="Q110">
        <v>0.75</v>
      </c>
      <c r="R110">
        <v>1</v>
      </c>
    </row>
    <row r="111" spans="1:18" x14ac:dyDescent="0.35">
      <c r="A111">
        <v>107</v>
      </c>
      <c r="B111">
        <v>3</v>
      </c>
      <c r="C111">
        <v>2</v>
      </c>
      <c r="D111">
        <v>2023</v>
      </c>
      <c r="E111" t="s">
        <v>1070</v>
      </c>
      <c r="F111" t="s">
        <v>1073</v>
      </c>
      <c r="G111" t="s">
        <v>1061</v>
      </c>
      <c r="H111" s="18">
        <v>44960</v>
      </c>
      <c r="I111" t="s">
        <v>132</v>
      </c>
      <c r="J111" t="s">
        <v>23</v>
      </c>
      <c r="K111" t="s">
        <v>1034</v>
      </c>
      <c r="L111">
        <v>21</v>
      </c>
      <c r="M111" t="s">
        <v>21</v>
      </c>
      <c r="N111">
        <v>4</v>
      </c>
      <c r="O111">
        <v>300</v>
      </c>
      <c r="P111">
        <v>1200</v>
      </c>
      <c r="Q111">
        <v>18</v>
      </c>
      <c r="R111">
        <v>24</v>
      </c>
    </row>
    <row r="112" spans="1:18" x14ac:dyDescent="0.35">
      <c r="A112">
        <v>108</v>
      </c>
      <c r="B112">
        <v>19</v>
      </c>
      <c r="C112">
        <v>4</v>
      </c>
      <c r="D112">
        <v>2023</v>
      </c>
      <c r="E112" t="s">
        <v>1065</v>
      </c>
      <c r="F112" t="s">
        <v>1077</v>
      </c>
      <c r="G112" t="s">
        <v>1061</v>
      </c>
      <c r="H112" s="18">
        <v>45035</v>
      </c>
      <c r="I112" t="s">
        <v>133</v>
      </c>
      <c r="J112" t="s">
        <v>23</v>
      </c>
      <c r="K112" t="s">
        <v>1034</v>
      </c>
      <c r="L112">
        <v>27</v>
      </c>
      <c r="M112" t="s">
        <v>21</v>
      </c>
      <c r="N112">
        <v>3</v>
      </c>
      <c r="O112">
        <v>25</v>
      </c>
      <c r="P112">
        <v>75</v>
      </c>
      <c r="Q112">
        <v>1.125</v>
      </c>
      <c r="R112">
        <v>1.5</v>
      </c>
    </row>
    <row r="113" spans="1:18" x14ac:dyDescent="0.35">
      <c r="A113">
        <v>109</v>
      </c>
      <c r="B113">
        <v>18</v>
      </c>
      <c r="C113">
        <v>10</v>
      </c>
      <c r="D113">
        <v>2023</v>
      </c>
      <c r="E113" t="s">
        <v>1065</v>
      </c>
      <c r="F113" t="s">
        <v>1064</v>
      </c>
      <c r="G113" t="s">
        <v>1061</v>
      </c>
      <c r="H113" s="18">
        <v>45217</v>
      </c>
      <c r="I113" t="s">
        <v>134</v>
      </c>
      <c r="J113" t="s">
        <v>23</v>
      </c>
      <c r="K113" t="s">
        <v>1030</v>
      </c>
      <c r="L113">
        <v>34</v>
      </c>
      <c r="M113" t="s">
        <v>21</v>
      </c>
      <c r="N113">
        <v>4</v>
      </c>
      <c r="O113">
        <v>500</v>
      </c>
      <c r="P113">
        <v>2000</v>
      </c>
      <c r="Q113">
        <v>30</v>
      </c>
      <c r="R113">
        <v>40</v>
      </c>
    </row>
    <row r="114" spans="1:18" x14ac:dyDescent="0.35">
      <c r="A114">
        <v>110</v>
      </c>
      <c r="B114">
        <v>11</v>
      </c>
      <c r="C114">
        <v>6</v>
      </c>
      <c r="D114">
        <v>2023</v>
      </c>
      <c r="E114" t="s">
        <v>1063</v>
      </c>
      <c r="F114" t="s">
        <v>1069</v>
      </c>
      <c r="G114" t="s">
        <v>1061</v>
      </c>
      <c r="H114" s="18">
        <v>45088</v>
      </c>
      <c r="I114" t="s">
        <v>135</v>
      </c>
      <c r="J114" t="s">
        <v>20</v>
      </c>
      <c r="K114" t="s">
        <v>1034</v>
      </c>
      <c r="L114">
        <v>27</v>
      </c>
      <c r="M114" t="s">
        <v>21</v>
      </c>
      <c r="N114">
        <v>3</v>
      </c>
      <c r="O114">
        <v>300</v>
      </c>
      <c r="P114">
        <v>900</v>
      </c>
      <c r="Q114">
        <v>13.5</v>
      </c>
      <c r="R114">
        <v>18</v>
      </c>
    </row>
    <row r="115" spans="1:18" x14ac:dyDescent="0.35">
      <c r="A115">
        <v>111</v>
      </c>
      <c r="B115">
        <v>19</v>
      </c>
      <c r="C115">
        <v>4</v>
      </c>
      <c r="D115">
        <v>2023</v>
      </c>
      <c r="E115" t="s">
        <v>1065</v>
      </c>
      <c r="F115" t="s">
        <v>1077</v>
      </c>
      <c r="G115" t="s">
        <v>1061</v>
      </c>
      <c r="H115" s="18">
        <v>45035</v>
      </c>
      <c r="I115" t="s">
        <v>136</v>
      </c>
      <c r="J115" t="s">
        <v>23</v>
      </c>
      <c r="K115" t="s">
        <v>1030</v>
      </c>
      <c r="L115">
        <v>34</v>
      </c>
      <c r="M115" t="s">
        <v>21</v>
      </c>
      <c r="N115">
        <v>3</v>
      </c>
      <c r="O115">
        <v>500</v>
      </c>
      <c r="P115">
        <v>1500</v>
      </c>
      <c r="Q115">
        <v>22.5</v>
      </c>
      <c r="R115">
        <v>30</v>
      </c>
    </row>
    <row r="116" spans="1:18" x14ac:dyDescent="0.35">
      <c r="A116">
        <v>112</v>
      </c>
      <c r="B116">
        <v>2</v>
      </c>
      <c r="C116">
        <v>12</v>
      </c>
      <c r="D116">
        <v>2023</v>
      </c>
      <c r="E116" t="s">
        <v>1075</v>
      </c>
      <c r="F116" t="s">
        <v>1062</v>
      </c>
      <c r="G116" t="s">
        <v>1061</v>
      </c>
      <c r="H116" s="18">
        <v>45262</v>
      </c>
      <c r="I116" t="s">
        <v>137</v>
      </c>
      <c r="J116" t="s">
        <v>20</v>
      </c>
      <c r="K116" t="s">
        <v>1030</v>
      </c>
      <c r="L116">
        <v>37</v>
      </c>
      <c r="M116" t="s">
        <v>21</v>
      </c>
      <c r="N116">
        <v>3</v>
      </c>
      <c r="O116">
        <v>500</v>
      </c>
      <c r="P116">
        <v>1500</v>
      </c>
      <c r="Q116">
        <v>22.5</v>
      </c>
      <c r="R116">
        <v>30</v>
      </c>
    </row>
    <row r="117" spans="1:18" x14ac:dyDescent="0.35">
      <c r="A117">
        <v>113</v>
      </c>
      <c r="B117">
        <v>13</v>
      </c>
      <c r="C117">
        <v>9</v>
      </c>
      <c r="D117">
        <v>2023</v>
      </c>
      <c r="E117" t="s">
        <v>1065</v>
      </c>
      <c r="F117" t="s">
        <v>1071</v>
      </c>
      <c r="G117" t="s">
        <v>1061</v>
      </c>
      <c r="H117" s="18">
        <v>45182</v>
      </c>
      <c r="I117" t="s">
        <v>138</v>
      </c>
      <c r="J117" t="s">
        <v>23</v>
      </c>
      <c r="K117" t="s">
        <v>1030</v>
      </c>
      <c r="L117">
        <v>41</v>
      </c>
      <c r="M117" t="s">
        <v>21</v>
      </c>
      <c r="N117">
        <v>2</v>
      </c>
      <c r="O117">
        <v>25</v>
      </c>
      <c r="P117">
        <v>50</v>
      </c>
      <c r="Q117">
        <v>0.75</v>
      </c>
      <c r="R117">
        <v>1</v>
      </c>
    </row>
    <row r="118" spans="1:18" x14ac:dyDescent="0.35">
      <c r="A118">
        <v>114</v>
      </c>
      <c r="B118">
        <v>22</v>
      </c>
      <c r="C118">
        <v>7</v>
      </c>
      <c r="D118">
        <v>2023</v>
      </c>
      <c r="E118" t="s">
        <v>1075</v>
      </c>
      <c r="F118" t="s">
        <v>1078</v>
      </c>
      <c r="G118" t="s">
        <v>1061</v>
      </c>
      <c r="H118" s="18">
        <v>45129</v>
      </c>
      <c r="I118" t="s">
        <v>139</v>
      </c>
      <c r="J118" t="s">
        <v>23</v>
      </c>
      <c r="K118" t="s">
        <v>1034</v>
      </c>
      <c r="L118">
        <v>22</v>
      </c>
      <c r="M118" t="s">
        <v>21</v>
      </c>
      <c r="N118">
        <v>4</v>
      </c>
      <c r="O118">
        <v>25</v>
      </c>
      <c r="P118">
        <v>100</v>
      </c>
      <c r="Q118">
        <v>1.5</v>
      </c>
      <c r="R118">
        <v>2</v>
      </c>
    </row>
    <row r="119" spans="1:18" x14ac:dyDescent="0.35">
      <c r="A119">
        <v>115</v>
      </c>
      <c r="B119">
        <v>26</v>
      </c>
      <c r="C119">
        <v>11</v>
      </c>
      <c r="D119">
        <v>2023</v>
      </c>
      <c r="E119" t="s">
        <v>1063</v>
      </c>
      <c r="F119" t="s">
        <v>1068</v>
      </c>
      <c r="G119" t="s">
        <v>1061</v>
      </c>
      <c r="H119" s="18">
        <v>45256</v>
      </c>
      <c r="I119" t="s">
        <v>140</v>
      </c>
      <c r="J119" t="s">
        <v>20</v>
      </c>
      <c r="K119" t="s">
        <v>1032</v>
      </c>
      <c r="L119">
        <v>51</v>
      </c>
      <c r="M119" t="s">
        <v>21</v>
      </c>
      <c r="N119">
        <v>3</v>
      </c>
      <c r="O119">
        <v>500</v>
      </c>
      <c r="P119">
        <v>1500</v>
      </c>
      <c r="Q119">
        <v>22.5</v>
      </c>
      <c r="R119">
        <v>30</v>
      </c>
    </row>
    <row r="120" spans="1:18" x14ac:dyDescent="0.35">
      <c r="A120">
        <v>116</v>
      </c>
      <c r="B120">
        <v>23</v>
      </c>
      <c r="C120">
        <v>8</v>
      </c>
      <c r="D120">
        <v>2023</v>
      </c>
      <c r="E120" t="s">
        <v>1065</v>
      </c>
      <c r="F120" t="s">
        <v>1074</v>
      </c>
      <c r="G120" t="s">
        <v>1061</v>
      </c>
      <c r="H120" s="18">
        <v>45161</v>
      </c>
      <c r="I120" t="s">
        <v>141</v>
      </c>
      <c r="J120" t="s">
        <v>23</v>
      </c>
      <c r="K120" t="s">
        <v>1034</v>
      </c>
      <c r="L120">
        <v>23</v>
      </c>
      <c r="M120" t="s">
        <v>21</v>
      </c>
      <c r="N120">
        <v>1</v>
      </c>
      <c r="O120">
        <v>30</v>
      </c>
      <c r="P120">
        <v>30</v>
      </c>
      <c r="Q120">
        <v>0.44999999999999996</v>
      </c>
      <c r="R120">
        <v>0.6</v>
      </c>
    </row>
    <row r="121" spans="1:18" x14ac:dyDescent="0.35">
      <c r="A121">
        <v>117</v>
      </c>
      <c r="B121">
        <v>15</v>
      </c>
      <c r="C121">
        <v>3</v>
      </c>
      <c r="D121">
        <v>2023</v>
      </c>
      <c r="E121" t="s">
        <v>1065</v>
      </c>
      <c r="F121" t="s">
        <v>1066</v>
      </c>
      <c r="G121" t="s">
        <v>1061</v>
      </c>
      <c r="H121" s="18">
        <v>45000</v>
      </c>
      <c r="I121" t="s">
        <v>142</v>
      </c>
      <c r="J121" t="s">
        <v>20</v>
      </c>
      <c r="K121" t="s">
        <v>1034</v>
      </c>
      <c r="L121">
        <v>19</v>
      </c>
      <c r="M121" t="s">
        <v>21</v>
      </c>
      <c r="N121">
        <v>2</v>
      </c>
      <c r="O121">
        <v>500</v>
      </c>
      <c r="P121">
        <v>1000</v>
      </c>
      <c r="Q121">
        <v>15</v>
      </c>
      <c r="R121">
        <v>20</v>
      </c>
    </row>
    <row r="122" spans="1:18" x14ac:dyDescent="0.35">
      <c r="A122">
        <v>118</v>
      </c>
      <c r="B122">
        <v>16</v>
      </c>
      <c r="C122">
        <v>5</v>
      </c>
      <c r="D122">
        <v>2023</v>
      </c>
      <c r="E122" t="s">
        <v>1059</v>
      </c>
      <c r="F122" t="s">
        <v>1076</v>
      </c>
      <c r="G122" t="s">
        <v>1061</v>
      </c>
      <c r="H122" s="18">
        <v>45062</v>
      </c>
      <c r="I122" t="s">
        <v>143</v>
      </c>
      <c r="J122" t="s">
        <v>23</v>
      </c>
      <c r="K122" t="s">
        <v>1030</v>
      </c>
      <c r="L122">
        <v>30</v>
      </c>
      <c r="M122" t="s">
        <v>21</v>
      </c>
      <c r="N122">
        <v>4</v>
      </c>
      <c r="O122">
        <v>500</v>
      </c>
      <c r="P122">
        <v>2000</v>
      </c>
      <c r="Q122">
        <v>30</v>
      </c>
      <c r="R122">
        <v>40</v>
      </c>
    </row>
    <row r="123" spans="1:18" x14ac:dyDescent="0.35">
      <c r="A123">
        <v>119</v>
      </c>
      <c r="B123">
        <v>13</v>
      </c>
      <c r="C123">
        <v>3</v>
      </c>
      <c r="D123">
        <v>2023</v>
      </c>
      <c r="E123" t="s">
        <v>1067</v>
      </c>
      <c r="F123" t="s">
        <v>1066</v>
      </c>
      <c r="G123" t="s">
        <v>1061</v>
      </c>
      <c r="H123" s="18">
        <v>44998</v>
      </c>
      <c r="I123" t="s">
        <v>144</v>
      </c>
      <c r="J123" t="s">
        <v>23</v>
      </c>
      <c r="K123" t="s">
        <v>1032</v>
      </c>
      <c r="L123">
        <v>60</v>
      </c>
      <c r="M123" t="s">
        <v>21</v>
      </c>
      <c r="N123">
        <v>3</v>
      </c>
      <c r="O123">
        <v>50</v>
      </c>
      <c r="P123">
        <v>150</v>
      </c>
      <c r="Q123">
        <v>2.25</v>
      </c>
      <c r="R123">
        <v>3</v>
      </c>
    </row>
    <row r="124" spans="1:18" x14ac:dyDescent="0.35">
      <c r="A124">
        <v>120</v>
      </c>
      <c r="B124">
        <v>7</v>
      </c>
      <c r="C124">
        <v>5</v>
      </c>
      <c r="D124">
        <v>2023</v>
      </c>
      <c r="E124" t="s">
        <v>1063</v>
      </c>
      <c r="F124" t="s">
        <v>1076</v>
      </c>
      <c r="G124" t="s">
        <v>1061</v>
      </c>
      <c r="H124" s="18">
        <v>45053</v>
      </c>
      <c r="I124" t="s">
        <v>145</v>
      </c>
      <c r="J124" t="s">
        <v>20</v>
      </c>
      <c r="K124" t="s">
        <v>1032</v>
      </c>
      <c r="L124">
        <v>60</v>
      </c>
      <c r="M124" t="s">
        <v>21</v>
      </c>
      <c r="N124">
        <v>1</v>
      </c>
      <c r="O124">
        <v>50</v>
      </c>
      <c r="P124">
        <v>50</v>
      </c>
      <c r="Q124">
        <v>0.75</v>
      </c>
      <c r="R124">
        <v>1</v>
      </c>
    </row>
    <row r="125" spans="1:18" x14ac:dyDescent="0.35">
      <c r="A125">
        <v>121</v>
      </c>
      <c r="B125">
        <v>15</v>
      </c>
      <c r="C125">
        <v>10</v>
      </c>
      <c r="D125">
        <v>2023</v>
      </c>
      <c r="E125" t="s">
        <v>1063</v>
      </c>
      <c r="F125" t="s">
        <v>1064</v>
      </c>
      <c r="G125" t="s">
        <v>1061</v>
      </c>
      <c r="H125" s="18">
        <v>45214</v>
      </c>
      <c r="I125" t="s">
        <v>146</v>
      </c>
      <c r="J125" t="s">
        <v>23</v>
      </c>
      <c r="K125" t="s">
        <v>1034</v>
      </c>
      <c r="L125">
        <v>28</v>
      </c>
      <c r="M125" t="s">
        <v>21</v>
      </c>
      <c r="N125">
        <v>4</v>
      </c>
      <c r="O125">
        <v>50</v>
      </c>
      <c r="P125">
        <v>200</v>
      </c>
      <c r="Q125">
        <v>3</v>
      </c>
      <c r="R125">
        <v>4</v>
      </c>
    </row>
    <row r="126" spans="1:18" x14ac:dyDescent="0.35">
      <c r="A126">
        <v>122</v>
      </c>
      <c r="B126">
        <v>3</v>
      </c>
      <c r="C126">
        <v>10</v>
      </c>
      <c r="D126">
        <v>2023</v>
      </c>
      <c r="E126" t="s">
        <v>1059</v>
      </c>
      <c r="F126" t="s">
        <v>1064</v>
      </c>
      <c r="G126" t="s">
        <v>1061</v>
      </c>
      <c r="H126" s="18">
        <v>45202</v>
      </c>
      <c r="I126" t="s">
        <v>147</v>
      </c>
      <c r="J126" t="s">
        <v>20</v>
      </c>
      <c r="K126" t="s">
        <v>1032</v>
      </c>
      <c r="L126">
        <v>64</v>
      </c>
      <c r="M126" t="s">
        <v>21</v>
      </c>
      <c r="N126">
        <v>4</v>
      </c>
      <c r="O126">
        <v>30</v>
      </c>
      <c r="P126">
        <v>120</v>
      </c>
      <c r="Q126">
        <v>1.7999999999999998</v>
      </c>
      <c r="R126">
        <v>2.4</v>
      </c>
    </row>
    <row r="127" spans="1:18" x14ac:dyDescent="0.35">
      <c r="A127">
        <v>123</v>
      </c>
      <c r="B127">
        <v>15</v>
      </c>
      <c r="C127">
        <v>5</v>
      </c>
      <c r="D127">
        <v>2023</v>
      </c>
      <c r="E127" t="s">
        <v>1067</v>
      </c>
      <c r="F127" t="s">
        <v>1076</v>
      </c>
      <c r="G127" t="s">
        <v>1061</v>
      </c>
      <c r="H127" s="18">
        <v>45061</v>
      </c>
      <c r="I127" t="s">
        <v>148</v>
      </c>
      <c r="J127" t="s">
        <v>23</v>
      </c>
      <c r="K127" t="s">
        <v>1030</v>
      </c>
      <c r="L127">
        <v>40</v>
      </c>
      <c r="M127" t="s">
        <v>21</v>
      </c>
      <c r="N127">
        <v>2</v>
      </c>
      <c r="O127">
        <v>30</v>
      </c>
      <c r="P127">
        <v>60</v>
      </c>
      <c r="Q127">
        <v>0.89999999999999991</v>
      </c>
      <c r="R127">
        <v>1.2</v>
      </c>
    </row>
    <row r="128" spans="1:18" x14ac:dyDescent="0.35">
      <c r="A128">
        <v>124</v>
      </c>
      <c r="B128">
        <v>27</v>
      </c>
      <c r="C128">
        <v>10</v>
      </c>
      <c r="D128">
        <v>2023</v>
      </c>
      <c r="E128" t="s">
        <v>1070</v>
      </c>
      <c r="F128" t="s">
        <v>1064</v>
      </c>
      <c r="G128" t="s">
        <v>1061</v>
      </c>
      <c r="H128" s="18">
        <v>45226</v>
      </c>
      <c r="I128" t="s">
        <v>149</v>
      </c>
      <c r="J128" t="s">
        <v>20</v>
      </c>
      <c r="K128" t="s">
        <v>1030</v>
      </c>
      <c r="L128">
        <v>33</v>
      </c>
      <c r="M128" t="s">
        <v>21</v>
      </c>
      <c r="N128">
        <v>4</v>
      </c>
      <c r="O128">
        <v>500</v>
      </c>
      <c r="P128">
        <v>2000</v>
      </c>
      <c r="Q128">
        <v>30</v>
      </c>
      <c r="R128">
        <v>40</v>
      </c>
    </row>
    <row r="129" spans="1:18" x14ac:dyDescent="0.35">
      <c r="A129">
        <v>125</v>
      </c>
      <c r="B129">
        <v>8</v>
      </c>
      <c r="C129">
        <v>8</v>
      </c>
      <c r="D129">
        <v>2023</v>
      </c>
      <c r="E129" t="s">
        <v>1059</v>
      </c>
      <c r="F129" t="s">
        <v>1074</v>
      </c>
      <c r="G129" t="s">
        <v>1061</v>
      </c>
      <c r="H129" s="18">
        <v>45146</v>
      </c>
      <c r="I129" t="s">
        <v>150</v>
      </c>
      <c r="J129" t="s">
        <v>20</v>
      </c>
      <c r="K129" t="s">
        <v>1030</v>
      </c>
      <c r="L129">
        <v>48</v>
      </c>
      <c r="M129" t="s">
        <v>21</v>
      </c>
      <c r="N129">
        <v>2</v>
      </c>
      <c r="O129">
        <v>50</v>
      </c>
      <c r="P129">
        <v>100</v>
      </c>
      <c r="Q129">
        <v>1.5</v>
      </c>
      <c r="R129">
        <v>2</v>
      </c>
    </row>
    <row r="130" spans="1:18" x14ac:dyDescent="0.35">
      <c r="A130">
        <v>126</v>
      </c>
      <c r="B130">
        <v>26</v>
      </c>
      <c r="C130">
        <v>10</v>
      </c>
      <c r="D130">
        <v>2023</v>
      </c>
      <c r="E130" t="s">
        <v>1072</v>
      </c>
      <c r="F130" t="s">
        <v>1064</v>
      </c>
      <c r="G130" t="s">
        <v>1061</v>
      </c>
      <c r="H130" s="18">
        <v>45225</v>
      </c>
      <c r="I130" t="s">
        <v>151</v>
      </c>
      <c r="J130" t="s">
        <v>23</v>
      </c>
      <c r="K130" t="s">
        <v>1034</v>
      </c>
      <c r="L130">
        <v>28</v>
      </c>
      <c r="M130" t="s">
        <v>21</v>
      </c>
      <c r="N130">
        <v>3</v>
      </c>
      <c r="O130">
        <v>30</v>
      </c>
      <c r="P130">
        <v>90</v>
      </c>
      <c r="Q130">
        <v>1.3499999999999999</v>
      </c>
      <c r="R130">
        <v>1.8</v>
      </c>
    </row>
    <row r="131" spans="1:18" x14ac:dyDescent="0.35">
      <c r="A131">
        <v>127</v>
      </c>
      <c r="B131">
        <v>24</v>
      </c>
      <c r="C131">
        <v>7</v>
      </c>
      <c r="D131">
        <v>2023</v>
      </c>
      <c r="E131" t="s">
        <v>1067</v>
      </c>
      <c r="F131" t="s">
        <v>1078</v>
      </c>
      <c r="G131" t="s">
        <v>1061</v>
      </c>
      <c r="H131" s="18">
        <v>45131</v>
      </c>
      <c r="I131" t="s">
        <v>152</v>
      </c>
      <c r="J131" t="s">
        <v>23</v>
      </c>
      <c r="K131" t="s">
        <v>1030</v>
      </c>
      <c r="L131">
        <v>33</v>
      </c>
      <c r="M131" t="s">
        <v>21</v>
      </c>
      <c r="N131">
        <v>2</v>
      </c>
      <c r="O131">
        <v>25</v>
      </c>
      <c r="P131">
        <v>50</v>
      </c>
      <c r="Q131">
        <v>0.75</v>
      </c>
      <c r="R131">
        <v>1</v>
      </c>
    </row>
    <row r="132" spans="1:18" x14ac:dyDescent="0.35">
      <c r="A132">
        <v>128</v>
      </c>
      <c r="B132">
        <v>5</v>
      </c>
      <c r="C132">
        <v>7</v>
      </c>
      <c r="D132">
        <v>2023</v>
      </c>
      <c r="E132" t="s">
        <v>1065</v>
      </c>
      <c r="F132" t="s">
        <v>1078</v>
      </c>
      <c r="G132" t="s">
        <v>1061</v>
      </c>
      <c r="H132" s="18">
        <v>45112</v>
      </c>
      <c r="I132" t="s">
        <v>153</v>
      </c>
      <c r="J132" t="s">
        <v>20</v>
      </c>
      <c r="K132" t="s">
        <v>1034</v>
      </c>
      <c r="L132">
        <v>25</v>
      </c>
      <c r="M132" t="s">
        <v>21</v>
      </c>
      <c r="N132">
        <v>1</v>
      </c>
      <c r="O132">
        <v>500</v>
      </c>
      <c r="P132">
        <v>500</v>
      </c>
      <c r="Q132">
        <v>7.5</v>
      </c>
      <c r="R132">
        <v>10</v>
      </c>
    </row>
    <row r="133" spans="1:18" x14ac:dyDescent="0.35">
      <c r="A133">
        <v>129</v>
      </c>
      <c r="B133">
        <v>23</v>
      </c>
      <c r="C133">
        <v>4</v>
      </c>
      <c r="D133">
        <v>2023</v>
      </c>
      <c r="E133" t="s">
        <v>1063</v>
      </c>
      <c r="F133" t="s">
        <v>1077</v>
      </c>
      <c r="G133" t="s">
        <v>1061</v>
      </c>
      <c r="H133" s="18">
        <v>45039</v>
      </c>
      <c r="I133" t="s">
        <v>154</v>
      </c>
      <c r="J133" t="s">
        <v>23</v>
      </c>
      <c r="K133" t="s">
        <v>1034</v>
      </c>
      <c r="L133">
        <v>21</v>
      </c>
      <c r="M133" t="s">
        <v>21</v>
      </c>
      <c r="N133">
        <v>2</v>
      </c>
      <c r="O133">
        <v>300</v>
      </c>
      <c r="P133">
        <v>600</v>
      </c>
      <c r="Q133">
        <v>9</v>
      </c>
      <c r="R133">
        <v>12</v>
      </c>
    </row>
    <row r="134" spans="1:18" x14ac:dyDescent="0.35">
      <c r="A134">
        <v>130</v>
      </c>
      <c r="B134">
        <v>12</v>
      </c>
      <c r="C134">
        <v>3</v>
      </c>
      <c r="D134">
        <v>2023</v>
      </c>
      <c r="E134" t="s">
        <v>1063</v>
      </c>
      <c r="F134" t="s">
        <v>1066</v>
      </c>
      <c r="G134" t="s">
        <v>1061</v>
      </c>
      <c r="H134" s="18">
        <v>44997</v>
      </c>
      <c r="I134" t="s">
        <v>155</v>
      </c>
      <c r="J134" t="s">
        <v>23</v>
      </c>
      <c r="K134" t="s">
        <v>1032</v>
      </c>
      <c r="L134">
        <v>57</v>
      </c>
      <c r="M134" t="s">
        <v>21</v>
      </c>
      <c r="N134">
        <v>1</v>
      </c>
      <c r="O134">
        <v>500</v>
      </c>
      <c r="P134">
        <v>500</v>
      </c>
      <c r="Q134">
        <v>7.5</v>
      </c>
      <c r="R134">
        <v>10</v>
      </c>
    </row>
    <row r="135" spans="1:18" x14ac:dyDescent="0.35">
      <c r="A135">
        <v>131</v>
      </c>
      <c r="B135">
        <v>18</v>
      </c>
      <c r="C135">
        <v>9</v>
      </c>
      <c r="D135">
        <v>2023</v>
      </c>
      <c r="E135" t="s">
        <v>1067</v>
      </c>
      <c r="F135" t="s">
        <v>1071</v>
      </c>
      <c r="G135" t="s">
        <v>1061</v>
      </c>
      <c r="H135" s="18">
        <v>45187</v>
      </c>
      <c r="I135" t="s">
        <v>156</v>
      </c>
      <c r="J135" t="s">
        <v>23</v>
      </c>
      <c r="K135" t="s">
        <v>1034</v>
      </c>
      <c r="L135">
        <v>21</v>
      </c>
      <c r="M135" t="s">
        <v>21</v>
      </c>
      <c r="N135">
        <v>2</v>
      </c>
      <c r="O135">
        <v>300</v>
      </c>
      <c r="P135">
        <v>600</v>
      </c>
      <c r="Q135">
        <v>9</v>
      </c>
      <c r="R135">
        <v>12</v>
      </c>
    </row>
    <row r="136" spans="1:18" x14ac:dyDescent="0.35">
      <c r="A136">
        <v>132</v>
      </c>
      <c r="B136">
        <v>10</v>
      </c>
      <c r="C136">
        <v>9</v>
      </c>
      <c r="D136">
        <v>2023</v>
      </c>
      <c r="E136" t="s">
        <v>1063</v>
      </c>
      <c r="F136" t="s">
        <v>1071</v>
      </c>
      <c r="G136" t="s">
        <v>1061</v>
      </c>
      <c r="H136" s="18">
        <v>45179</v>
      </c>
      <c r="I136" t="s">
        <v>157</v>
      </c>
      <c r="J136" t="s">
        <v>20</v>
      </c>
      <c r="K136" t="s">
        <v>1030</v>
      </c>
      <c r="L136">
        <v>42</v>
      </c>
      <c r="M136" t="s">
        <v>21</v>
      </c>
      <c r="N136">
        <v>4</v>
      </c>
      <c r="O136">
        <v>50</v>
      </c>
      <c r="P136">
        <v>200</v>
      </c>
      <c r="Q136">
        <v>3</v>
      </c>
      <c r="R136">
        <v>4</v>
      </c>
    </row>
    <row r="137" spans="1:18" x14ac:dyDescent="0.35">
      <c r="A137">
        <v>133</v>
      </c>
      <c r="B137">
        <v>16</v>
      </c>
      <c r="C137">
        <v>2</v>
      </c>
      <c r="D137">
        <v>2023</v>
      </c>
      <c r="E137" t="s">
        <v>1072</v>
      </c>
      <c r="F137" t="s">
        <v>1073</v>
      </c>
      <c r="G137" t="s">
        <v>1061</v>
      </c>
      <c r="H137" s="18">
        <v>44973</v>
      </c>
      <c r="I137" t="s">
        <v>158</v>
      </c>
      <c r="J137" t="s">
        <v>20</v>
      </c>
      <c r="K137" t="s">
        <v>1034</v>
      </c>
      <c r="L137">
        <v>20</v>
      </c>
      <c r="M137" t="s">
        <v>21</v>
      </c>
      <c r="N137">
        <v>3</v>
      </c>
      <c r="O137">
        <v>300</v>
      </c>
      <c r="P137">
        <v>900</v>
      </c>
      <c r="Q137">
        <v>13.5</v>
      </c>
      <c r="R137">
        <v>18</v>
      </c>
    </row>
    <row r="138" spans="1:18" x14ac:dyDescent="0.35">
      <c r="A138">
        <v>134</v>
      </c>
      <c r="B138">
        <v>25</v>
      </c>
      <c r="C138">
        <v>1</v>
      </c>
      <c r="D138">
        <v>2023</v>
      </c>
      <c r="E138" t="s">
        <v>1065</v>
      </c>
      <c r="F138" t="s">
        <v>1060</v>
      </c>
      <c r="G138" t="s">
        <v>1061</v>
      </c>
      <c r="H138" s="18">
        <v>44951</v>
      </c>
      <c r="I138" t="s">
        <v>159</v>
      </c>
      <c r="J138" t="s">
        <v>20</v>
      </c>
      <c r="K138" t="s">
        <v>1030</v>
      </c>
      <c r="L138">
        <v>49</v>
      </c>
      <c r="M138" t="s">
        <v>21</v>
      </c>
      <c r="N138">
        <v>1</v>
      </c>
      <c r="O138">
        <v>50</v>
      </c>
      <c r="P138">
        <v>50</v>
      </c>
      <c r="Q138">
        <v>0.75</v>
      </c>
      <c r="R138">
        <v>1</v>
      </c>
    </row>
    <row r="139" spans="1:18" x14ac:dyDescent="0.35">
      <c r="A139">
        <v>135</v>
      </c>
      <c r="B139">
        <v>26</v>
      </c>
      <c r="C139">
        <v>2</v>
      </c>
      <c r="D139">
        <v>2023</v>
      </c>
      <c r="E139" t="s">
        <v>1063</v>
      </c>
      <c r="F139" t="s">
        <v>1073</v>
      </c>
      <c r="G139" t="s">
        <v>1061</v>
      </c>
      <c r="H139" s="18">
        <v>44983</v>
      </c>
      <c r="I139" t="s">
        <v>160</v>
      </c>
      <c r="J139" t="s">
        <v>20</v>
      </c>
      <c r="K139" t="s">
        <v>1034</v>
      </c>
      <c r="L139">
        <v>20</v>
      </c>
      <c r="M139" t="s">
        <v>21</v>
      </c>
      <c r="N139">
        <v>2</v>
      </c>
      <c r="O139">
        <v>25</v>
      </c>
      <c r="P139">
        <v>50</v>
      </c>
      <c r="Q139">
        <v>0.75</v>
      </c>
      <c r="R139">
        <v>1</v>
      </c>
    </row>
    <row r="140" spans="1:18" x14ac:dyDescent="0.35">
      <c r="A140">
        <v>136</v>
      </c>
      <c r="B140">
        <v>20</v>
      </c>
      <c r="C140">
        <v>3</v>
      </c>
      <c r="D140">
        <v>2023</v>
      </c>
      <c r="E140" t="s">
        <v>1067</v>
      </c>
      <c r="F140" t="s">
        <v>1066</v>
      </c>
      <c r="G140" t="s">
        <v>1061</v>
      </c>
      <c r="H140" s="18">
        <v>45005</v>
      </c>
      <c r="I140" t="s">
        <v>161</v>
      </c>
      <c r="J140" t="s">
        <v>20</v>
      </c>
      <c r="K140" t="s">
        <v>1030</v>
      </c>
      <c r="L140">
        <v>44</v>
      </c>
      <c r="M140" t="s">
        <v>21</v>
      </c>
      <c r="N140">
        <v>2</v>
      </c>
      <c r="O140">
        <v>300</v>
      </c>
      <c r="P140">
        <v>600</v>
      </c>
      <c r="Q140">
        <v>9</v>
      </c>
      <c r="R140">
        <v>12</v>
      </c>
    </row>
    <row r="141" spans="1:18" x14ac:dyDescent="0.35">
      <c r="A141">
        <v>137</v>
      </c>
      <c r="B141">
        <v>18</v>
      </c>
      <c r="C141">
        <v>11</v>
      </c>
      <c r="D141">
        <v>2023</v>
      </c>
      <c r="E141" t="s">
        <v>1075</v>
      </c>
      <c r="F141" t="s">
        <v>1068</v>
      </c>
      <c r="G141" t="s">
        <v>1061</v>
      </c>
      <c r="H141" s="18">
        <v>45248</v>
      </c>
      <c r="I141" t="s">
        <v>162</v>
      </c>
      <c r="J141" t="s">
        <v>20</v>
      </c>
      <c r="K141" t="s">
        <v>1030</v>
      </c>
      <c r="L141">
        <v>46</v>
      </c>
      <c r="M141" t="s">
        <v>21</v>
      </c>
      <c r="N141">
        <v>2</v>
      </c>
      <c r="O141">
        <v>500</v>
      </c>
      <c r="P141">
        <v>1000</v>
      </c>
      <c r="Q141">
        <v>15</v>
      </c>
      <c r="R141">
        <v>20</v>
      </c>
    </row>
    <row r="142" spans="1:18" x14ac:dyDescent="0.35">
      <c r="A142">
        <v>138</v>
      </c>
      <c r="B142">
        <v>23</v>
      </c>
      <c r="C142">
        <v>3</v>
      </c>
      <c r="D142">
        <v>2023</v>
      </c>
      <c r="E142" t="s">
        <v>1072</v>
      </c>
      <c r="F142" t="s">
        <v>1066</v>
      </c>
      <c r="G142" t="s">
        <v>1061</v>
      </c>
      <c r="H142" s="18">
        <v>45008</v>
      </c>
      <c r="I142" t="s">
        <v>163</v>
      </c>
      <c r="J142" t="s">
        <v>20</v>
      </c>
      <c r="K142" t="s">
        <v>1030</v>
      </c>
      <c r="L142">
        <v>49</v>
      </c>
      <c r="M142" t="s">
        <v>21</v>
      </c>
      <c r="N142">
        <v>4</v>
      </c>
      <c r="O142">
        <v>50</v>
      </c>
      <c r="P142">
        <v>200</v>
      </c>
      <c r="Q142">
        <v>3</v>
      </c>
      <c r="R142">
        <v>4</v>
      </c>
    </row>
    <row r="143" spans="1:18" x14ac:dyDescent="0.35">
      <c r="A143">
        <v>139</v>
      </c>
      <c r="B143">
        <v>15</v>
      </c>
      <c r="C143">
        <v>12</v>
      </c>
      <c r="D143">
        <v>2023</v>
      </c>
      <c r="E143" t="s">
        <v>1070</v>
      </c>
      <c r="F143" t="s">
        <v>1062</v>
      </c>
      <c r="G143" t="s">
        <v>1061</v>
      </c>
      <c r="H143" s="18">
        <v>45275</v>
      </c>
      <c r="I143" t="s">
        <v>164</v>
      </c>
      <c r="J143" t="s">
        <v>20</v>
      </c>
      <c r="K143" t="s">
        <v>1030</v>
      </c>
      <c r="L143">
        <v>36</v>
      </c>
      <c r="M143" t="s">
        <v>21</v>
      </c>
      <c r="N143">
        <v>4</v>
      </c>
      <c r="O143">
        <v>500</v>
      </c>
      <c r="P143">
        <v>2000</v>
      </c>
      <c r="Q143">
        <v>30</v>
      </c>
      <c r="R143">
        <v>40</v>
      </c>
    </row>
    <row r="144" spans="1:18" x14ac:dyDescent="0.35">
      <c r="A144">
        <v>140</v>
      </c>
      <c r="B144">
        <v>5</v>
      </c>
      <c r="C144">
        <v>8</v>
      </c>
      <c r="D144">
        <v>2023</v>
      </c>
      <c r="E144" t="s">
        <v>1075</v>
      </c>
      <c r="F144" t="s">
        <v>1074</v>
      </c>
      <c r="G144" t="s">
        <v>1061</v>
      </c>
      <c r="H144" s="18">
        <v>45143</v>
      </c>
      <c r="I144" t="s">
        <v>165</v>
      </c>
      <c r="J144" t="s">
        <v>20</v>
      </c>
      <c r="K144" t="s">
        <v>1030</v>
      </c>
      <c r="L144">
        <v>38</v>
      </c>
      <c r="M144" t="s">
        <v>21</v>
      </c>
      <c r="N144">
        <v>1</v>
      </c>
      <c r="O144">
        <v>30</v>
      </c>
      <c r="P144">
        <v>30</v>
      </c>
      <c r="Q144">
        <v>0.44999999999999996</v>
      </c>
      <c r="R144">
        <v>0.6</v>
      </c>
    </row>
    <row r="145" spans="1:18" x14ac:dyDescent="0.35">
      <c r="A145">
        <v>141</v>
      </c>
      <c r="B145">
        <v>2</v>
      </c>
      <c r="C145">
        <v>11</v>
      </c>
      <c r="D145">
        <v>2023</v>
      </c>
      <c r="E145" t="s">
        <v>1072</v>
      </c>
      <c r="F145" t="s">
        <v>1068</v>
      </c>
      <c r="G145" t="s">
        <v>1061</v>
      </c>
      <c r="H145" s="18">
        <v>45232</v>
      </c>
      <c r="I145" t="s">
        <v>166</v>
      </c>
      <c r="J145" t="s">
        <v>23</v>
      </c>
      <c r="K145" t="s">
        <v>1034</v>
      </c>
      <c r="L145">
        <v>22</v>
      </c>
      <c r="M145" t="s">
        <v>21</v>
      </c>
      <c r="N145">
        <v>1</v>
      </c>
      <c r="O145">
        <v>50</v>
      </c>
      <c r="P145">
        <v>50</v>
      </c>
      <c r="Q145">
        <v>0.75</v>
      </c>
      <c r="R145">
        <v>1</v>
      </c>
    </row>
    <row r="146" spans="1:18" x14ac:dyDescent="0.35">
      <c r="A146">
        <v>142</v>
      </c>
      <c r="B146">
        <v>2</v>
      </c>
      <c r="C146">
        <v>2</v>
      </c>
      <c r="D146">
        <v>2023</v>
      </c>
      <c r="E146" t="s">
        <v>1072</v>
      </c>
      <c r="F146" t="s">
        <v>1073</v>
      </c>
      <c r="G146" t="s">
        <v>1061</v>
      </c>
      <c r="H146" s="18">
        <v>44959</v>
      </c>
      <c r="I146" t="s">
        <v>167</v>
      </c>
      <c r="J146" t="s">
        <v>20</v>
      </c>
      <c r="K146" t="s">
        <v>1030</v>
      </c>
      <c r="L146">
        <v>35</v>
      </c>
      <c r="M146" t="s">
        <v>21</v>
      </c>
      <c r="N146">
        <v>4</v>
      </c>
      <c r="O146">
        <v>300</v>
      </c>
      <c r="P146">
        <v>1200</v>
      </c>
      <c r="Q146">
        <v>18</v>
      </c>
      <c r="R146">
        <v>24</v>
      </c>
    </row>
    <row r="147" spans="1:18" x14ac:dyDescent="0.35">
      <c r="A147">
        <v>143</v>
      </c>
      <c r="B147">
        <v>17</v>
      </c>
      <c r="C147">
        <v>7</v>
      </c>
      <c r="D147">
        <v>2023</v>
      </c>
      <c r="E147" t="s">
        <v>1067</v>
      </c>
      <c r="F147" t="s">
        <v>1078</v>
      </c>
      <c r="G147" t="s">
        <v>1061</v>
      </c>
      <c r="H147" s="18">
        <v>45124</v>
      </c>
      <c r="I147" t="s">
        <v>168</v>
      </c>
      <c r="J147" t="s">
        <v>23</v>
      </c>
      <c r="K147" t="s">
        <v>1030</v>
      </c>
      <c r="L147">
        <v>45</v>
      </c>
      <c r="M147" t="s">
        <v>21</v>
      </c>
      <c r="N147">
        <v>1</v>
      </c>
      <c r="O147">
        <v>50</v>
      </c>
      <c r="P147">
        <v>50</v>
      </c>
      <c r="Q147">
        <v>0.75</v>
      </c>
      <c r="R147">
        <v>1</v>
      </c>
    </row>
    <row r="148" spans="1:18" x14ac:dyDescent="0.35">
      <c r="A148">
        <v>144</v>
      </c>
      <c r="B148">
        <v>15</v>
      </c>
      <c r="C148">
        <v>7</v>
      </c>
      <c r="D148">
        <v>2023</v>
      </c>
      <c r="E148" t="s">
        <v>1075</v>
      </c>
      <c r="F148" t="s">
        <v>1078</v>
      </c>
      <c r="G148" t="s">
        <v>1061</v>
      </c>
      <c r="H148" s="18">
        <v>45122</v>
      </c>
      <c r="I148" t="s">
        <v>169</v>
      </c>
      <c r="J148" t="s">
        <v>23</v>
      </c>
      <c r="K148" t="s">
        <v>1032</v>
      </c>
      <c r="L148">
        <v>59</v>
      </c>
      <c r="M148" t="s">
        <v>21</v>
      </c>
      <c r="N148">
        <v>3</v>
      </c>
      <c r="O148">
        <v>500</v>
      </c>
      <c r="P148">
        <v>1500</v>
      </c>
      <c r="Q148">
        <v>22.5</v>
      </c>
      <c r="R148">
        <v>30</v>
      </c>
    </row>
    <row r="149" spans="1:18" x14ac:dyDescent="0.35">
      <c r="A149">
        <v>145</v>
      </c>
      <c r="B149">
        <v>2</v>
      </c>
      <c r="C149">
        <v>11</v>
      </c>
      <c r="D149">
        <v>2023</v>
      </c>
      <c r="E149" t="s">
        <v>1072</v>
      </c>
      <c r="F149" t="s">
        <v>1068</v>
      </c>
      <c r="G149" t="s">
        <v>1061</v>
      </c>
      <c r="H149" s="18">
        <v>45232</v>
      </c>
      <c r="I149" t="s">
        <v>170</v>
      </c>
      <c r="J149" t="s">
        <v>23</v>
      </c>
      <c r="K149" t="s">
        <v>1030</v>
      </c>
      <c r="L149">
        <v>39</v>
      </c>
      <c r="M149" t="s">
        <v>21</v>
      </c>
      <c r="N149">
        <v>3</v>
      </c>
      <c r="O149">
        <v>25</v>
      </c>
      <c r="P149">
        <v>75</v>
      </c>
      <c r="Q149">
        <v>1.125</v>
      </c>
      <c r="R149">
        <v>1.5</v>
      </c>
    </row>
    <row r="150" spans="1:18" x14ac:dyDescent="0.35">
      <c r="A150">
        <v>146</v>
      </c>
      <c r="B150">
        <v>28</v>
      </c>
      <c r="C150">
        <v>8</v>
      </c>
      <c r="D150">
        <v>2023</v>
      </c>
      <c r="E150" t="s">
        <v>1067</v>
      </c>
      <c r="F150" t="s">
        <v>1074</v>
      </c>
      <c r="G150" t="s">
        <v>1061</v>
      </c>
      <c r="H150" s="18">
        <v>45166</v>
      </c>
      <c r="I150" t="s">
        <v>171</v>
      </c>
      <c r="J150" t="s">
        <v>20</v>
      </c>
      <c r="K150" t="s">
        <v>1030</v>
      </c>
      <c r="L150">
        <v>38</v>
      </c>
      <c r="M150" t="s">
        <v>21</v>
      </c>
      <c r="N150">
        <v>4</v>
      </c>
      <c r="O150">
        <v>50</v>
      </c>
      <c r="P150">
        <v>200</v>
      </c>
      <c r="Q150">
        <v>3</v>
      </c>
      <c r="R150">
        <v>4</v>
      </c>
    </row>
    <row r="151" spans="1:18" x14ac:dyDescent="0.35">
      <c r="A151">
        <v>147</v>
      </c>
      <c r="B151">
        <v>28</v>
      </c>
      <c r="C151">
        <v>9</v>
      </c>
      <c r="D151">
        <v>2023</v>
      </c>
      <c r="E151" t="s">
        <v>1072</v>
      </c>
      <c r="F151" t="s">
        <v>1071</v>
      </c>
      <c r="G151" t="s">
        <v>1061</v>
      </c>
      <c r="H151" s="18">
        <v>45197</v>
      </c>
      <c r="I151" t="s">
        <v>172</v>
      </c>
      <c r="J151" t="s">
        <v>20</v>
      </c>
      <c r="K151" t="s">
        <v>1034</v>
      </c>
      <c r="L151">
        <v>23</v>
      </c>
      <c r="M151" t="s">
        <v>21</v>
      </c>
      <c r="N151">
        <v>1</v>
      </c>
      <c r="O151">
        <v>300</v>
      </c>
      <c r="P151">
        <v>300</v>
      </c>
      <c r="Q151">
        <v>4.5</v>
      </c>
      <c r="R151">
        <v>6</v>
      </c>
    </row>
    <row r="152" spans="1:18" x14ac:dyDescent="0.35">
      <c r="A152">
        <v>148</v>
      </c>
      <c r="B152">
        <v>9</v>
      </c>
      <c r="C152">
        <v>5</v>
      </c>
      <c r="D152">
        <v>2023</v>
      </c>
      <c r="E152" t="s">
        <v>1059</v>
      </c>
      <c r="F152" t="s">
        <v>1076</v>
      </c>
      <c r="G152" t="s">
        <v>1061</v>
      </c>
      <c r="H152" s="18">
        <v>45055</v>
      </c>
      <c r="I152" t="s">
        <v>173</v>
      </c>
      <c r="J152" t="s">
        <v>20</v>
      </c>
      <c r="K152" t="s">
        <v>1034</v>
      </c>
      <c r="L152">
        <v>18</v>
      </c>
      <c r="M152" t="s">
        <v>21</v>
      </c>
      <c r="N152">
        <v>2</v>
      </c>
      <c r="O152">
        <v>30</v>
      </c>
      <c r="P152">
        <v>60</v>
      </c>
      <c r="Q152">
        <v>0.89999999999999991</v>
      </c>
      <c r="R152">
        <v>1.2</v>
      </c>
    </row>
    <row r="153" spans="1:18" x14ac:dyDescent="0.35">
      <c r="A153">
        <v>149</v>
      </c>
      <c r="B153">
        <v>11</v>
      </c>
      <c r="C153">
        <v>10</v>
      </c>
      <c r="D153">
        <v>2023</v>
      </c>
      <c r="E153" t="s">
        <v>1065</v>
      </c>
      <c r="F153" t="s">
        <v>1064</v>
      </c>
      <c r="G153" t="s">
        <v>1061</v>
      </c>
      <c r="H153" s="18">
        <v>45210</v>
      </c>
      <c r="I153" t="s">
        <v>174</v>
      </c>
      <c r="J153" t="s">
        <v>20</v>
      </c>
      <c r="K153" t="s">
        <v>1034</v>
      </c>
      <c r="L153">
        <v>22</v>
      </c>
      <c r="M153" t="s">
        <v>21</v>
      </c>
      <c r="N153">
        <v>3</v>
      </c>
      <c r="O153">
        <v>25</v>
      </c>
      <c r="P153">
        <v>75</v>
      </c>
      <c r="Q153">
        <v>1.125</v>
      </c>
      <c r="R153">
        <v>1.5</v>
      </c>
    </row>
    <row r="154" spans="1:18" x14ac:dyDescent="0.35">
      <c r="A154">
        <v>150</v>
      </c>
      <c r="B154">
        <v>6</v>
      </c>
      <c r="C154">
        <v>1</v>
      </c>
      <c r="D154">
        <v>2023</v>
      </c>
      <c r="E154" t="s">
        <v>1070</v>
      </c>
      <c r="F154" t="s">
        <v>1060</v>
      </c>
      <c r="G154" t="s">
        <v>1061</v>
      </c>
      <c r="H154" s="18">
        <v>44932</v>
      </c>
      <c r="I154" t="s">
        <v>175</v>
      </c>
      <c r="J154" t="s">
        <v>23</v>
      </c>
      <c r="K154" t="s">
        <v>1032</v>
      </c>
      <c r="L154">
        <v>58</v>
      </c>
      <c r="M154" t="s">
        <v>21</v>
      </c>
      <c r="N154">
        <v>4</v>
      </c>
      <c r="O154">
        <v>30</v>
      </c>
      <c r="P154">
        <v>120</v>
      </c>
      <c r="Q154">
        <v>1.7999999999999998</v>
      </c>
      <c r="R154">
        <v>2.4</v>
      </c>
    </row>
    <row r="155" spans="1:18" x14ac:dyDescent="0.35">
      <c r="A155">
        <v>151</v>
      </c>
      <c r="B155">
        <v>15</v>
      </c>
      <c r="C155">
        <v>12</v>
      </c>
      <c r="D155">
        <v>2023</v>
      </c>
      <c r="E155" t="s">
        <v>1070</v>
      </c>
      <c r="F155" t="s">
        <v>1062</v>
      </c>
      <c r="G155" t="s">
        <v>1061</v>
      </c>
      <c r="H155" s="18">
        <v>45275</v>
      </c>
      <c r="I155" t="s">
        <v>176</v>
      </c>
      <c r="J155" t="s">
        <v>20</v>
      </c>
      <c r="K155" t="s">
        <v>1034</v>
      </c>
      <c r="L155">
        <v>29</v>
      </c>
      <c r="M155" t="s">
        <v>21</v>
      </c>
      <c r="N155">
        <v>1</v>
      </c>
      <c r="O155">
        <v>50</v>
      </c>
      <c r="P155">
        <v>50</v>
      </c>
      <c r="Q155">
        <v>0.75</v>
      </c>
      <c r="R155">
        <v>1</v>
      </c>
    </row>
    <row r="156" spans="1:18" x14ac:dyDescent="0.35">
      <c r="A156">
        <v>152</v>
      </c>
      <c r="B156">
        <v>28</v>
      </c>
      <c r="C156">
        <v>2</v>
      </c>
      <c r="D156">
        <v>2023</v>
      </c>
      <c r="E156" t="s">
        <v>1059</v>
      </c>
      <c r="F156" t="s">
        <v>1073</v>
      </c>
      <c r="G156" t="s">
        <v>1061</v>
      </c>
      <c r="H156" s="18">
        <v>44985</v>
      </c>
      <c r="I156" t="s">
        <v>177</v>
      </c>
      <c r="J156" t="s">
        <v>20</v>
      </c>
      <c r="K156" t="s">
        <v>1030</v>
      </c>
      <c r="L156">
        <v>43</v>
      </c>
      <c r="M156" t="s">
        <v>21</v>
      </c>
      <c r="N156">
        <v>4</v>
      </c>
      <c r="O156">
        <v>500</v>
      </c>
      <c r="P156">
        <v>2000</v>
      </c>
      <c r="Q156">
        <v>30</v>
      </c>
      <c r="R156">
        <v>40</v>
      </c>
    </row>
    <row r="157" spans="1:18" x14ac:dyDescent="0.35">
      <c r="A157">
        <v>153</v>
      </c>
      <c r="B157">
        <v>16</v>
      </c>
      <c r="C157">
        <v>12</v>
      </c>
      <c r="D157">
        <v>2023</v>
      </c>
      <c r="E157" t="s">
        <v>1075</v>
      </c>
      <c r="F157" t="s">
        <v>1062</v>
      </c>
      <c r="G157" t="s">
        <v>1061</v>
      </c>
      <c r="H157" s="18">
        <v>45276</v>
      </c>
      <c r="I157" t="s">
        <v>178</v>
      </c>
      <c r="J157" t="s">
        <v>20</v>
      </c>
      <c r="K157" t="s">
        <v>1032</v>
      </c>
      <c r="L157">
        <v>63</v>
      </c>
      <c r="M157" t="s">
        <v>21</v>
      </c>
      <c r="N157">
        <v>2</v>
      </c>
      <c r="O157">
        <v>500</v>
      </c>
      <c r="P157">
        <v>1000</v>
      </c>
      <c r="Q157">
        <v>15</v>
      </c>
      <c r="R157">
        <v>20</v>
      </c>
    </row>
    <row r="158" spans="1:18" x14ac:dyDescent="0.35">
      <c r="A158">
        <v>154</v>
      </c>
      <c r="B158">
        <v>2</v>
      </c>
      <c r="C158">
        <v>10</v>
      </c>
      <c r="D158">
        <v>2023</v>
      </c>
      <c r="E158" t="s">
        <v>1067</v>
      </c>
      <c r="F158" t="s">
        <v>1064</v>
      </c>
      <c r="G158" t="s">
        <v>1061</v>
      </c>
      <c r="H158" s="18">
        <v>45201</v>
      </c>
      <c r="I158" t="s">
        <v>179</v>
      </c>
      <c r="J158" t="s">
        <v>20</v>
      </c>
      <c r="K158" t="s">
        <v>1032</v>
      </c>
      <c r="L158">
        <v>51</v>
      </c>
      <c r="M158" t="s">
        <v>21</v>
      </c>
      <c r="N158">
        <v>3</v>
      </c>
      <c r="O158">
        <v>300</v>
      </c>
      <c r="P158">
        <v>900</v>
      </c>
      <c r="Q158">
        <v>13.5</v>
      </c>
      <c r="R158">
        <v>18</v>
      </c>
    </row>
    <row r="159" spans="1:18" x14ac:dyDescent="0.35">
      <c r="A159">
        <v>155</v>
      </c>
      <c r="B159">
        <v>17</v>
      </c>
      <c r="C159">
        <v>5</v>
      </c>
      <c r="D159">
        <v>2023</v>
      </c>
      <c r="E159" t="s">
        <v>1065</v>
      </c>
      <c r="F159" t="s">
        <v>1076</v>
      </c>
      <c r="G159" t="s">
        <v>1061</v>
      </c>
      <c r="H159" s="18">
        <v>45063</v>
      </c>
      <c r="I159" t="s">
        <v>180</v>
      </c>
      <c r="J159" t="s">
        <v>20</v>
      </c>
      <c r="K159" t="s">
        <v>1030</v>
      </c>
      <c r="L159">
        <v>31</v>
      </c>
      <c r="M159" t="s">
        <v>21</v>
      </c>
      <c r="N159">
        <v>4</v>
      </c>
      <c r="O159">
        <v>500</v>
      </c>
      <c r="P159">
        <v>2000</v>
      </c>
      <c r="Q159">
        <v>30</v>
      </c>
      <c r="R159">
        <v>40</v>
      </c>
    </row>
    <row r="160" spans="1:18" x14ac:dyDescent="0.35">
      <c r="A160">
        <v>156</v>
      </c>
      <c r="B160">
        <v>25</v>
      </c>
      <c r="C160">
        <v>11</v>
      </c>
      <c r="D160">
        <v>2023</v>
      </c>
      <c r="E160" t="s">
        <v>1075</v>
      </c>
      <c r="F160" t="s">
        <v>1068</v>
      </c>
      <c r="G160" t="s">
        <v>1061</v>
      </c>
      <c r="H160" s="18">
        <v>45255</v>
      </c>
      <c r="I160" t="s">
        <v>181</v>
      </c>
      <c r="J160" t="s">
        <v>23</v>
      </c>
      <c r="K160" t="s">
        <v>1030</v>
      </c>
      <c r="L160">
        <v>43</v>
      </c>
      <c r="M160" t="s">
        <v>21</v>
      </c>
      <c r="N160">
        <v>4</v>
      </c>
      <c r="O160">
        <v>25</v>
      </c>
      <c r="P160">
        <v>100</v>
      </c>
      <c r="Q160">
        <v>1.5</v>
      </c>
      <c r="R160">
        <v>2</v>
      </c>
    </row>
    <row r="161" spans="1:18" x14ac:dyDescent="0.35">
      <c r="A161">
        <v>157</v>
      </c>
      <c r="B161">
        <v>24</v>
      </c>
      <c r="C161">
        <v>6</v>
      </c>
      <c r="D161">
        <v>2023</v>
      </c>
      <c r="E161" t="s">
        <v>1075</v>
      </c>
      <c r="F161" t="s">
        <v>1069</v>
      </c>
      <c r="G161" t="s">
        <v>1061</v>
      </c>
      <c r="H161" s="18">
        <v>45101</v>
      </c>
      <c r="I161" t="s">
        <v>182</v>
      </c>
      <c r="J161" t="s">
        <v>20</v>
      </c>
      <c r="K161" t="s">
        <v>1032</v>
      </c>
      <c r="L161">
        <v>62</v>
      </c>
      <c r="M161" t="s">
        <v>21</v>
      </c>
      <c r="N161">
        <v>4</v>
      </c>
      <c r="O161">
        <v>500</v>
      </c>
      <c r="P161">
        <v>2000</v>
      </c>
      <c r="Q161">
        <v>30</v>
      </c>
      <c r="R161">
        <v>40</v>
      </c>
    </row>
    <row r="162" spans="1:18" x14ac:dyDescent="0.35">
      <c r="A162">
        <v>158</v>
      </c>
      <c r="B162">
        <v>27</v>
      </c>
      <c r="C162">
        <v>2</v>
      </c>
      <c r="D162">
        <v>2023</v>
      </c>
      <c r="E162" t="s">
        <v>1067</v>
      </c>
      <c r="F162" t="s">
        <v>1073</v>
      </c>
      <c r="G162" t="s">
        <v>1061</v>
      </c>
      <c r="H162" s="18">
        <v>44984</v>
      </c>
      <c r="I162" t="s">
        <v>183</v>
      </c>
      <c r="J162" t="s">
        <v>23</v>
      </c>
      <c r="K162" t="s">
        <v>1030</v>
      </c>
      <c r="L162">
        <v>44</v>
      </c>
      <c r="M162" t="s">
        <v>21</v>
      </c>
      <c r="N162">
        <v>2</v>
      </c>
      <c r="O162">
        <v>300</v>
      </c>
      <c r="P162">
        <v>600</v>
      </c>
      <c r="Q162">
        <v>9</v>
      </c>
      <c r="R162">
        <v>12</v>
      </c>
    </row>
    <row r="163" spans="1:18" x14ac:dyDescent="0.35">
      <c r="A163">
        <v>159</v>
      </c>
      <c r="B163">
        <v>31</v>
      </c>
      <c r="C163">
        <v>5</v>
      </c>
      <c r="D163">
        <v>2023</v>
      </c>
      <c r="E163" t="s">
        <v>1065</v>
      </c>
      <c r="F163" t="s">
        <v>1076</v>
      </c>
      <c r="G163" t="s">
        <v>1061</v>
      </c>
      <c r="H163" s="18">
        <v>45077</v>
      </c>
      <c r="I163" t="s">
        <v>184</v>
      </c>
      <c r="J163" t="s">
        <v>20</v>
      </c>
      <c r="K163" t="s">
        <v>1034</v>
      </c>
      <c r="L163">
        <v>26</v>
      </c>
      <c r="M163" t="s">
        <v>21</v>
      </c>
      <c r="N163">
        <v>4</v>
      </c>
      <c r="O163">
        <v>50</v>
      </c>
      <c r="P163">
        <v>200</v>
      </c>
      <c r="Q163">
        <v>3</v>
      </c>
      <c r="R163">
        <v>4</v>
      </c>
    </row>
    <row r="164" spans="1:18" x14ac:dyDescent="0.35">
      <c r="A164">
        <v>160</v>
      </c>
      <c r="B164">
        <v>11</v>
      </c>
      <c r="C164">
        <v>8</v>
      </c>
      <c r="D164">
        <v>2023</v>
      </c>
      <c r="E164" t="s">
        <v>1070</v>
      </c>
      <c r="F164" t="s">
        <v>1074</v>
      </c>
      <c r="G164" t="s">
        <v>1061</v>
      </c>
      <c r="H164" s="18">
        <v>45149</v>
      </c>
      <c r="I164" t="s">
        <v>185</v>
      </c>
      <c r="J164" t="s">
        <v>23</v>
      </c>
      <c r="K164" t="s">
        <v>1030</v>
      </c>
      <c r="L164">
        <v>43</v>
      </c>
      <c r="M164" t="s">
        <v>21</v>
      </c>
      <c r="N164">
        <v>2</v>
      </c>
      <c r="O164">
        <v>50</v>
      </c>
      <c r="P164">
        <v>100</v>
      </c>
      <c r="Q164">
        <v>1.5</v>
      </c>
      <c r="R164">
        <v>2</v>
      </c>
    </row>
    <row r="165" spans="1:18" x14ac:dyDescent="0.35">
      <c r="A165">
        <v>161</v>
      </c>
      <c r="B165">
        <v>22</v>
      </c>
      <c r="C165">
        <v>3</v>
      </c>
      <c r="D165">
        <v>2023</v>
      </c>
      <c r="E165" t="s">
        <v>1065</v>
      </c>
      <c r="F165" t="s">
        <v>1066</v>
      </c>
      <c r="G165" t="s">
        <v>1061</v>
      </c>
      <c r="H165" s="18">
        <v>45007</v>
      </c>
      <c r="I165" t="s">
        <v>186</v>
      </c>
      <c r="J165" t="s">
        <v>20</v>
      </c>
      <c r="K165" t="s">
        <v>1032</v>
      </c>
      <c r="L165">
        <v>64</v>
      </c>
      <c r="M165" t="s">
        <v>21</v>
      </c>
      <c r="N165">
        <v>2</v>
      </c>
      <c r="O165">
        <v>500</v>
      </c>
      <c r="P165">
        <v>1000</v>
      </c>
      <c r="Q165">
        <v>15</v>
      </c>
      <c r="R165">
        <v>20</v>
      </c>
    </row>
    <row r="166" spans="1:18" x14ac:dyDescent="0.35">
      <c r="A166">
        <v>162</v>
      </c>
      <c r="B166">
        <v>21</v>
      </c>
      <c r="C166">
        <v>8</v>
      </c>
      <c r="D166">
        <v>2023</v>
      </c>
      <c r="E166" t="s">
        <v>1067</v>
      </c>
      <c r="F166" t="s">
        <v>1074</v>
      </c>
      <c r="G166" t="s">
        <v>1061</v>
      </c>
      <c r="H166" s="18">
        <v>45159</v>
      </c>
      <c r="I166" t="s">
        <v>187</v>
      </c>
      <c r="J166" t="s">
        <v>20</v>
      </c>
      <c r="K166" t="s">
        <v>1030</v>
      </c>
      <c r="L166">
        <v>39</v>
      </c>
      <c r="M166" t="s">
        <v>21</v>
      </c>
      <c r="N166">
        <v>2</v>
      </c>
      <c r="O166">
        <v>30</v>
      </c>
      <c r="P166">
        <v>60</v>
      </c>
      <c r="Q166">
        <v>0.89999999999999991</v>
      </c>
      <c r="R166">
        <v>1.2</v>
      </c>
    </row>
    <row r="167" spans="1:18" x14ac:dyDescent="0.35">
      <c r="A167">
        <v>163</v>
      </c>
      <c r="B167">
        <v>2</v>
      </c>
      <c r="C167">
        <v>1</v>
      </c>
      <c r="D167">
        <v>2023</v>
      </c>
      <c r="E167" t="s">
        <v>1067</v>
      </c>
      <c r="F167" t="s">
        <v>1060</v>
      </c>
      <c r="G167" t="s">
        <v>1061</v>
      </c>
      <c r="H167" s="18">
        <v>44928</v>
      </c>
      <c r="I167" t="s">
        <v>188</v>
      </c>
      <c r="J167" t="s">
        <v>23</v>
      </c>
      <c r="K167" t="s">
        <v>1032</v>
      </c>
      <c r="L167">
        <v>64</v>
      </c>
      <c r="M167" t="s">
        <v>21</v>
      </c>
      <c r="N167">
        <v>3</v>
      </c>
      <c r="O167">
        <v>50</v>
      </c>
      <c r="P167">
        <v>150</v>
      </c>
      <c r="Q167">
        <v>2.25</v>
      </c>
      <c r="R167">
        <v>3</v>
      </c>
    </row>
    <row r="168" spans="1:18" x14ac:dyDescent="0.35">
      <c r="A168">
        <v>164</v>
      </c>
      <c r="B168">
        <v>15</v>
      </c>
      <c r="C168">
        <v>5</v>
      </c>
      <c r="D168">
        <v>2023</v>
      </c>
      <c r="E168" t="s">
        <v>1067</v>
      </c>
      <c r="F168" t="s">
        <v>1076</v>
      </c>
      <c r="G168" t="s">
        <v>1061</v>
      </c>
      <c r="H168" s="18">
        <v>45061</v>
      </c>
      <c r="I168" t="s">
        <v>189</v>
      </c>
      <c r="J168" t="s">
        <v>23</v>
      </c>
      <c r="K168" t="s">
        <v>1030</v>
      </c>
      <c r="L168">
        <v>47</v>
      </c>
      <c r="M168" t="s">
        <v>21</v>
      </c>
      <c r="N168">
        <v>3</v>
      </c>
      <c r="O168">
        <v>500</v>
      </c>
      <c r="P168">
        <v>1500</v>
      </c>
      <c r="Q168">
        <v>22.5</v>
      </c>
      <c r="R168">
        <v>30</v>
      </c>
    </row>
    <row r="169" spans="1:18" x14ac:dyDescent="0.35">
      <c r="A169">
        <v>165</v>
      </c>
      <c r="B169">
        <v>14</v>
      </c>
      <c r="C169">
        <v>9</v>
      </c>
      <c r="D169">
        <v>2023</v>
      </c>
      <c r="E169" t="s">
        <v>1072</v>
      </c>
      <c r="F169" t="s">
        <v>1071</v>
      </c>
      <c r="G169" t="s">
        <v>1061</v>
      </c>
      <c r="H169" s="18">
        <v>45183</v>
      </c>
      <c r="I169" t="s">
        <v>190</v>
      </c>
      <c r="J169" t="s">
        <v>23</v>
      </c>
      <c r="K169" t="s">
        <v>1032</v>
      </c>
      <c r="L169">
        <v>60</v>
      </c>
      <c r="M169" t="s">
        <v>21</v>
      </c>
      <c r="N169">
        <v>4</v>
      </c>
      <c r="O169">
        <v>300</v>
      </c>
      <c r="P169">
        <v>1200</v>
      </c>
      <c r="Q169">
        <v>18</v>
      </c>
      <c r="R169">
        <v>24</v>
      </c>
    </row>
    <row r="170" spans="1:18" x14ac:dyDescent="0.35">
      <c r="A170">
        <v>166</v>
      </c>
      <c r="B170">
        <v>2</v>
      </c>
      <c r="C170">
        <v>4</v>
      </c>
      <c r="D170">
        <v>2023</v>
      </c>
      <c r="E170" t="s">
        <v>1063</v>
      </c>
      <c r="F170" t="s">
        <v>1077</v>
      </c>
      <c r="G170" t="s">
        <v>1061</v>
      </c>
      <c r="H170" s="18">
        <v>45018</v>
      </c>
      <c r="I170" t="s">
        <v>191</v>
      </c>
      <c r="J170" t="s">
        <v>20</v>
      </c>
      <c r="K170" t="s">
        <v>1030</v>
      </c>
      <c r="L170">
        <v>34</v>
      </c>
      <c r="M170" t="s">
        <v>21</v>
      </c>
      <c r="N170">
        <v>4</v>
      </c>
      <c r="O170">
        <v>500</v>
      </c>
      <c r="P170">
        <v>2000</v>
      </c>
      <c r="Q170">
        <v>30</v>
      </c>
      <c r="R170">
        <v>40</v>
      </c>
    </row>
    <row r="171" spans="1:18" x14ac:dyDescent="0.35">
      <c r="A171">
        <v>167</v>
      </c>
      <c r="B171">
        <v>17</v>
      </c>
      <c r="C171">
        <v>9</v>
      </c>
      <c r="D171">
        <v>2023</v>
      </c>
      <c r="E171" t="s">
        <v>1063</v>
      </c>
      <c r="F171" t="s">
        <v>1071</v>
      </c>
      <c r="G171" t="s">
        <v>1061</v>
      </c>
      <c r="H171" s="18">
        <v>45186</v>
      </c>
      <c r="I171" t="s">
        <v>192</v>
      </c>
      <c r="J171" t="s">
        <v>23</v>
      </c>
      <c r="K171" t="s">
        <v>1030</v>
      </c>
      <c r="L171">
        <v>43</v>
      </c>
      <c r="M171" t="s">
        <v>21</v>
      </c>
      <c r="N171">
        <v>3</v>
      </c>
      <c r="O171">
        <v>50</v>
      </c>
      <c r="P171">
        <v>150</v>
      </c>
      <c r="Q171">
        <v>2.25</v>
      </c>
      <c r="R171">
        <v>3</v>
      </c>
    </row>
    <row r="172" spans="1:18" x14ac:dyDescent="0.35">
      <c r="A172">
        <v>168</v>
      </c>
      <c r="B172">
        <v>24</v>
      </c>
      <c r="C172">
        <v>2</v>
      </c>
      <c r="D172">
        <v>2023</v>
      </c>
      <c r="E172" t="s">
        <v>1070</v>
      </c>
      <c r="F172" t="s">
        <v>1073</v>
      </c>
      <c r="G172" t="s">
        <v>1061</v>
      </c>
      <c r="H172" s="18">
        <v>44981</v>
      </c>
      <c r="I172" t="s">
        <v>193</v>
      </c>
      <c r="J172" t="s">
        <v>20</v>
      </c>
      <c r="K172" t="s">
        <v>1032</v>
      </c>
      <c r="L172">
        <v>53</v>
      </c>
      <c r="M172" t="s">
        <v>21</v>
      </c>
      <c r="N172">
        <v>1</v>
      </c>
      <c r="O172">
        <v>300</v>
      </c>
      <c r="P172">
        <v>300</v>
      </c>
      <c r="Q172">
        <v>4.5</v>
      </c>
      <c r="R172">
        <v>6</v>
      </c>
    </row>
    <row r="173" spans="1:18" x14ac:dyDescent="0.35">
      <c r="A173">
        <v>169</v>
      </c>
      <c r="B173">
        <v>17</v>
      </c>
      <c r="C173">
        <v>11</v>
      </c>
      <c r="D173">
        <v>2023</v>
      </c>
      <c r="E173" t="s">
        <v>1070</v>
      </c>
      <c r="F173" t="s">
        <v>1068</v>
      </c>
      <c r="G173" t="s">
        <v>1061</v>
      </c>
      <c r="H173" s="18">
        <v>45247</v>
      </c>
      <c r="I173" t="s">
        <v>194</v>
      </c>
      <c r="J173" t="s">
        <v>20</v>
      </c>
      <c r="K173" t="s">
        <v>1034</v>
      </c>
      <c r="L173">
        <v>18</v>
      </c>
      <c r="M173" t="s">
        <v>21</v>
      </c>
      <c r="N173">
        <v>3</v>
      </c>
      <c r="O173">
        <v>500</v>
      </c>
      <c r="P173">
        <v>1500</v>
      </c>
      <c r="Q173">
        <v>22.5</v>
      </c>
      <c r="R173">
        <v>30</v>
      </c>
    </row>
    <row r="174" spans="1:18" x14ac:dyDescent="0.35">
      <c r="A174">
        <v>170</v>
      </c>
      <c r="B174">
        <v>2</v>
      </c>
      <c r="C174">
        <v>6</v>
      </c>
      <c r="D174">
        <v>2023</v>
      </c>
      <c r="E174" t="s">
        <v>1070</v>
      </c>
      <c r="F174" t="s">
        <v>1069</v>
      </c>
      <c r="G174" t="s">
        <v>1061</v>
      </c>
      <c r="H174" s="18">
        <v>45079</v>
      </c>
      <c r="I174" t="s">
        <v>195</v>
      </c>
      <c r="J174" t="s">
        <v>23</v>
      </c>
      <c r="K174" t="s">
        <v>1034</v>
      </c>
      <c r="L174">
        <v>25</v>
      </c>
      <c r="M174" t="s">
        <v>21</v>
      </c>
      <c r="N174">
        <v>2</v>
      </c>
      <c r="O174">
        <v>25</v>
      </c>
      <c r="P174">
        <v>50</v>
      </c>
      <c r="Q174">
        <v>0.75</v>
      </c>
      <c r="R174">
        <v>1</v>
      </c>
    </row>
    <row r="175" spans="1:18" x14ac:dyDescent="0.35">
      <c r="A175">
        <v>171</v>
      </c>
      <c r="B175">
        <v>24</v>
      </c>
      <c r="C175">
        <v>11</v>
      </c>
      <c r="D175">
        <v>2023</v>
      </c>
      <c r="E175" t="s">
        <v>1070</v>
      </c>
      <c r="F175" t="s">
        <v>1068</v>
      </c>
      <c r="G175" t="s">
        <v>1061</v>
      </c>
      <c r="H175" s="18">
        <v>45254</v>
      </c>
      <c r="I175" t="s">
        <v>196</v>
      </c>
      <c r="J175" t="s">
        <v>23</v>
      </c>
      <c r="K175" t="s">
        <v>1032</v>
      </c>
      <c r="L175">
        <v>52</v>
      </c>
      <c r="M175" t="s">
        <v>21</v>
      </c>
      <c r="N175">
        <v>3</v>
      </c>
      <c r="O175">
        <v>300</v>
      </c>
      <c r="P175">
        <v>900</v>
      </c>
      <c r="Q175">
        <v>13.5</v>
      </c>
      <c r="R175">
        <v>18</v>
      </c>
    </row>
    <row r="176" spans="1:18" x14ac:dyDescent="0.35">
      <c r="A176">
        <v>172</v>
      </c>
      <c r="B176">
        <v>17</v>
      </c>
      <c r="C176">
        <v>9</v>
      </c>
      <c r="D176">
        <v>2023</v>
      </c>
      <c r="E176" t="s">
        <v>1063</v>
      </c>
      <c r="F176" t="s">
        <v>1071</v>
      </c>
      <c r="G176" t="s">
        <v>1061</v>
      </c>
      <c r="H176" s="18">
        <v>45186</v>
      </c>
      <c r="I176" t="s">
        <v>197</v>
      </c>
      <c r="J176" t="s">
        <v>20</v>
      </c>
      <c r="K176" t="s">
        <v>1030</v>
      </c>
      <c r="L176">
        <v>32</v>
      </c>
      <c r="M176" t="s">
        <v>21</v>
      </c>
      <c r="N176">
        <v>2</v>
      </c>
      <c r="O176">
        <v>25</v>
      </c>
      <c r="P176">
        <v>50</v>
      </c>
      <c r="Q176">
        <v>0.75</v>
      </c>
      <c r="R176">
        <v>1</v>
      </c>
    </row>
    <row r="177" spans="1:18" x14ac:dyDescent="0.35">
      <c r="A177">
        <v>173</v>
      </c>
      <c r="B177">
        <v>8</v>
      </c>
      <c r="C177">
        <v>11</v>
      </c>
      <c r="D177">
        <v>2023</v>
      </c>
      <c r="E177" t="s">
        <v>1065</v>
      </c>
      <c r="F177" t="s">
        <v>1068</v>
      </c>
      <c r="G177" t="s">
        <v>1061</v>
      </c>
      <c r="H177" s="18">
        <v>45238</v>
      </c>
      <c r="I177" t="s">
        <v>198</v>
      </c>
      <c r="J177" t="s">
        <v>20</v>
      </c>
      <c r="K177" t="s">
        <v>1032</v>
      </c>
      <c r="L177">
        <v>64</v>
      </c>
      <c r="M177" t="s">
        <v>21</v>
      </c>
      <c r="N177">
        <v>4</v>
      </c>
      <c r="O177">
        <v>30</v>
      </c>
      <c r="P177">
        <v>120</v>
      </c>
      <c r="Q177">
        <v>1.7999999999999998</v>
      </c>
      <c r="R177">
        <v>2.4</v>
      </c>
    </row>
    <row r="178" spans="1:18" x14ac:dyDescent="0.35">
      <c r="A178">
        <v>174</v>
      </c>
      <c r="B178">
        <v>12</v>
      </c>
      <c r="C178">
        <v>4</v>
      </c>
      <c r="D178">
        <v>2023</v>
      </c>
      <c r="E178" t="s">
        <v>1065</v>
      </c>
      <c r="F178" t="s">
        <v>1077</v>
      </c>
      <c r="G178" t="s">
        <v>1061</v>
      </c>
      <c r="H178" s="18">
        <v>45028</v>
      </c>
      <c r="I178" t="s">
        <v>199</v>
      </c>
      <c r="J178" t="s">
        <v>23</v>
      </c>
      <c r="K178" t="s">
        <v>1030</v>
      </c>
      <c r="L178">
        <v>39</v>
      </c>
      <c r="M178" t="s">
        <v>21</v>
      </c>
      <c r="N178">
        <v>1</v>
      </c>
      <c r="O178">
        <v>300</v>
      </c>
      <c r="P178">
        <v>300</v>
      </c>
      <c r="Q178">
        <v>4.5</v>
      </c>
      <c r="R178">
        <v>6</v>
      </c>
    </row>
    <row r="179" spans="1:18" x14ac:dyDescent="0.35">
      <c r="A179">
        <v>175</v>
      </c>
      <c r="B179">
        <v>20</v>
      </c>
      <c r="C179">
        <v>3</v>
      </c>
      <c r="D179">
        <v>2023</v>
      </c>
      <c r="E179" t="s">
        <v>1067</v>
      </c>
      <c r="F179" t="s">
        <v>1066</v>
      </c>
      <c r="G179" t="s">
        <v>1061</v>
      </c>
      <c r="H179" s="18">
        <v>45005</v>
      </c>
      <c r="I179" t="s">
        <v>200</v>
      </c>
      <c r="J179" t="s">
        <v>23</v>
      </c>
      <c r="K179" t="s">
        <v>1030</v>
      </c>
      <c r="L179">
        <v>31</v>
      </c>
      <c r="M179" t="s">
        <v>21</v>
      </c>
      <c r="N179">
        <v>4</v>
      </c>
      <c r="O179">
        <v>25</v>
      </c>
      <c r="P179">
        <v>100</v>
      </c>
      <c r="Q179">
        <v>1.5</v>
      </c>
      <c r="R179">
        <v>2</v>
      </c>
    </row>
    <row r="180" spans="1:18" x14ac:dyDescent="0.35">
      <c r="A180">
        <v>176</v>
      </c>
      <c r="B180">
        <v>11</v>
      </c>
      <c r="C180">
        <v>7</v>
      </c>
      <c r="D180">
        <v>2023</v>
      </c>
      <c r="E180" t="s">
        <v>1059</v>
      </c>
      <c r="F180" t="s">
        <v>1078</v>
      </c>
      <c r="G180" t="s">
        <v>1061</v>
      </c>
      <c r="H180" s="18">
        <v>45118</v>
      </c>
      <c r="I180" t="s">
        <v>201</v>
      </c>
      <c r="J180" t="s">
        <v>23</v>
      </c>
      <c r="K180" t="s">
        <v>1030</v>
      </c>
      <c r="L180">
        <v>43</v>
      </c>
      <c r="M180" t="s">
        <v>21</v>
      </c>
      <c r="N180">
        <v>2</v>
      </c>
      <c r="O180">
        <v>50</v>
      </c>
      <c r="P180">
        <v>100</v>
      </c>
      <c r="Q180">
        <v>1.5</v>
      </c>
      <c r="R180">
        <v>2</v>
      </c>
    </row>
    <row r="181" spans="1:18" x14ac:dyDescent="0.35">
      <c r="A181">
        <v>177</v>
      </c>
      <c r="B181">
        <v>24</v>
      </c>
      <c r="C181">
        <v>3</v>
      </c>
      <c r="D181">
        <v>2023</v>
      </c>
      <c r="E181" t="s">
        <v>1070</v>
      </c>
      <c r="F181" t="s">
        <v>1066</v>
      </c>
      <c r="G181" t="s">
        <v>1061</v>
      </c>
      <c r="H181" s="18">
        <v>45009</v>
      </c>
      <c r="I181" t="s">
        <v>202</v>
      </c>
      <c r="J181" t="s">
        <v>20</v>
      </c>
      <c r="K181" t="s">
        <v>1030</v>
      </c>
      <c r="L181">
        <v>45</v>
      </c>
      <c r="M181" t="s">
        <v>21</v>
      </c>
      <c r="N181">
        <v>2</v>
      </c>
      <c r="O181">
        <v>50</v>
      </c>
      <c r="P181">
        <v>100</v>
      </c>
      <c r="Q181">
        <v>1.5</v>
      </c>
      <c r="R181">
        <v>2</v>
      </c>
    </row>
    <row r="182" spans="1:18" x14ac:dyDescent="0.35">
      <c r="A182">
        <v>178</v>
      </c>
      <c r="B182">
        <v>4</v>
      </c>
      <c r="C182">
        <v>10</v>
      </c>
      <c r="D182">
        <v>2023</v>
      </c>
      <c r="E182" t="s">
        <v>1065</v>
      </c>
      <c r="F182" t="s">
        <v>1064</v>
      </c>
      <c r="G182" t="s">
        <v>1061</v>
      </c>
      <c r="H182" s="18">
        <v>45203</v>
      </c>
      <c r="I182" t="s">
        <v>203</v>
      </c>
      <c r="J182" t="s">
        <v>20</v>
      </c>
      <c r="K182" t="s">
        <v>1030</v>
      </c>
      <c r="L182">
        <v>40</v>
      </c>
      <c r="M182" t="s">
        <v>21</v>
      </c>
      <c r="N182">
        <v>2</v>
      </c>
      <c r="O182">
        <v>30</v>
      </c>
      <c r="P182">
        <v>60</v>
      </c>
      <c r="Q182">
        <v>0.89999999999999991</v>
      </c>
      <c r="R182">
        <v>1.2</v>
      </c>
    </row>
    <row r="183" spans="1:18" x14ac:dyDescent="0.35">
      <c r="A183">
        <v>179</v>
      </c>
      <c r="B183">
        <v>29</v>
      </c>
      <c r="C183">
        <v>9</v>
      </c>
      <c r="D183">
        <v>2023</v>
      </c>
      <c r="E183" t="s">
        <v>1070</v>
      </c>
      <c r="F183" t="s">
        <v>1071</v>
      </c>
      <c r="G183" t="s">
        <v>1061</v>
      </c>
      <c r="H183" s="18">
        <v>45198</v>
      </c>
      <c r="I183" t="s">
        <v>204</v>
      </c>
      <c r="J183" t="s">
        <v>20</v>
      </c>
      <c r="K183" t="s">
        <v>1030</v>
      </c>
      <c r="L183">
        <v>31</v>
      </c>
      <c r="M183" t="s">
        <v>21</v>
      </c>
      <c r="N183">
        <v>1</v>
      </c>
      <c r="O183">
        <v>300</v>
      </c>
      <c r="P183">
        <v>300</v>
      </c>
      <c r="Q183">
        <v>4.5</v>
      </c>
      <c r="R183">
        <v>6</v>
      </c>
    </row>
    <row r="184" spans="1:18" x14ac:dyDescent="0.35">
      <c r="A184">
        <v>180</v>
      </c>
      <c r="B184">
        <v>1</v>
      </c>
      <c r="C184">
        <v>1</v>
      </c>
      <c r="D184">
        <v>2023</v>
      </c>
      <c r="E184" t="s">
        <v>1063</v>
      </c>
      <c r="F184" t="s">
        <v>1060</v>
      </c>
      <c r="G184" t="s">
        <v>1061</v>
      </c>
      <c r="H184" s="18">
        <v>44927</v>
      </c>
      <c r="I184" t="s">
        <v>205</v>
      </c>
      <c r="J184" t="s">
        <v>20</v>
      </c>
      <c r="K184" t="s">
        <v>1030</v>
      </c>
      <c r="L184">
        <v>41</v>
      </c>
      <c r="M184" t="s">
        <v>21</v>
      </c>
      <c r="N184">
        <v>3</v>
      </c>
      <c r="O184">
        <v>300</v>
      </c>
      <c r="P184">
        <v>900</v>
      </c>
      <c r="Q184">
        <v>13.5</v>
      </c>
      <c r="R184">
        <v>18</v>
      </c>
    </row>
    <row r="185" spans="1:18" x14ac:dyDescent="0.35">
      <c r="A185">
        <v>181</v>
      </c>
      <c r="B185">
        <v>3</v>
      </c>
      <c r="C185">
        <v>11</v>
      </c>
      <c r="D185">
        <v>2023</v>
      </c>
      <c r="E185" t="s">
        <v>1070</v>
      </c>
      <c r="F185" t="s">
        <v>1068</v>
      </c>
      <c r="G185" t="s">
        <v>1061</v>
      </c>
      <c r="H185" s="18">
        <v>45233</v>
      </c>
      <c r="I185" t="s">
        <v>206</v>
      </c>
      <c r="J185" t="s">
        <v>20</v>
      </c>
      <c r="K185" t="s">
        <v>1034</v>
      </c>
      <c r="L185">
        <v>19</v>
      </c>
      <c r="M185" t="s">
        <v>21</v>
      </c>
      <c r="N185">
        <v>4</v>
      </c>
      <c r="O185">
        <v>300</v>
      </c>
      <c r="P185">
        <v>1200</v>
      </c>
      <c r="Q185">
        <v>18</v>
      </c>
      <c r="R185">
        <v>24</v>
      </c>
    </row>
    <row r="186" spans="1:18" x14ac:dyDescent="0.35">
      <c r="A186">
        <v>182</v>
      </c>
      <c r="B186">
        <v>15</v>
      </c>
      <c r="C186">
        <v>6</v>
      </c>
      <c r="D186">
        <v>2023</v>
      </c>
      <c r="E186" t="s">
        <v>1072</v>
      </c>
      <c r="F186" t="s">
        <v>1069</v>
      </c>
      <c r="G186" t="s">
        <v>1061</v>
      </c>
      <c r="H186" s="18">
        <v>45092</v>
      </c>
      <c r="I186" t="s">
        <v>207</v>
      </c>
      <c r="J186" t="s">
        <v>20</v>
      </c>
      <c r="K186" t="s">
        <v>1032</v>
      </c>
      <c r="L186">
        <v>62</v>
      </c>
      <c r="M186" t="s">
        <v>21</v>
      </c>
      <c r="N186">
        <v>4</v>
      </c>
      <c r="O186">
        <v>30</v>
      </c>
      <c r="P186">
        <v>120</v>
      </c>
      <c r="Q186">
        <v>1.7999999999999998</v>
      </c>
      <c r="R186">
        <v>2.4</v>
      </c>
    </row>
    <row r="187" spans="1:18" x14ac:dyDescent="0.35">
      <c r="A187">
        <v>183</v>
      </c>
      <c r="B187">
        <v>8</v>
      </c>
      <c r="C187">
        <v>9</v>
      </c>
      <c r="D187">
        <v>2023</v>
      </c>
      <c r="E187" t="s">
        <v>1070</v>
      </c>
      <c r="F187" t="s">
        <v>1071</v>
      </c>
      <c r="G187" t="s">
        <v>1061</v>
      </c>
      <c r="H187" s="18">
        <v>45177</v>
      </c>
      <c r="I187" t="s">
        <v>208</v>
      </c>
      <c r="J187" t="s">
        <v>23</v>
      </c>
      <c r="K187" t="s">
        <v>1030</v>
      </c>
      <c r="L187">
        <v>43</v>
      </c>
      <c r="M187" t="s">
        <v>21</v>
      </c>
      <c r="N187">
        <v>3</v>
      </c>
      <c r="O187">
        <v>300</v>
      </c>
      <c r="P187">
        <v>900</v>
      </c>
      <c r="Q187">
        <v>13.5</v>
      </c>
      <c r="R187">
        <v>18</v>
      </c>
    </row>
    <row r="188" spans="1:18" x14ac:dyDescent="0.35">
      <c r="A188">
        <v>184</v>
      </c>
      <c r="B188">
        <v>10</v>
      </c>
      <c r="C188">
        <v>1</v>
      </c>
      <c r="D188">
        <v>2023</v>
      </c>
      <c r="E188" t="s">
        <v>1059</v>
      </c>
      <c r="F188" t="s">
        <v>1060</v>
      </c>
      <c r="G188" t="s">
        <v>1061</v>
      </c>
      <c r="H188" s="18">
        <v>44936</v>
      </c>
      <c r="I188" t="s">
        <v>209</v>
      </c>
      <c r="J188" t="s">
        <v>20</v>
      </c>
      <c r="K188" t="s">
        <v>1030</v>
      </c>
      <c r="L188">
        <v>31</v>
      </c>
      <c r="M188" t="s">
        <v>21</v>
      </c>
      <c r="N188">
        <v>4</v>
      </c>
      <c r="O188">
        <v>50</v>
      </c>
      <c r="P188">
        <v>200</v>
      </c>
      <c r="Q188">
        <v>3</v>
      </c>
      <c r="R188">
        <v>4</v>
      </c>
    </row>
    <row r="189" spans="1:18" x14ac:dyDescent="0.35">
      <c r="A189">
        <v>185</v>
      </c>
      <c r="B189">
        <v>27</v>
      </c>
      <c r="C189">
        <v>2</v>
      </c>
      <c r="D189">
        <v>2023</v>
      </c>
      <c r="E189" t="s">
        <v>1067</v>
      </c>
      <c r="F189" t="s">
        <v>1073</v>
      </c>
      <c r="G189" t="s">
        <v>1061</v>
      </c>
      <c r="H189" s="18">
        <v>44984</v>
      </c>
      <c r="I189" t="s">
        <v>210</v>
      </c>
      <c r="J189" t="s">
        <v>20</v>
      </c>
      <c r="K189" t="s">
        <v>1034</v>
      </c>
      <c r="L189">
        <v>24</v>
      </c>
      <c r="M189" t="s">
        <v>21</v>
      </c>
      <c r="N189">
        <v>1</v>
      </c>
      <c r="O189">
        <v>25</v>
      </c>
      <c r="P189">
        <v>25</v>
      </c>
      <c r="Q189">
        <v>0.375</v>
      </c>
      <c r="R189">
        <v>0.5</v>
      </c>
    </row>
    <row r="190" spans="1:18" x14ac:dyDescent="0.35">
      <c r="A190">
        <v>186</v>
      </c>
      <c r="B190">
        <v>5</v>
      </c>
      <c r="C190">
        <v>7</v>
      </c>
      <c r="D190">
        <v>2023</v>
      </c>
      <c r="E190" t="s">
        <v>1065</v>
      </c>
      <c r="F190" t="s">
        <v>1078</v>
      </c>
      <c r="G190" t="s">
        <v>1061</v>
      </c>
      <c r="H190" s="18">
        <v>45112</v>
      </c>
      <c r="I190" t="s">
        <v>211</v>
      </c>
      <c r="J190" t="s">
        <v>20</v>
      </c>
      <c r="K190" t="s">
        <v>1034</v>
      </c>
      <c r="L190">
        <v>20</v>
      </c>
      <c r="M190" t="s">
        <v>21</v>
      </c>
      <c r="N190">
        <v>4</v>
      </c>
      <c r="O190">
        <v>50</v>
      </c>
      <c r="P190">
        <v>200</v>
      </c>
      <c r="Q190">
        <v>3</v>
      </c>
      <c r="R190">
        <v>4</v>
      </c>
    </row>
    <row r="191" spans="1:18" x14ac:dyDescent="0.35">
      <c r="A191">
        <v>187</v>
      </c>
      <c r="B191">
        <v>7</v>
      </c>
      <c r="C191">
        <v>6</v>
      </c>
      <c r="D191">
        <v>2023</v>
      </c>
      <c r="E191" t="s">
        <v>1065</v>
      </c>
      <c r="F191" t="s">
        <v>1069</v>
      </c>
      <c r="G191" t="s">
        <v>1061</v>
      </c>
      <c r="H191" s="18">
        <v>45084</v>
      </c>
      <c r="I191" t="s">
        <v>212</v>
      </c>
      <c r="J191" t="s">
        <v>23</v>
      </c>
      <c r="K191" t="s">
        <v>1032</v>
      </c>
      <c r="L191">
        <v>64</v>
      </c>
      <c r="M191" t="s">
        <v>21</v>
      </c>
      <c r="N191">
        <v>2</v>
      </c>
      <c r="O191">
        <v>50</v>
      </c>
      <c r="P191">
        <v>100</v>
      </c>
      <c r="Q191">
        <v>1.5</v>
      </c>
      <c r="R191">
        <v>2</v>
      </c>
    </row>
    <row r="192" spans="1:18" x14ac:dyDescent="0.35">
      <c r="A192">
        <v>188</v>
      </c>
      <c r="B192">
        <v>3</v>
      </c>
      <c r="C192">
        <v>5</v>
      </c>
      <c r="D192">
        <v>2023</v>
      </c>
      <c r="E192" t="s">
        <v>1065</v>
      </c>
      <c r="F192" t="s">
        <v>1076</v>
      </c>
      <c r="G192" t="s">
        <v>1061</v>
      </c>
      <c r="H192" s="18">
        <v>45049</v>
      </c>
      <c r="I192" t="s">
        <v>213</v>
      </c>
      <c r="J192" t="s">
        <v>20</v>
      </c>
      <c r="K192" t="s">
        <v>1030</v>
      </c>
      <c r="L192">
        <v>40</v>
      </c>
      <c r="M192" t="s">
        <v>21</v>
      </c>
      <c r="N192">
        <v>3</v>
      </c>
      <c r="O192">
        <v>25</v>
      </c>
      <c r="P192">
        <v>75</v>
      </c>
      <c r="Q192">
        <v>1.125</v>
      </c>
      <c r="R192">
        <v>1.5</v>
      </c>
    </row>
    <row r="193" spans="1:18" x14ac:dyDescent="0.35">
      <c r="A193">
        <v>189</v>
      </c>
      <c r="B193">
        <v>30</v>
      </c>
      <c r="C193">
        <v>1</v>
      </c>
      <c r="D193">
        <v>2023</v>
      </c>
      <c r="E193" t="s">
        <v>1067</v>
      </c>
      <c r="F193" t="s">
        <v>1060</v>
      </c>
      <c r="G193" t="s">
        <v>1061</v>
      </c>
      <c r="H193" s="18">
        <v>44956</v>
      </c>
      <c r="I193" t="s">
        <v>214</v>
      </c>
      <c r="J193" t="s">
        <v>20</v>
      </c>
      <c r="K193" t="s">
        <v>1032</v>
      </c>
      <c r="L193">
        <v>63</v>
      </c>
      <c r="M193" t="s">
        <v>21</v>
      </c>
      <c r="N193">
        <v>1</v>
      </c>
      <c r="O193">
        <v>50</v>
      </c>
      <c r="P193">
        <v>50</v>
      </c>
      <c r="Q193">
        <v>0.75</v>
      </c>
      <c r="R193">
        <v>1</v>
      </c>
    </row>
    <row r="194" spans="1:18" x14ac:dyDescent="0.35">
      <c r="A194">
        <v>190</v>
      </c>
      <c r="B194">
        <v>4</v>
      </c>
      <c r="C194">
        <v>5</v>
      </c>
      <c r="D194">
        <v>2023</v>
      </c>
      <c r="E194" t="s">
        <v>1072</v>
      </c>
      <c r="F194" t="s">
        <v>1076</v>
      </c>
      <c r="G194" t="s">
        <v>1061</v>
      </c>
      <c r="H194" s="18">
        <v>45050</v>
      </c>
      <c r="I194" t="s">
        <v>215</v>
      </c>
      <c r="J194" t="s">
        <v>23</v>
      </c>
      <c r="K194" t="s">
        <v>1032</v>
      </c>
      <c r="L194">
        <v>60</v>
      </c>
      <c r="M194" t="s">
        <v>21</v>
      </c>
      <c r="N194">
        <v>3</v>
      </c>
      <c r="O194">
        <v>30</v>
      </c>
      <c r="P194">
        <v>90</v>
      </c>
      <c r="Q194">
        <v>1.3499999999999999</v>
      </c>
      <c r="R194">
        <v>1.8</v>
      </c>
    </row>
    <row r="195" spans="1:18" x14ac:dyDescent="0.35">
      <c r="A195">
        <v>191</v>
      </c>
      <c r="B195">
        <v>18</v>
      </c>
      <c r="C195">
        <v>10</v>
      </c>
      <c r="D195">
        <v>2023</v>
      </c>
      <c r="E195" t="s">
        <v>1065</v>
      </c>
      <c r="F195" t="s">
        <v>1064</v>
      </c>
      <c r="G195" t="s">
        <v>1061</v>
      </c>
      <c r="H195" s="18">
        <v>45217</v>
      </c>
      <c r="I195" t="s">
        <v>216</v>
      </c>
      <c r="J195" t="s">
        <v>20</v>
      </c>
      <c r="K195" t="s">
        <v>1032</v>
      </c>
      <c r="L195">
        <v>64</v>
      </c>
      <c r="M195" t="s">
        <v>21</v>
      </c>
      <c r="N195">
        <v>1</v>
      </c>
      <c r="O195">
        <v>25</v>
      </c>
      <c r="P195">
        <v>25</v>
      </c>
      <c r="Q195">
        <v>0.375</v>
      </c>
      <c r="R195">
        <v>0.5</v>
      </c>
    </row>
    <row r="196" spans="1:18" x14ac:dyDescent="0.35">
      <c r="A196">
        <v>192</v>
      </c>
      <c r="B196">
        <v>10</v>
      </c>
      <c r="C196">
        <v>2</v>
      </c>
      <c r="D196">
        <v>2023</v>
      </c>
      <c r="E196" t="s">
        <v>1070</v>
      </c>
      <c r="F196" t="s">
        <v>1073</v>
      </c>
      <c r="G196" t="s">
        <v>1061</v>
      </c>
      <c r="H196" s="18">
        <v>44967</v>
      </c>
      <c r="I196" t="s">
        <v>217</v>
      </c>
      <c r="J196" t="s">
        <v>20</v>
      </c>
      <c r="K196" t="s">
        <v>1032</v>
      </c>
      <c r="L196">
        <v>62</v>
      </c>
      <c r="M196" t="s">
        <v>21</v>
      </c>
      <c r="N196">
        <v>2</v>
      </c>
      <c r="O196">
        <v>50</v>
      </c>
      <c r="P196">
        <v>100</v>
      </c>
      <c r="Q196">
        <v>1.5</v>
      </c>
      <c r="R196">
        <v>2</v>
      </c>
    </row>
    <row r="197" spans="1:18" x14ac:dyDescent="0.35">
      <c r="A197">
        <v>193</v>
      </c>
      <c r="B197">
        <v>13</v>
      </c>
      <c r="C197">
        <v>2</v>
      </c>
      <c r="D197">
        <v>2023</v>
      </c>
      <c r="E197" t="s">
        <v>1067</v>
      </c>
      <c r="F197" t="s">
        <v>1073</v>
      </c>
      <c r="G197" t="s">
        <v>1061</v>
      </c>
      <c r="H197" s="18">
        <v>44970</v>
      </c>
      <c r="I197" t="s">
        <v>218</v>
      </c>
      <c r="J197" t="s">
        <v>20</v>
      </c>
      <c r="K197" t="s">
        <v>1030</v>
      </c>
      <c r="L197">
        <v>35</v>
      </c>
      <c r="M197" t="s">
        <v>21</v>
      </c>
      <c r="N197">
        <v>3</v>
      </c>
      <c r="O197">
        <v>500</v>
      </c>
      <c r="P197">
        <v>1500</v>
      </c>
      <c r="Q197">
        <v>22.5</v>
      </c>
      <c r="R197">
        <v>30</v>
      </c>
    </row>
    <row r="198" spans="1:18" x14ac:dyDescent="0.35">
      <c r="A198">
        <v>194</v>
      </c>
      <c r="B198">
        <v>6</v>
      </c>
      <c r="C198">
        <v>9</v>
      </c>
      <c r="D198">
        <v>2023</v>
      </c>
      <c r="E198" t="s">
        <v>1065</v>
      </c>
      <c r="F198" t="s">
        <v>1071</v>
      </c>
      <c r="G198" t="s">
        <v>1061</v>
      </c>
      <c r="H198" s="18">
        <v>45175</v>
      </c>
      <c r="I198" t="s">
        <v>219</v>
      </c>
      <c r="J198" t="s">
        <v>20</v>
      </c>
      <c r="K198" t="s">
        <v>1032</v>
      </c>
      <c r="L198">
        <v>55</v>
      </c>
      <c r="M198" t="s">
        <v>21</v>
      </c>
      <c r="N198">
        <v>4</v>
      </c>
      <c r="O198">
        <v>50</v>
      </c>
      <c r="P198">
        <v>200</v>
      </c>
      <c r="Q198">
        <v>3</v>
      </c>
      <c r="R198">
        <v>4</v>
      </c>
    </row>
    <row r="199" spans="1:18" x14ac:dyDescent="0.35">
      <c r="A199">
        <v>195</v>
      </c>
      <c r="B199">
        <v>5</v>
      </c>
      <c r="C199">
        <v>2</v>
      </c>
      <c r="D199">
        <v>2023</v>
      </c>
      <c r="E199" t="s">
        <v>1063</v>
      </c>
      <c r="F199" t="s">
        <v>1073</v>
      </c>
      <c r="G199" t="s">
        <v>1061</v>
      </c>
      <c r="H199" s="18">
        <v>44962</v>
      </c>
      <c r="I199" t="s">
        <v>220</v>
      </c>
      <c r="J199" t="s">
        <v>20</v>
      </c>
      <c r="K199" t="s">
        <v>1032</v>
      </c>
      <c r="L199">
        <v>52</v>
      </c>
      <c r="M199" t="s">
        <v>21</v>
      </c>
      <c r="N199">
        <v>1</v>
      </c>
      <c r="O199">
        <v>30</v>
      </c>
      <c r="P199">
        <v>30</v>
      </c>
      <c r="Q199">
        <v>0.44999999999999996</v>
      </c>
      <c r="R199">
        <v>0.6</v>
      </c>
    </row>
    <row r="200" spans="1:18" x14ac:dyDescent="0.35">
      <c r="A200">
        <v>196</v>
      </c>
      <c r="B200">
        <v>30</v>
      </c>
      <c r="C200">
        <v>9</v>
      </c>
      <c r="D200">
        <v>2023</v>
      </c>
      <c r="E200" t="s">
        <v>1075</v>
      </c>
      <c r="F200" t="s">
        <v>1071</v>
      </c>
      <c r="G200" t="s">
        <v>1061</v>
      </c>
      <c r="H200" s="18">
        <v>45199</v>
      </c>
      <c r="I200" t="s">
        <v>221</v>
      </c>
      <c r="J200" t="s">
        <v>23</v>
      </c>
      <c r="K200" t="s">
        <v>1030</v>
      </c>
      <c r="L200">
        <v>32</v>
      </c>
      <c r="M200" t="s">
        <v>21</v>
      </c>
      <c r="N200">
        <v>3</v>
      </c>
      <c r="O200">
        <v>300</v>
      </c>
      <c r="P200">
        <v>900</v>
      </c>
      <c r="Q200">
        <v>13.5</v>
      </c>
      <c r="R200">
        <v>18</v>
      </c>
    </row>
    <row r="201" spans="1:18" x14ac:dyDescent="0.35">
      <c r="A201">
        <v>197</v>
      </c>
      <c r="B201">
        <v>6</v>
      </c>
      <c r="C201">
        <v>3</v>
      </c>
      <c r="D201">
        <v>2023</v>
      </c>
      <c r="E201" t="s">
        <v>1067</v>
      </c>
      <c r="F201" t="s">
        <v>1066</v>
      </c>
      <c r="G201" t="s">
        <v>1061</v>
      </c>
      <c r="H201" s="18">
        <v>44991</v>
      </c>
      <c r="I201" t="s">
        <v>222</v>
      </c>
      <c r="J201" t="s">
        <v>23</v>
      </c>
      <c r="K201" t="s">
        <v>1030</v>
      </c>
      <c r="L201">
        <v>42</v>
      </c>
      <c r="M201" t="s">
        <v>21</v>
      </c>
      <c r="N201">
        <v>4</v>
      </c>
      <c r="O201">
        <v>50</v>
      </c>
      <c r="P201">
        <v>200</v>
      </c>
      <c r="Q201">
        <v>3</v>
      </c>
      <c r="R201">
        <v>4</v>
      </c>
    </row>
    <row r="202" spans="1:18" x14ac:dyDescent="0.35">
      <c r="A202">
        <v>198</v>
      </c>
      <c r="B202">
        <v>7</v>
      </c>
      <c r="C202">
        <v>3</v>
      </c>
      <c r="D202">
        <v>2023</v>
      </c>
      <c r="E202" t="s">
        <v>1059</v>
      </c>
      <c r="F202" t="s">
        <v>1066</v>
      </c>
      <c r="G202" t="s">
        <v>1061</v>
      </c>
      <c r="H202" s="18">
        <v>44992</v>
      </c>
      <c r="I202" t="s">
        <v>223</v>
      </c>
      <c r="J202" t="s">
        <v>23</v>
      </c>
      <c r="K202" t="s">
        <v>1032</v>
      </c>
      <c r="L202">
        <v>54</v>
      </c>
      <c r="M202" t="s">
        <v>21</v>
      </c>
      <c r="N202">
        <v>3</v>
      </c>
      <c r="O202">
        <v>300</v>
      </c>
      <c r="P202">
        <v>900</v>
      </c>
      <c r="Q202">
        <v>13.5</v>
      </c>
      <c r="R202">
        <v>18</v>
      </c>
    </row>
    <row r="203" spans="1:18" x14ac:dyDescent="0.35">
      <c r="A203">
        <v>199</v>
      </c>
      <c r="B203">
        <v>4</v>
      </c>
      <c r="C203">
        <v>12</v>
      </c>
      <c r="D203">
        <v>2023</v>
      </c>
      <c r="E203" t="s">
        <v>1067</v>
      </c>
      <c r="F203" t="s">
        <v>1062</v>
      </c>
      <c r="G203" t="s">
        <v>1061</v>
      </c>
      <c r="H203" s="18">
        <v>45264</v>
      </c>
      <c r="I203" t="s">
        <v>224</v>
      </c>
      <c r="J203" t="s">
        <v>20</v>
      </c>
      <c r="K203" t="s">
        <v>1030</v>
      </c>
      <c r="L203">
        <v>45</v>
      </c>
      <c r="M203" t="s">
        <v>21</v>
      </c>
      <c r="N203">
        <v>3</v>
      </c>
      <c r="O203">
        <v>500</v>
      </c>
      <c r="P203">
        <v>1500</v>
      </c>
      <c r="Q203">
        <v>22.5</v>
      </c>
      <c r="R203">
        <v>30</v>
      </c>
    </row>
    <row r="204" spans="1:18" x14ac:dyDescent="0.35">
      <c r="A204">
        <v>200</v>
      </c>
      <c r="B204">
        <v>1</v>
      </c>
      <c r="C204">
        <v>9</v>
      </c>
      <c r="D204">
        <v>2023</v>
      </c>
      <c r="E204" t="s">
        <v>1070</v>
      </c>
      <c r="F204" t="s">
        <v>1071</v>
      </c>
      <c r="G204" t="s">
        <v>1061</v>
      </c>
      <c r="H204" s="18">
        <v>45170</v>
      </c>
      <c r="I204" t="s">
        <v>225</v>
      </c>
      <c r="J204" t="s">
        <v>20</v>
      </c>
      <c r="K204" t="s">
        <v>1034</v>
      </c>
      <c r="L204">
        <v>27</v>
      </c>
      <c r="M204" t="s">
        <v>21</v>
      </c>
      <c r="N204">
        <v>3</v>
      </c>
      <c r="O204">
        <v>50</v>
      </c>
      <c r="P204">
        <v>150</v>
      </c>
      <c r="Q204">
        <v>2.25</v>
      </c>
      <c r="R204">
        <v>3</v>
      </c>
    </row>
    <row r="205" spans="1:18" x14ac:dyDescent="0.35">
      <c r="A205">
        <v>201</v>
      </c>
      <c r="B205">
        <v>9</v>
      </c>
      <c r="C205">
        <v>10</v>
      </c>
      <c r="D205">
        <v>2023</v>
      </c>
      <c r="E205" t="s">
        <v>1067</v>
      </c>
      <c r="F205" t="s">
        <v>1064</v>
      </c>
      <c r="G205" t="s">
        <v>1061</v>
      </c>
      <c r="H205" s="18">
        <v>45208</v>
      </c>
      <c r="I205" t="s">
        <v>226</v>
      </c>
      <c r="J205" t="s">
        <v>20</v>
      </c>
      <c r="K205" t="s">
        <v>1032</v>
      </c>
      <c r="L205">
        <v>56</v>
      </c>
      <c r="M205" t="s">
        <v>21</v>
      </c>
      <c r="N205">
        <v>1</v>
      </c>
      <c r="O205">
        <v>25</v>
      </c>
      <c r="P205">
        <v>25</v>
      </c>
      <c r="Q205">
        <v>0.375</v>
      </c>
      <c r="R205">
        <v>0.5</v>
      </c>
    </row>
    <row r="206" spans="1:18" x14ac:dyDescent="0.35">
      <c r="A206">
        <v>202</v>
      </c>
      <c r="B206">
        <v>26</v>
      </c>
      <c r="C206">
        <v>3</v>
      </c>
      <c r="D206">
        <v>2023</v>
      </c>
      <c r="E206" t="s">
        <v>1063</v>
      </c>
      <c r="F206" t="s">
        <v>1066</v>
      </c>
      <c r="G206" t="s">
        <v>1061</v>
      </c>
      <c r="H206" s="18">
        <v>45011</v>
      </c>
      <c r="I206" t="s">
        <v>227</v>
      </c>
      <c r="J206" t="s">
        <v>23</v>
      </c>
      <c r="K206" t="s">
        <v>1030</v>
      </c>
      <c r="L206">
        <v>34</v>
      </c>
      <c r="M206" t="s">
        <v>21</v>
      </c>
      <c r="N206">
        <v>4</v>
      </c>
      <c r="O206">
        <v>300</v>
      </c>
      <c r="P206">
        <v>1200</v>
      </c>
      <c r="Q206">
        <v>18</v>
      </c>
      <c r="R206">
        <v>24</v>
      </c>
    </row>
    <row r="207" spans="1:18" x14ac:dyDescent="0.35">
      <c r="A207">
        <v>203</v>
      </c>
      <c r="B207">
        <v>16</v>
      </c>
      <c r="C207">
        <v>5</v>
      </c>
      <c r="D207">
        <v>2023</v>
      </c>
      <c r="E207" t="s">
        <v>1059</v>
      </c>
      <c r="F207" t="s">
        <v>1076</v>
      </c>
      <c r="G207" t="s">
        <v>1061</v>
      </c>
      <c r="H207" s="18">
        <v>45062</v>
      </c>
      <c r="I207" t="s">
        <v>228</v>
      </c>
      <c r="J207" t="s">
        <v>20</v>
      </c>
      <c r="K207" t="s">
        <v>1032</v>
      </c>
      <c r="L207">
        <v>56</v>
      </c>
      <c r="M207" t="s">
        <v>21</v>
      </c>
      <c r="N207">
        <v>2</v>
      </c>
      <c r="O207">
        <v>500</v>
      </c>
      <c r="P207">
        <v>1000</v>
      </c>
      <c r="Q207">
        <v>15</v>
      </c>
      <c r="R207">
        <v>20</v>
      </c>
    </row>
    <row r="208" spans="1:18" x14ac:dyDescent="0.35">
      <c r="A208">
        <v>204</v>
      </c>
      <c r="B208">
        <v>28</v>
      </c>
      <c r="C208">
        <v>9</v>
      </c>
      <c r="D208">
        <v>2023</v>
      </c>
      <c r="E208" t="s">
        <v>1072</v>
      </c>
      <c r="F208" t="s">
        <v>1071</v>
      </c>
      <c r="G208" t="s">
        <v>1061</v>
      </c>
      <c r="H208" s="18">
        <v>45197</v>
      </c>
      <c r="I208" t="s">
        <v>229</v>
      </c>
      <c r="J208" t="s">
        <v>20</v>
      </c>
      <c r="K208" t="s">
        <v>1030</v>
      </c>
      <c r="L208">
        <v>39</v>
      </c>
      <c r="M208" t="s">
        <v>21</v>
      </c>
      <c r="N208">
        <v>1</v>
      </c>
      <c r="O208">
        <v>25</v>
      </c>
      <c r="P208">
        <v>25</v>
      </c>
      <c r="Q208">
        <v>0.375</v>
      </c>
      <c r="R208">
        <v>0.5</v>
      </c>
    </row>
    <row r="209" spans="1:18" x14ac:dyDescent="0.35">
      <c r="A209">
        <v>205</v>
      </c>
      <c r="B209">
        <v>7</v>
      </c>
      <c r="C209">
        <v>11</v>
      </c>
      <c r="D209">
        <v>2023</v>
      </c>
      <c r="E209" t="s">
        <v>1059</v>
      </c>
      <c r="F209" t="s">
        <v>1068</v>
      </c>
      <c r="G209" t="s">
        <v>1061</v>
      </c>
      <c r="H209" s="18">
        <v>45237</v>
      </c>
      <c r="I209" t="s">
        <v>230</v>
      </c>
      <c r="J209" t="s">
        <v>23</v>
      </c>
      <c r="K209" t="s">
        <v>1030</v>
      </c>
      <c r="L209">
        <v>43</v>
      </c>
      <c r="M209" t="s">
        <v>21</v>
      </c>
      <c r="N209">
        <v>1</v>
      </c>
      <c r="O209">
        <v>25</v>
      </c>
      <c r="P209">
        <v>25</v>
      </c>
      <c r="Q209">
        <v>0.375</v>
      </c>
      <c r="R209">
        <v>0.5</v>
      </c>
    </row>
    <row r="210" spans="1:18" x14ac:dyDescent="0.35">
      <c r="A210">
        <v>206</v>
      </c>
      <c r="B210">
        <v>5</v>
      </c>
      <c r="C210">
        <v>8</v>
      </c>
      <c r="D210">
        <v>2023</v>
      </c>
      <c r="E210" t="s">
        <v>1075</v>
      </c>
      <c r="F210" t="s">
        <v>1074</v>
      </c>
      <c r="G210" t="s">
        <v>1061</v>
      </c>
      <c r="H210" s="18">
        <v>45143</v>
      </c>
      <c r="I210" t="s">
        <v>231</v>
      </c>
      <c r="J210" t="s">
        <v>20</v>
      </c>
      <c r="K210" t="s">
        <v>1032</v>
      </c>
      <c r="L210">
        <v>61</v>
      </c>
      <c r="M210" t="s">
        <v>21</v>
      </c>
      <c r="N210">
        <v>1</v>
      </c>
      <c r="O210">
        <v>25</v>
      </c>
      <c r="P210">
        <v>25</v>
      </c>
      <c r="Q210">
        <v>0.375</v>
      </c>
      <c r="R210">
        <v>0.5</v>
      </c>
    </row>
    <row r="211" spans="1:18" x14ac:dyDescent="0.35">
      <c r="A211">
        <v>207</v>
      </c>
      <c r="B211">
        <v>19</v>
      </c>
      <c r="C211">
        <v>4</v>
      </c>
      <c r="D211">
        <v>2023</v>
      </c>
      <c r="E211" t="s">
        <v>1065</v>
      </c>
      <c r="F211" t="s">
        <v>1077</v>
      </c>
      <c r="G211" t="s">
        <v>1061</v>
      </c>
      <c r="H211" s="18">
        <v>45035</v>
      </c>
      <c r="I211" t="s">
        <v>232</v>
      </c>
      <c r="J211" t="s">
        <v>23</v>
      </c>
      <c r="K211" t="s">
        <v>1030</v>
      </c>
      <c r="L211">
        <v>42</v>
      </c>
      <c r="M211" t="s">
        <v>21</v>
      </c>
      <c r="N211">
        <v>2</v>
      </c>
      <c r="O211">
        <v>25</v>
      </c>
      <c r="P211">
        <v>50</v>
      </c>
      <c r="Q211">
        <v>0.75</v>
      </c>
      <c r="R211">
        <v>1</v>
      </c>
    </row>
    <row r="212" spans="1:18" x14ac:dyDescent="0.35">
      <c r="A212">
        <v>208</v>
      </c>
      <c r="B212">
        <v>4</v>
      </c>
      <c r="C212">
        <v>10</v>
      </c>
      <c r="D212">
        <v>2023</v>
      </c>
      <c r="E212" t="s">
        <v>1065</v>
      </c>
      <c r="F212" t="s">
        <v>1064</v>
      </c>
      <c r="G212" t="s">
        <v>1061</v>
      </c>
      <c r="H212" s="18">
        <v>45203</v>
      </c>
      <c r="I212" t="s">
        <v>233</v>
      </c>
      <c r="J212" t="s">
        <v>23</v>
      </c>
      <c r="K212" t="s">
        <v>1030</v>
      </c>
      <c r="L212">
        <v>34</v>
      </c>
      <c r="M212" t="s">
        <v>21</v>
      </c>
      <c r="N212">
        <v>4</v>
      </c>
      <c r="O212">
        <v>50</v>
      </c>
      <c r="P212">
        <v>200</v>
      </c>
      <c r="Q212">
        <v>3</v>
      </c>
      <c r="R212">
        <v>4</v>
      </c>
    </row>
    <row r="213" spans="1:18" x14ac:dyDescent="0.35">
      <c r="A213">
        <v>209</v>
      </c>
      <c r="B213">
        <v>20</v>
      </c>
      <c r="C213">
        <v>12</v>
      </c>
      <c r="D213">
        <v>2023</v>
      </c>
      <c r="E213" t="s">
        <v>1065</v>
      </c>
      <c r="F213" t="s">
        <v>1062</v>
      </c>
      <c r="G213" t="s">
        <v>1061</v>
      </c>
      <c r="H213" s="18">
        <v>45280</v>
      </c>
      <c r="I213" t="s">
        <v>234</v>
      </c>
      <c r="J213" t="s">
        <v>23</v>
      </c>
      <c r="K213" t="s">
        <v>1030</v>
      </c>
      <c r="L213">
        <v>30</v>
      </c>
      <c r="M213" t="s">
        <v>21</v>
      </c>
      <c r="N213">
        <v>4</v>
      </c>
      <c r="O213">
        <v>50</v>
      </c>
      <c r="P213">
        <v>200</v>
      </c>
      <c r="Q213">
        <v>3</v>
      </c>
      <c r="R213">
        <v>4</v>
      </c>
    </row>
    <row r="214" spans="1:18" x14ac:dyDescent="0.35">
      <c r="A214">
        <v>210</v>
      </c>
      <c r="B214">
        <v>13</v>
      </c>
      <c r="C214">
        <v>4</v>
      </c>
      <c r="D214">
        <v>2023</v>
      </c>
      <c r="E214" t="s">
        <v>1072</v>
      </c>
      <c r="F214" t="s">
        <v>1077</v>
      </c>
      <c r="G214" t="s">
        <v>1061</v>
      </c>
      <c r="H214" s="18">
        <v>45029</v>
      </c>
      <c r="I214" t="s">
        <v>235</v>
      </c>
      <c r="J214" t="s">
        <v>20</v>
      </c>
      <c r="K214" t="s">
        <v>1030</v>
      </c>
      <c r="L214">
        <v>37</v>
      </c>
      <c r="M214" t="s">
        <v>21</v>
      </c>
      <c r="N214">
        <v>4</v>
      </c>
      <c r="O214">
        <v>50</v>
      </c>
      <c r="P214">
        <v>200</v>
      </c>
      <c r="Q214">
        <v>3</v>
      </c>
      <c r="R214">
        <v>4</v>
      </c>
    </row>
    <row r="215" spans="1:18" x14ac:dyDescent="0.35">
      <c r="A215">
        <v>211</v>
      </c>
      <c r="B215">
        <v>1</v>
      </c>
      <c r="C215">
        <v>1</v>
      </c>
      <c r="D215">
        <v>2024</v>
      </c>
      <c r="E215" t="s">
        <v>1067</v>
      </c>
      <c r="F215" t="s">
        <v>1060</v>
      </c>
      <c r="G215" t="s">
        <v>1079</v>
      </c>
      <c r="H215" s="18">
        <v>45292</v>
      </c>
      <c r="I215" t="s">
        <v>236</v>
      </c>
      <c r="J215" t="s">
        <v>20</v>
      </c>
      <c r="K215" t="s">
        <v>1030</v>
      </c>
      <c r="L215">
        <v>42</v>
      </c>
      <c r="M215" t="s">
        <v>21</v>
      </c>
      <c r="N215">
        <v>3</v>
      </c>
      <c r="O215">
        <v>500</v>
      </c>
      <c r="P215">
        <v>1500</v>
      </c>
      <c r="Q215">
        <v>22.5</v>
      </c>
      <c r="R215">
        <v>30</v>
      </c>
    </row>
    <row r="216" spans="1:18" x14ac:dyDescent="0.35">
      <c r="A216">
        <v>212</v>
      </c>
      <c r="B216">
        <v>9</v>
      </c>
      <c r="C216">
        <v>6</v>
      </c>
      <c r="D216">
        <v>2023</v>
      </c>
      <c r="E216" t="s">
        <v>1070</v>
      </c>
      <c r="F216" t="s">
        <v>1069</v>
      </c>
      <c r="G216" t="s">
        <v>1061</v>
      </c>
      <c r="H216" s="18">
        <v>45086</v>
      </c>
      <c r="I216" t="s">
        <v>237</v>
      </c>
      <c r="J216" t="s">
        <v>20</v>
      </c>
      <c r="K216" t="s">
        <v>1034</v>
      </c>
      <c r="L216">
        <v>21</v>
      </c>
      <c r="M216" t="s">
        <v>21</v>
      </c>
      <c r="N216">
        <v>3</v>
      </c>
      <c r="O216">
        <v>500</v>
      </c>
      <c r="P216">
        <v>1500</v>
      </c>
      <c r="Q216">
        <v>22.5</v>
      </c>
      <c r="R216">
        <v>30</v>
      </c>
    </row>
    <row r="217" spans="1:18" x14ac:dyDescent="0.35">
      <c r="A217">
        <v>213</v>
      </c>
      <c r="B217">
        <v>24</v>
      </c>
      <c r="C217">
        <v>7</v>
      </c>
      <c r="D217">
        <v>2023</v>
      </c>
      <c r="E217" t="s">
        <v>1067</v>
      </c>
      <c r="F217" t="s">
        <v>1078</v>
      </c>
      <c r="G217" t="s">
        <v>1061</v>
      </c>
      <c r="H217" s="18">
        <v>45131</v>
      </c>
      <c r="I217" t="s">
        <v>238</v>
      </c>
      <c r="J217" t="s">
        <v>20</v>
      </c>
      <c r="K217" t="s">
        <v>1034</v>
      </c>
      <c r="L217">
        <v>27</v>
      </c>
      <c r="M217" t="s">
        <v>21</v>
      </c>
      <c r="N217">
        <v>3</v>
      </c>
      <c r="O217">
        <v>500</v>
      </c>
      <c r="P217">
        <v>1500</v>
      </c>
      <c r="Q217">
        <v>22.5</v>
      </c>
      <c r="R217">
        <v>30</v>
      </c>
    </row>
    <row r="218" spans="1:18" x14ac:dyDescent="0.35">
      <c r="A218">
        <v>214</v>
      </c>
      <c r="B218">
        <v>10</v>
      </c>
      <c r="C218">
        <v>12</v>
      </c>
      <c r="D218">
        <v>2023</v>
      </c>
      <c r="E218" t="s">
        <v>1063</v>
      </c>
      <c r="F218" t="s">
        <v>1062</v>
      </c>
      <c r="G218" t="s">
        <v>1061</v>
      </c>
      <c r="H218" s="18">
        <v>45270</v>
      </c>
      <c r="I218" t="s">
        <v>239</v>
      </c>
      <c r="J218" t="s">
        <v>20</v>
      </c>
      <c r="K218" t="s">
        <v>1034</v>
      </c>
      <c r="L218">
        <v>20</v>
      </c>
      <c r="M218" t="s">
        <v>21</v>
      </c>
      <c r="N218">
        <v>2</v>
      </c>
      <c r="O218">
        <v>30</v>
      </c>
      <c r="P218">
        <v>60</v>
      </c>
      <c r="Q218">
        <v>0.89999999999999991</v>
      </c>
      <c r="R218">
        <v>1.2</v>
      </c>
    </row>
    <row r="219" spans="1:18" x14ac:dyDescent="0.35">
      <c r="A219">
        <v>215</v>
      </c>
      <c r="B219">
        <v>29</v>
      </c>
      <c r="C219">
        <v>11</v>
      </c>
      <c r="D219">
        <v>2023</v>
      </c>
      <c r="E219" t="s">
        <v>1065</v>
      </c>
      <c r="F219" t="s">
        <v>1068</v>
      </c>
      <c r="G219" t="s">
        <v>1061</v>
      </c>
      <c r="H219" s="18">
        <v>45259</v>
      </c>
      <c r="I219" t="s">
        <v>240</v>
      </c>
      <c r="J219" t="s">
        <v>20</v>
      </c>
      <c r="K219" t="s">
        <v>1032</v>
      </c>
      <c r="L219">
        <v>58</v>
      </c>
      <c r="M219" t="s">
        <v>21</v>
      </c>
      <c r="N219">
        <v>3</v>
      </c>
      <c r="O219">
        <v>500</v>
      </c>
      <c r="P219">
        <v>1500</v>
      </c>
      <c r="Q219">
        <v>22.5</v>
      </c>
      <c r="R219">
        <v>30</v>
      </c>
    </row>
    <row r="220" spans="1:18" x14ac:dyDescent="0.35">
      <c r="A220">
        <v>216</v>
      </c>
      <c r="B220">
        <v>11</v>
      </c>
      <c r="C220">
        <v>7</v>
      </c>
      <c r="D220">
        <v>2023</v>
      </c>
      <c r="E220" t="s">
        <v>1059</v>
      </c>
      <c r="F220" t="s">
        <v>1078</v>
      </c>
      <c r="G220" t="s">
        <v>1061</v>
      </c>
      <c r="H220" s="18">
        <v>45118</v>
      </c>
      <c r="I220" t="s">
        <v>241</v>
      </c>
      <c r="J220" t="s">
        <v>20</v>
      </c>
      <c r="K220" t="s">
        <v>1032</v>
      </c>
      <c r="L220">
        <v>62</v>
      </c>
      <c r="M220" t="s">
        <v>21</v>
      </c>
      <c r="N220">
        <v>2</v>
      </c>
      <c r="O220">
        <v>50</v>
      </c>
      <c r="P220">
        <v>100</v>
      </c>
      <c r="Q220">
        <v>1.5</v>
      </c>
      <c r="R220">
        <v>2</v>
      </c>
    </row>
    <row r="221" spans="1:18" x14ac:dyDescent="0.35">
      <c r="A221">
        <v>217</v>
      </c>
      <c r="B221">
        <v>13</v>
      </c>
      <c r="C221">
        <v>8</v>
      </c>
      <c r="D221">
        <v>2023</v>
      </c>
      <c r="E221" t="s">
        <v>1063</v>
      </c>
      <c r="F221" t="s">
        <v>1074</v>
      </c>
      <c r="G221" t="s">
        <v>1061</v>
      </c>
      <c r="H221" s="18">
        <v>45151</v>
      </c>
      <c r="I221" t="s">
        <v>242</v>
      </c>
      <c r="J221" t="s">
        <v>23</v>
      </c>
      <c r="K221" t="s">
        <v>1030</v>
      </c>
      <c r="L221">
        <v>35</v>
      </c>
      <c r="M221" t="s">
        <v>21</v>
      </c>
      <c r="N221">
        <v>4</v>
      </c>
      <c r="O221">
        <v>50</v>
      </c>
      <c r="P221">
        <v>200</v>
      </c>
      <c r="Q221">
        <v>3</v>
      </c>
      <c r="R221">
        <v>4</v>
      </c>
    </row>
    <row r="222" spans="1:18" x14ac:dyDescent="0.35">
      <c r="A222">
        <v>218</v>
      </c>
      <c r="B222">
        <v>22</v>
      </c>
      <c r="C222">
        <v>9</v>
      </c>
      <c r="D222">
        <v>2023</v>
      </c>
      <c r="E222" t="s">
        <v>1070</v>
      </c>
      <c r="F222" t="s">
        <v>1071</v>
      </c>
      <c r="G222" t="s">
        <v>1061</v>
      </c>
      <c r="H222" s="18">
        <v>45191</v>
      </c>
      <c r="I222" t="s">
        <v>243</v>
      </c>
      <c r="J222" t="s">
        <v>20</v>
      </c>
      <c r="K222" t="s">
        <v>1032</v>
      </c>
      <c r="L222">
        <v>64</v>
      </c>
      <c r="M222" t="s">
        <v>21</v>
      </c>
      <c r="N222">
        <v>3</v>
      </c>
      <c r="O222">
        <v>30</v>
      </c>
      <c r="P222">
        <v>90</v>
      </c>
      <c r="Q222">
        <v>1.3499999999999999</v>
      </c>
      <c r="R222">
        <v>1.8</v>
      </c>
    </row>
    <row r="223" spans="1:18" x14ac:dyDescent="0.35">
      <c r="A223">
        <v>219</v>
      </c>
      <c r="B223">
        <v>20</v>
      </c>
      <c r="C223">
        <v>8</v>
      </c>
      <c r="D223">
        <v>2023</v>
      </c>
      <c r="E223" t="s">
        <v>1063</v>
      </c>
      <c r="F223" t="s">
        <v>1074</v>
      </c>
      <c r="G223" t="s">
        <v>1061</v>
      </c>
      <c r="H223" s="18">
        <v>45158</v>
      </c>
      <c r="I223" t="s">
        <v>244</v>
      </c>
      <c r="J223" t="s">
        <v>23</v>
      </c>
      <c r="K223" t="s">
        <v>1032</v>
      </c>
      <c r="L223">
        <v>53</v>
      </c>
      <c r="M223" t="s">
        <v>21</v>
      </c>
      <c r="N223">
        <v>3</v>
      </c>
      <c r="O223">
        <v>30</v>
      </c>
      <c r="P223">
        <v>90</v>
      </c>
      <c r="Q223">
        <v>1.3499999999999999</v>
      </c>
      <c r="R223">
        <v>1.8</v>
      </c>
    </row>
    <row r="224" spans="1:18" x14ac:dyDescent="0.35">
      <c r="A224">
        <v>220</v>
      </c>
      <c r="B224">
        <v>3</v>
      </c>
      <c r="C224">
        <v>3</v>
      </c>
      <c r="D224">
        <v>2023</v>
      </c>
      <c r="E224" t="s">
        <v>1070</v>
      </c>
      <c r="F224" t="s">
        <v>1066</v>
      </c>
      <c r="G224" t="s">
        <v>1061</v>
      </c>
      <c r="H224" s="18">
        <v>44988</v>
      </c>
      <c r="I224" t="s">
        <v>245</v>
      </c>
      <c r="J224" t="s">
        <v>20</v>
      </c>
      <c r="K224" t="s">
        <v>1032</v>
      </c>
      <c r="L224">
        <v>64</v>
      </c>
      <c r="M224" t="s">
        <v>21</v>
      </c>
      <c r="N224">
        <v>1</v>
      </c>
      <c r="O224">
        <v>500</v>
      </c>
      <c r="P224">
        <v>500</v>
      </c>
      <c r="Q224">
        <v>7.5</v>
      </c>
      <c r="R224">
        <v>10</v>
      </c>
    </row>
    <row r="225" spans="1:18" x14ac:dyDescent="0.35">
      <c r="A225">
        <v>221</v>
      </c>
      <c r="B225">
        <v>7</v>
      </c>
      <c r="C225">
        <v>5</v>
      </c>
      <c r="D225">
        <v>2023</v>
      </c>
      <c r="E225" t="s">
        <v>1063</v>
      </c>
      <c r="F225" t="s">
        <v>1076</v>
      </c>
      <c r="G225" t="s">
        <v>1061</v>
      </c>
      <c r="H225" s="18">
        <v>45053</v>
      </c>
      <c r="I225" t="s">
        <v>246</v>
      </c>
      <c r="J225" t="s">
        <v>20</v>
      </c>
      <c r="K225" t="s">
        <v>1030</v>
      </c>
      <c r="L225">
        <v>39</v>
      </c>
      <c r="M225" t="s">
        <v>21</v>
      </c>
      <c r="N225">
        <v>2</v>
      </c>
      <c r="O225">
        <v>300</v>
      </c>
      <c r="P225">
        <v>600</v>
      </c>
      <c r="Q225">
        <v>9</v>
      </c>
      <c r="R225">
        <v>12</v>
      </c>
    </row>
    <row r="226" spans="1:18" x14ac:dyDescent="0.35">
      <c r="A226">
        <v>222</v>
      </c>
      <c r="B226">
        <v>26</v>
      </c>
      <c r="C226">
        <v>4</v>
      </c>
      <c r="D226">
        <v>2023</v>
      </c>
      <c r="E226" t="s">
        <v>1065</v>
      </c>
      <c r="F226" t="s">
        <v>1077</v>
      </c>
      <c r="G226" t="s">
        <v>1061</v>
      </c>
      <c r="H226" s="18">
        <v>45042</v>
      </c>
      <c r="I226" t="s">
        <v>247</v>
      </c>
      <c r="J226" t="s">
        <v>20</v>
      </c>
      <c r="K226" t="s">
        <v>1032</v>
      </c>
      <c r="L226">
        <v>51</v>
      </c>
      <c r="M226" t="s">
        <v>21</v>
      </c>
      <c r="N226">
        <v>4</v>
      </c>
      <c r="O226">
        <v>30</v>
      </c>
      <c r="P226">
        <v>120</v>
      </c>
      <c r="Q226">
        <v>1.7999999999999998</v>
      </c>
      <c r="R226">
        <v>2.4</v>
      </c>
    </row>
    <row r="227" spans="1:18" x14ac:dyDescent="0.35">
      <c r="A227">
        <v>223</v>
      </c>
      <c r="B227">
        <v>2</v>
      </c>
      <c r="C227">
        <v>2</v>
      </c>
      <c r="D227">
        <v>2023</v>
      </c>
      <c r="E227" t="s">
        <v>1072</v>
      </c>
      <c r="F227" t="s">
        <v>1073</v>
      </c>
      <c r="G227" t="s">
        <v>1061</v>
      </c>
      <c r="H227" s="18">
        <v>44959</v>
      </c>
      <c r="I227" t="s">
        <v>248</v>
      </c>
      <c r="J227" t="s">
        <v>23</v>
      </c>
      <c r="K227" t="s">
        <v>1032</v>
      </c>
      <c r="L227">
        <v>64</v>
      </c>
      <c r="M227" t="s">
        <v>21</v>
      </c>
      <c r="N227">
        <v>1</v>
      </c>
      <c r="O227">
        <v>25</v>
      </c>
      <c r="P227">
        <v>25</v>
      </c>
      <c r="Q227">
        <v>0.375</v>
      </c>
      <c r="R227">
        <v>0.5</v>
      </c>
    </row>
    <row r="228" spans="1:18" x14ac:dyDescent="0.35">
      <c r="A228">
        <v>224</v>
      </c>
      <c r="B228">
        <v>23</v>
      </c>
      <c r="C228">
        <v>6</v>
      </c>
      <c r="D228">
        <v>2023</v>
      </c>
      <c r="E228" t="s">
        <v>1070</v>
      </c>
      <c r="F228" t="s">
        <v>1069</v>
      </c>
      <c r="G228" t="s">
        <v>1061</v>
      </c>
      <c r="H228" s="18">
        <v>45100</v>
      </c>
      <c r="I228" t="s">
        <v>249</v>
      </c>
      <c r="J228" t="s">
        <v>23</v>
      </c>
      <c r="K228" t="s">
        <v>1034</v>
      </c>
      <c r="L228">
        <v>25</v>
      </c>
      <c r="M228" t="s">
        <v>21</v>
      </c>
      <c r="N228">
        <v>1</v>
      </c>
      <c r="O228">
        <v>50</v>
      </c>
      <c r="P228">
        <v>50</v>
      </c>
      <c r="Q228">
        <v>0.75</v>
      </c>
      <c r="R228">
        <v>1</v>
      </c>
    </row>
    <row r="229" spans="1:18" x14ac:dyDescent="0.35">
      <c r="A229">
        <v>225</v>
      </c>
      <c r="B229">
        <v>11</v>
      </c>
      <c r="C229">
        <v>1</v>
      </c>
      <c r="D229">
        <v>2023</v>
      </c>
      <c r="E229" t="s">
        <v>1065</v>
      </c>
      <c r="F229" t="s">
        <v>1060</v>
      </c>
      <c r="G229" t="s">
        <v>1061</v>
      </c>
      <c r="H229" s="18">
        <v>44937</v>
      </c>
      <c r="I229" t="s">
        <v>250</v>
      </c>
      <c r="J229" t="s">
        <v>23</v>
      </c>
      <c r="K229" t="s">
        <v>1032</v>
      </c>
      <c r="L229">
        <v>57</v>
      </c>
      <c r="M229" t="s">
        <v>21</v>
      </c>
      <c r="N229">
        <v>4</v>
      </c>
      <c r="O229">
        <v>25</v>
      </c>
      <c r="P229">
        <v>100</v>
      </c>
      <c r="Q229">
        <v>1.5</v>
      </c>
      <c r="R229">
        <v>2</v>
      </c>
    </row>
    <row r="230" spans="1:18" x14ac:dyDescent="0.35">
      <c r="A230">
        <v>226</v>
      </c>
      <c r="B230">
        <v>29</v>
      </c>
      <c r="C230">
        <v>10</v>
      </c>
      <c r="D230">
        <v>2023</v>
      </c>
      <c r="E230" t="s">
        <v>1063</v>
      </c>
      <c r="F230" t="s">
        <v>1064</v>
      </c>
      <c r="G230" t="s">
        <v>1061</v>
      </c>
      <c r="H230" s="18">
        <v>45228</v>
      </c>
      <c r="I230" t="s">
        <v>251</v>
      </c>
      <c r="J230" t="s">
        <v>23</v>
      </c>
      <c r="K230" t="s">
        <v>1032</v>
      </c>
      <c r="L230">
        <v>61</v>
      </c>
      <c r="M230" t="s">
        <v>21</v>
      </c>
      <c r="N230">
        <v>1</v>
      </c>
      <c r="O230">
        <v>50</v>
      </c>
      <c r="P230">
        <v>50</v>
      </c>
      <c r="Q230">
        <v>0.75</v>
      </c>
      <c r="R230">
        <v>1</v>
      </c>
    </row>
    <row r="231" spans="1:18" x14ac:dyDescent="0.35">
      <c r="A231">
        <v>227</v>
      </c>
      <c r="B231">
        <v>11</v>
      </c>
      <c r="C231">
        <v>10</v>
      </c>
      <c r="D231">
        <v>2023</v>
      </c>
      <c r="E231" t="s">
        <v>1065</v>
      </c>
      <c r="F231" t="s">
        <v>1064</v>
      </c>
      <c r="G231" t="s">
        <v>1061</v>
      </c>
      <c r="H231" s="18">
        <v>45210</v>
      </c>
      <c r="I231" t="s">
        <v>252</v>
      </c>
      <c r="J231" t="s">
        <v>20</v>
      </c>
      <c r="K231" t="s">
        <v>1030</v>
      </c>
      <c r="L231">
        <v>36</v>
      </c>
      <c r="M231" t="s">
        <v>21</v>
      </c>
      <c r="N231">
        <v>2</v>
      </c>
      <c r="O231">
        <v>50</v>
      </c>
      <c r="P231">
        <v>100</v>
      </c>
      <c r="Q231">
        <v>1.5</v>
      </c>
      <c r="R231">
        <v>2</v>
      </c>
    </row>
    <row r="232" spans="1:18" x14ac:dyDescent="0.35">
      <c r="A232">
        <v>228</v>
      </c>
      <c r="B232">
        <v>28</v>
      </c>
      <c r="C232">
        <v>4</v>
      </c>
      <c r="D232">
        <v>2023</v>
      </c>
      <c r="E232" t="s">
        <v>1070</v>
      </c>
      <c r="F232" t="s">
        <v>1077</v>
      </c>
      <c r="G232" t="s">
        <v>1061</v>
      </c>
      <c r="H232" s="18">
        <v>45044</v>
      </c>
      <c r="I232" t="s">
        <v>253</v>
      </c>
      <c r="J232" t="s">
        <v>23</v>
      </c>
      <c r="K232" t="s">
        <v>1032</v>
      </c>
      <c r="L232">
        <v>59</v>
      </c>
      <c r="M232" t="s">
        <v>21</v>
      </c>
      <c r="N232">
        <v>2</v>
      </c>
      <c r="O232">
        <v>30</v>
      </c>
      <c r="P232">
        <v>60</v>
      </c>
      <c r="Q232">
        <v>0.89999999999999991</v>
      </c>
      <c r="R232">
        <v>1.2</v>
      </c>
    </row>
    <row r="233" spans="1:18" x14ac:dyDescent="0.35">
      <c r="A233">
        <v>229</v>
      </c>
      <c r="B233">
        <v>29</v>
      </c>
      <c r="C233">
        <v>10</v>
      </c>
      <c r="D233">
        <v>2023</v>
      </c>
      <c r="E233" t="s">
        <v>1063</v>
      </c>
      <c r="F233" t="s">
        <v>1064</v>
      </c>
      <c r="G233" t="s">
        <v>1061</v>
      </c>
      <c r="H233" s="18">
        <v>45228</v>
      </c>
      <c r="I233" t="s">
        <v>254</v>
      </c>
      <c r="J233" t="s">
        <v>20</v>
      </c>
      <c r="K233" t="s">
        <v>1032</v>
      </c>
      <c r="L233">
        <v>58</v>
      </c>
      <c r="M233" t="s">
        <v>21</v>
      </c>
      <c r="N233">
        <v>3</v>
      </c>
      <c r="O233">
        <v>30</v>
      </c>
      <c r="P233">
        <v>90</v>
      </c>
      <c r="Q233">
        <v>1.3499999999999999</v>
      </c>
      <c r="R233">
        <v>1.8</v>
      </c>
    </row>
    <row r="234" spans="1:18" x14ac:dyDescent="0.35">
      <c r="A234">
        <v>230</v>
      </c>
      <c r="B234">
        <v>23</v>
      </c>
      <c r="C234">
        <v>4</v>
      </c>
      <c r="D234">
        <v>2023</v>
      </c>
      <c r="E234" t="s">
        <v>1063</v>
      </c>
      <c r="F234" t="s">
        <v>1077</v>
      </c>
      <c r="G234" t="s">
        <v>1061</v>
      </c>
      <c r="H234" s="18">
        <v>45039</v>
      </c>
      <c r="I234" t="s">
        <v>255</v>
      </c>
      <c r="J234" t="s">
        <v>20</v>
      </c>
      <c r="K234" t="s">
        <v>1032</v>
      </c>
      <c r="L234">
        <v>54</v>
      </c>
      <c r="M234" t="s">
        <v>21</v>
      </c>
      <c r="N234">
        <v>1</v>
      </c>
      <c r="O234">
        <v>25</v>
      </c>
      <c r="P234">
        <v>25</v>
      </c>
      <c r="Q234">
        <v>0.375</v>
      </c>
      <c r="R234">
        <v>0.5</v>
      </c>
    </row>
    <row r="235" spans="1:18" x14ac:dyDescent="0.35">
      <c r="A235">
        <v>231</v>
      </c>
      <c r="B235">
        <v>4</v>
      </c>
      <c r="C235">
        <v>1</v>
      </c>
      <c r="D235">
        <v>2023</v>
      </c>
      <c r="E235" t="s">
        <v>1065</v>
      </c>
      <c r="F235" t="s">
        <v>1060</v>
      </c>
      <c r="G235" t="s">
        <v>1061</v>
      </c>
      <c r="H235" s="18">
        <v>44930</v>
      </c>
      <c r="I235" t="s">
        <v>256</v>
      </c>
      <c r="J235" t="s">
        <v>23</v>
      </c>
      <c r="K235" t="s">
        <v>1034</v>
      </c>
      <c r="L235">
        <v>23</v>
      </c>
      <c r="M235" t="s">
        <v>21</v>
      </c>
      <c r="N235">
        <v>3</v>
      </c>
      <c r="O235">
        <v>50</v>
      </c>
      <c r="P235">
        <v>150</v>
      </c>
      <c r="Q235">
        <v>2.25</v>
      </c>
      <c r="R235">
        <v>3</v>
      </c>
    </row>
    <row r="236" spans="1:18" x14ac:dyDescent="0.35">
      <c r="A236">
        <v>232</v>
      </c>
      <c r="B236">
        <v>6</v>
      </c>
      <c r="C236">
        <v>2</v>
      </c>
      <c r="D236">
        <v>2023</v>
      </c>
      <c r="E236" t="s">
        <v>1067</v>
      </c>
      <c r="F236" t="s">
        <v>1073</v>
      </c>
      <c r="G236" t="s">
        <v>1061</v>
      </c>
      <c r="H236" s="18">
        <v>44963</v>
      </c>
      <c r="I236" t="s">
        <v>257</v>
      </c>
      <c r="J236" t="s">
        <v>23</v>
      </c>
      <c r="K236" t="s">
        <v>1030</v>
      </c>
      <c r="L236">
        <v>43</v>
      </c>
      <c r="M236" t="s">
        <v>21</v>
      </c>
      <c r="N236">
        <v>1</v>
      </c>
      <c r="O236">
        <v>25</v>
      </c>
      <c r="P236">
        <v>25</v>
      </c>
      <c r="Q236">
        <v>0.375</v>
      </c>
      <c r="R236">
        <v>0.5</v>
      </c>
    </row>
    <row r="237" spans="1:18" x14ac:dyDescent="0.35">
      <c r="A237">
        <v>233</v>
      </c>
      <c r="B237">
        <v>29</v>
      </c>
      <c r="C237">
        <v>12</v>
      </c>
      <c r="D237">
        <v>2023</v>
      </c>
      <c r="E237" t="s">
        <v>1070</v>
      </c>
      <c r="F237" t="s">
        <v>1062</v>
      </c>
      <c r="G237" t="s">
        <v>1061</v>
      </c>
      <c r="H237" s="18">
        <v>45289</v>
      </c>
      <c r="I237" t="s">
        <v>258</v>
      </c>
      <c r="J237" t="s">
        <v>23</v>
      </c>
      <c r="K237" t="s">
        <v>1032</v>
      </c>
      <c r="L237">
        <v>51</v>
      </c>
      <c r="M237" t="s">
        <v>21</v>
      </c>
      <c r="N237">
        <v>2</v>
      </c>
      <c r="O237">
        <v>300</v>
      </c>
      <c r="P237">
        <v>600</v>
      </c>
      <c r="Q237">
        <v>9</v>
      </c>
      <c r="R237">
        <v>12</v>
      </c>
    </row>
    <row r="238" spans="1:18" x14ac:dyDescent="0.35">
      <c r="A238">
        <v>234</v>
      </c>
      <c r="B238">
        <v>20</v>
      </c>
      <c r="C238">
        <v>11</v>
      </c>
      <c r="D238">
        <v>2023</v>
      </c>
      <c r="E238" t="s">
        <v>1067</v>
      </c>
      <c r="F238" t="s">
        <v>1068</v>
      </c>
      <c r="G238" t="s">
        <v>1061</v>
      </c>
      <c r="H238" s="18">
        <v>45250</v>
      </c>
      <c r="I238" t="s">
        <v>259</v>
      </c>
      <c r="J238" t="s">
        <v>23</v>
      </c>
      <c r="K238" t="s">
        <v>1032</v>
      </c>
      <c r="L238">
        <v>62</v>
      </c>
      <c r="M238" t="s">
        <v>21</v>
      </c>
      <c r="N238">
        <v>2</v>
      </c>
      <c r="O238">
        <v>25</v>
      </c>
      <c r="P238">
        <v>50</v>
      </c>
      <c r="Q238">
        <v>0.75</v>
      </c>
      <c r="R238">
        <v>1</v>
      </c>
    </row>
    <row r="239" spans="1:18" x14ac:dyDescent="0.35">
      <c r="A239">
        <v>235</v>
      </c>
      <c r="B239">
        <v>31</v>
      </c>
      <c r="C239">
        <v>1</v>
      </c>
      <c r="D239">
        <v>2023</v>
      </c>
      <c r="E239" t="s">
        <v>1059</v>
      </c>
      <c r="F239" t="s">
        <v>1060</v>
      </c>
      <c r="G239" t="s">
        <v>1061</v>
      </c>
      <c r="H239" s="18">
        <v>44957</v>
      </c>
      <c r="I239" t="s">
        <v>260</v>
      </c>
      <c r="J239" t="s">
        <v>23</v>
      </c>
      <c r="K239" t="s">
        <v>1034</v>
      </c>
      <c r="L239">
        <v>23</v>
      </c>
      <c r="M239" t="s">
        <v>21</v>
      </c>
      <c r="N239">
        <v>2</v>
      </c>
      <c r="O239">
        <v>500</v>
      </c>
      <c r="P239">
        <v>1000</v>
      </c>
      <c r="Q239">
        <v>15</v>
      </c>
      <c r="R239">
        <v>20</v>
      </c>
    </row>
    <row r="240" spans="1:18" x14ac:dyDescent="0.35">
      <c r="A240">
        <v>236</v>
      </c>
      <c r="B240">
        <v>28</v>
      </c>
      <c r="C240">
        <v>4</v>
      </c>
      <c r="D240">
        <v>2023</v>
      </c>
      <c r="E240" t="s">
        <v>1070</v>
      </c>
      <c r="F240" t="s">
        <v>1077</v>
      </c>
      <c r="G240" t="s">
        <v>1061</v>
      </c>
      <c r="H240" s="18">
        <v>45044</v>
      </c>
      <c r="I240" t="s">
        <v>261</v>
      </c>
      <c r="J240" t="s">
        <v>23</v>
      </c>
      <c r="K240" t="s">
        <v>1032</v>
      </c>
      <c r="L240">
        <v>54</v>
      </c>
      <c r="M240" t="s">
        <v>21</v>
      </c>
      <c r="N240">
        <v>1</v>
      </c>
      <c r="O240">
        <v>25</v>
      </c>
      <c r="P240">
        <v>25</v>
      </c>
      <c r="Q240">
        <v>0.375</v>
      </c>
      <c r="R240">
        <v>0.5</v>
      </c>
    </row>
    <row r="241" spans="1:18" x14ac:dyDescent="0.35">
      <c r="A241">
        <v>237</v>
      </c>
      <c r="B241">
        <v>4</v>
      </c>
      <c r="C241">
        <v>2</v>
      </c>
      <c r="D241">
        <v>2023</v>
      </c>
      <c r="E241" t="s">
        <v>1075</v>
      </c>
      <c r="F241" t="s">
        <v>1073</v>
      </c>
      <c r="G241" t="s">
        <v>1061</v>
      </c>
      <c r="H241" s="18">
        <v>44961</v>
      </c>
      <c r="I241" t="s">
        <v>262</v>
      </c>
      <c r="J241" t="s">
        <v>23</v>
      </c>
      <c r="K241" t="s">
        <v>1030</v>
      </c>
      <c r="L241">
        <v>50</v>
      </c>
      <c r="M241" t="s">
        <v>21</v>
      </c>
      <c r="N241">
        <v>2</v>
      </c>
      <c r="O241">
        <v>500</v>
      </c>
      <c r="P241">
        <v>1000</v>
      </c>
      <c r="Q241">
        <v>15</v>
      </c>
      <c r="R241">
        <v>20</v>
      </c>
    </row>
    <row r="242" spans="1:18" x14ac:dyDescent="0.35">
      <c r="A242">
        <v>238</v>
      </c>
      <c r="B242">
        <v>17</v>
      </c>
      <c r="C242">
        <v>1</v>
      </c>
      <c r="D242">
        <v>2023</v>
      </c>
      <c r="E242" t="s">
        <v>1059</v>
      </c>
      <c r="F242" t="s">
        <v>1060</v>
      </c>
      <c r="G242" t="s">
        <v>1061</v>
      </c>
      <c r="H242" s="18">
        <v>44943</v>
      </c>
      <c r="I242" t="s">
        <v>263</v>
      </c>
      <c r="J242" t="s">
        <v>23</v>
      </c>
      <c r="K242" t="s">
        <v>1030</v>
      </c>
      <c r="L242">
        <v>39</v>
      </c>
      <c r="M242" t="s">
        <v>21</v>
      </c>
      <c r="N242">
        <v>1</v>
      </c>
      <c r="O242">
        <v>500</v>
      </c>
      <c r="P242">
        <v>500</v>
      </c>
      <c r="Q242">
        <v>7.5</v>
      </c>
      <c r="R242">
        <v>10</v>
      </c>
    </row>
    <row r="243" spans="1:18" x14ac:dyDescent="0.35">
      <c r="A243">
        <v>239</v>
      </c>
      <c r="B243">
        <v>19</v>
      </c>
      <c r="C243">
        <v>6</v>
      </c>
      <c r="D243">
        <v>2023</v>
      </c>
      <c r="E243" t="s">
        <v>1067</v>
      </c>
      <c r="F243" t="s">
        <v>1069</v>
      </c>
      <c r="G243" t="s">
        <v>1061</v>
      </c>
      <c r="H243" s="18">
        <v>45096</v>
      </c>
      <c r="I243" t="s">
        <v>264</v>
      </c>
      <c r="J243" t="s">
        <v>20</v>
      </c>
      <c r="K243" t="s">
        <v>1030</v>
      </c>
      <c r="L243">
        <v>38</v>
      </c>
      <c r="M243" t="s">
        <v>21</v>
      </c>
      <c r="N243">
        <v>3</v>
      </c>
      <c r="O243">
        <v>500</v>
      </c>
      <c r="P243">
        <v>1500</v>
      </c>
      <c r="Q243">
        <v>22.5</v>
      </c>
      <c r="R243">
        <v>30</v>
      </c>
    </row>
    <row r="244" spans="1:18" x14ac:dyDescent="0.35">
      <c r="A244">
        <v>240</v>
      </c>
      <c r="B244">
        <v>6</v>
      </c>
      <c r="C244">
        <v>2</v>
      </c>
      <c r="D244">
        <v>2023</v>
      </c>
      <c r="E244" t="s">
        <v>1067</v>
      </c>
      <c r="F244" t="s">
        <v>1073</v>
      </c>
      <c r="G244" t="s">
        <v>1061</v>
      </c>
      <c r="H244" s="18">
        <v>44963</v>
      </c>
      <c r="I244" t="s">
        <v>265</v>
      </c>
      <c r="J244" t="s">
        <v>23</v>
      </c>
      <c r="K244" t="s">
        <v>1034</v>
      </c>
      <c r="L244">
        <v>23</v>
      </c>
      <c r="M244" t="s">
        <v>21</v>
      </c>
      <c r="N244">
        <v>1</v>
      </c>
      <c r="O244">
        <v>300</v>
      </c>
      <c r="P244">
        <v>300</v>
      </c>
      <c r="Q244">
        <v>4.5</v>
      </c>
      <c r="R244">
        <v>6</v>
      </c>
    </row>
    <row r="245" spans="1:18" x14ac:dyDescent="0.35">
      <c r="A245">
        <v>241</v>
      </c>
      <c r="B245">
        <v>21</v>
      </c>
      <c r="C245">
        <v>9</v>
      </c>
      <c r="D245">
        <v>2023</v>
      </c>
      <c r="E245" t="s">
        <v>1072</v>
      </c>
      <c r="F245" t="s">
        <v>1071</v>
      </c>
      <c r="G245" t="s">
        <v>1061</v>
      </c>
      <c r="H245" s="18">
        <v>45190</v>
      </c>
      <c r="I245" t="s">
        <v>266</v>
      </c>
      <c r="J245" t="s">
        <v>23</v>
      </c>
      <c r="K245" t="s">
        <v>1034</v>
      </c>
      <c r="L245">
        <v>23</v>
      </c>
      <c r="M245" t="s">
        <v>21</v>
      </c>
      <c r="N245">
        <v>3</v>
      </c>
      <c r="O245">
        <v>25</v>
      </c>
      <c r="P245">
        <v>75</v>
      </c>
      <c r="Q245">
        <v>1.125</v>
      </c>
      <c r="R245">
        <v>1.5</v>
      </c>
    </row>
    <row r="246" spans="1:18" x14ac:dyDescent="0.35">
      <c r="A246">
        <v>242</v>
      </c>
      <c r="B246">
        <v>2</v>
      </c>
      <c r="C246">
        <v>5</v>
      </c>
      <c r="D246">
        <v>2023</v>
      </c>
      <c r="E246" t="s">
        <v>1059</v>
      </c>
      <c r="F246" t="s">
        <v>1076</v>
      </c>
      <c r="G246" t="s">
        <v>1061</v>
      </c>
      <c r="H246" s="18">
        <v>45048</v>
      </c>
      <c r="I246" t="s">
        <v>267</v>
      </c>
      <c r="J246" t="s">
        <v>20</v>
      </c>
      <c r="K246" t="s">
        <v>1034</v>
      </c>
      <c r="L246">
        <v>21</v>
      </c>
      <c r="M246" t="s">
        <v>21</v>
      </c>
      <c r="N246">
        <v>1</v>
      </c>
      <c r="O246">
        <v>25</v>
      </c>
      <c r="P246">
        <v>25</v>
      </c>
      <c r="Q246">
        <v>0.375</v>
      </c>
      <c r="R246">
        <v>0.5</v>
      </c>
    </row>
    <row r="247" spans="1:18" x14ac:dyDescent="0.35">
      <c r="A247">
        <v>243</v>
      </c>
      <c r="B247">
        <v>23</v>
      </c>
      <c r="C247">
        <v>5</v>
      </c>
      <c r="D247">
        <v>2023</v>
      </c>
      <c r="E247" t="s">
        <v>1059</v>
      </c>
      <c r="F247" t="s">
        <v>1076</v>
      </c>
      <c r="G247" t="s">
        <v>1061</v>
      </c>
      <c r="H247" s="18">
        <v>45069</v>
      </c>
      <c r="I247" t="s">
        <v>268</v>
      </c>
      <c r="J247" t="s">
        <v>23</v>
      </c>
      <c r="K247" t="s">
        <v>1030</v>
      </c>
      <c r="L247">
        <v>47</v>
      </c>
      <c r="M247" t="s">
        <v>21</v>
      </c>
      <c r="N247">
        <v>3</v>
      </c>
      <c r="O247">
        <v>300</v>
      </c>
      <c r="P247">
        <v>900</v>
      </c>
      <c r="Q247">
        <v>13.5</v>
      </c>
      <c r="R247">
        <v>18</v>
      </c>
    </row>
    <row r="248" spans="1:18" x14ac:dyDescent="0.35">
      <c r="A248">
        <v>244</v>
      </c>
      <c r="B248">
        <v>9</v>
      </c>
      <c r="C248">
        <v>12</v>
      </c>
      <c r="D248">
        <v>2023</v>
      </c>
      <c r="E248" t="s">
        <v>1075</v>
      </c>
      <c r="F248" t="s">
        <v>1062</v>
      </c>
      <c r="G248" t="s">
        <v>1061</v>
      </c>
      <c r="H248" s="18">
        <v>45269</v>
      </c>
      <c r="I248" t="s">
        <v>269</v>
      </c>
      <c r="J248" t="s">
        <v>20</v>
      </c>
      <c r="K248" t="s">
        <v>1034</v>
      </c>
      <c r="L248">
        <v>28</v>
      </c>
      <c r="M248" t="s">
        <v>21</v>
      </c>
      <c r="N248">
        <v>2</v>
      </c>
      <c r="O248">
        <v>50</v>
      </c>
      <c r="P248">
        <v>100</v>
      </c>
      <c r="Q248">
        <v>1.5</v>
      </c>
      <c r="R248">
        <v>2</v>
      </c>
    </row>
    <row r="249" spans="1:18" x14ac:dyDescent="0.35">
      <c r="A249">
        <v>245</v>
      </c>
      <c r="B249">
        <v>6</v>
      </c>
      <c r="C249">
        <v>9</v>
      </c>
      <c r="D249">
        <v>2023</v>
      </c>
      <c r="E249" t="s">
        <v>1065</v>
      </c>
      <c r="F249" t="s">
        <v>1071</v>
      </c>
      <c r="G249" t="s">
        <v>1061</v>
      </c>
      <c r="H249" s="18">
        <v>45175</v>
      </c>
      <c r="I249" t="s">
        <v>270</v>
      </c>
      <c r="J249" t="s">
        <v>20</v>
      </c>
      <c r="K249" t="s">
        <v>1030</v>
      </c>
      <c r="L249">
        <v>47</v>
      </c>
      <c r="M249" t="s">
        <v>21</v>
      </c>
      <c r="N249">
        <v>3</v>
      </c>
      <c r="O249">
        <v>30</v>
      </c>
      <c r="P249">
        <v>90</v>
      </c>
      <c r="Q249">
        <v>1.3499999999999999</v>
      </c>
      <c r="R249">
        <v>1.8</v>
      </c>
    </row>
    <row r="250" spans="1:18" x14ac:dyDescent="0.35">
      <c r="A250">
        <v>246</v>
      </c>
      <c r="B250">
        <v>20</v>
      </c>
      <c r="C250">
        <v>4</v>
      </c>
      <c r="D250">
        <v>2023</v>
      </c>
      <c r="E250" t="s">
        <v>1072</v>
      </c>
      <c r="F250" t="s">
        <v>1077</v>
      </c>
      <c r="G250" t="s">
        <v>1061</v>
      </c>
      <c r="H250" s="18">
        <v>45036</v>
      </c>
      <c r="I250" t="s">
        <v>271</v>
      </c>
      <c r="J250" t="s">
        <v>23</v>
      </c>
      <c r="K250" t="s">
        <v>1030</v>
      </c>
      <c r="L250">
        <v>48</v>
      </c>
      <c r="M250" t="s">
        <v>21</v>
      </c>
      <c r="N250">
        <v>2</v>
      </c>
      <c r="O250">
        <v>25</v>
      </c>
      <c r="P250">
        <v>50</v>
      </c>
      <c r="Q250">
        <v>0.75</v>
      </c>
      <c r="R250">
        <v>1</v>
      </c>
    </row>
    <row r="251" spans="1:18" x14ac:dyDescent="0.35">
      <c r="A251">
        <v>247</v>
      </c>
      <c r="B251">
        <v>4</v>
      </c>
      <c r="C251">
        <v>10</v>
      </c>
      <c r="D251">
        <v>2023</v>
      </c>
      <c r="E251" t="s">
        <v>1065</v>
      </c>
      <c r="F251" t="s">
        <v>1064</v>
      </c>
      <c r="G251" t="s">
        <v>1061</v>
      </c>
      <c r="H251" s="18">
        <v>45203</v>
      </c>
      <c r="I251" t="s">
        <v>272</v>
      </c>
      <c r="J251" t="s">
        <v>20</v>
      </c>
      <c r="K251" t="s">
        <v>1030</v>
      </c>
      <c r="L251">
        <v>41</v>
      </c>
      <c r="M251" t="s">
        <v>21</v>
      </c>
      <c r="N251">
        <v>2</v>
      </c>
      <c r="O251">
        <v>30</v>
      </c>
      <c r="P251">
        <v>60</v>
      </c>
      <c r="Q251">
        <v>0.89999999999999991</v>
      </c>
      <c r="R251">
        <v>1.2</v>
      </c>
    </row>
    <row r="252" spans="1:18" x14ac:dyDescent="0.35">
      <c r="A252">
        <v>248</v>
      </c>
      <c r="B252">
        <v>9</v>
      </c>
      <c r="C252">
        <v>3</v>
      </c>
      <c r="D252">
        <v>2023</v>
      </c>
      <c r="E252" t="s">
        <v>1072</v>
      </c>
      <c r="F252" t="s">
        <v>1066</v>
      </c>
      <c r="G252" t="s">
        <v>1061</v>
      </c>
      <c r="H252" s="18">
        <v>44994</v>
      </c>
      <c r="I252" t="s">
        <v>273</v>
      </c>
      <c r="J252" t="s">
        <v>20</v>
      </c>
      <c r="K252" t="s">
        <v>1034</v>
      </c>
      <c r="L252">
        <v>26</v>
      </c>
      <c r="M252" t="s">
        <v>21</v>
      </c>
      <c r="N252">
        <v>3</v>
      </c>
      <c r="O252">
        <v>300</v>
      </c>
      <c r="P252">
        <v>900</v>
      </c>
      <c r="Q252">
        <v>13.5</v>
      </c>
      <c r="R252">
        <v>18</v>
      </c>
    </row>
    <row r="253" spans="1:18" x14ac:dyDescent="0.35">
      <c r="A253">
        <v>249</v>
      </c>
      <c r="B253">
        <v>20</v>
      </c>
      <c r="C253">
        <v>10</v>
      </c>
      <c r="D253">
        <v>2023</v>
      </c>
      <c r="E253" t="s">
        <v>1070</v>
      </c>
      <c r="F253" t="s">
        <v>1064</v>
      </c>
      <c r="G253" t="s">
        <v>1061</v>
      </c>
      <c r="H253" s="18">
        <v>45219</v>
      </c>
      <c r="I253" t="s">
        <v>274</v>
      </c>
      <c r="J253" t="s">
        <v>20</v>
      </c>
      <c r="K253" t="s">
        <v>1034</v>
      </c>
      <c r="L253">
        <v>20</v>
      </c>
      <c r="M253" t="s">
        <v>21</v>
      </c>
      <c r="N253">
        <v>1</v>
      </c>
      <c r="O253">
        <v>50</v>
      </c>
      <c r="P253">
        <v>50</v>
      </c>
      <c r="Q253">
        <v>0.75</v>
      </c>
      <c r="R253">
        <v>1</v>
      </c>
    </row>
    <row r="254" spans="1:18" x14ac:dyDescent="0.35">
      <c r="A254">
        <v>250</v>
      </c>
      <c r="B254">
        <v>23</v>
      </c>
      <c r="C254">
        <v>10</v>
      </c>
      <c r="D254">
        <v>2023</v>
      </c>
      <c r="E254" t="s">
        <v>1067</v>
      </c>
      <c r="F254" t="s">
        <v>1064</v>
      </c>
      <c r="G254" t="s">
        <v>1061</v>
      </c>
      <c r="H254" s="18">
        <v>45222</v>
      </c>
      <c r="I254" t="s">
        <v>275</v>
      </c>
      <c r="J254" t="s">
        <v>20</v>
      </c>
      <c r="K254" t="s">
        <v>1030</v>
      </c>
      <c r="L254">
        <v>48</v>
      </c>
      <c r="M254" t="s">
        <v>21</v>
      </c>
      <c r="N254">
        <v>1</v>
      </c>
      <c r="O254">
        <v>50</v>
      </c>
      <c r="P254">
        <v>50</v>
      </c>
      <c r="Q254">
        <v>0.75</v>
      </c>
      <c r="R254">
        <v>1</v>
      </c>
    </row>
    <row r="255" spans="1:18" x14ac:dyDescent="0.35">
      <c r="A255">
        <v>251</v>
      </c>
      <c r="B255">
        <v>31</v>
      </c>
      <c r="C255">
        <v>8</v>
      </c>
      <c r="D255">
        <v>2023</v>
      </c>
      <c r="E255" t="s">
        <v>1072</v>
      </c>
      <c r="F255" t="s">
        <v>1074</v>
      </c>
      <c r="G255" t="s">
        <v>1061</v>
      </c>
      <c r="H255" s="18">
        <v>45169</v>
      </c>
      <c r="I255" t="s">
        <v>276</v>
      </c>
      <c r="J255" t="s">
        <v>23</v>
      </c>
      <c r="K255" t="s">
        <v>1032</v>
      </c>
      <c r="L255">
        <v>57</v>
      </c>
      <c r="M255" t="s">
        <v>21</v>
      </c>
      <c r="N255">
        <v>4</v>
      </c>
      <c r="O255">
        <v>50</v>
      </c>
      <c r="P255">
        <v>200</v>
      </c>
      <c r="Q255">
        <v>3</v>
      </c>
      <c r="R255">
        <v>4</v>
      </c>
    </row>
    <row r="256" spans="1:18" x14ac:dyDescent="0.35">
      <c r="A256">
        <v>252</v>
      </c>
      <c r="B256">
        <v>5</v>
      </c>
      <c r="C256">
        <v>5</v>
      </c>
      <c r="D256">
        <v>2023</v>
      </c>
      <c r="E256" t="s">
        <v>1070</v>
      </c>
      <c r="F256" t="s">
        <v>1076</v>
      </c>
      <c r="G256" t="s">
        <v>1061</v>
      </c>
      <c r="H256" s="18">
        <v>45051</v>
      </c>
      <c r="I256" t="s">
        <v>277</v>
      </c>
      <c r="J256" t="s">
        <v>20</v>
      </c>
      <c r="K256" t="s">
        <v>1032</v>
      </c>
      <c r="L256">
        <v>54</v>
      </c>
      <c r="M256" t="s">
        <v>21</v>
      </c>
      <c r="N256">
        <v>1</v>
      </c>
      <c r="O256">
        <v>300</v>
      </c>
      <c r="P256">
        <v>300</v>
      </c>
      <c r="Q256">
        <v>4.5</v>
      </c>
      <c r="R256">
        <v>6</v>
      </c>
    </row>
    <row r="257" spans="1:18" x14ac:dyDescent="0.35">
      <c r="A257">
        <v>253</v>
      </c>
      <c r="B257">
        <v>31</v>
      </c>
      <c r="C257">
        <v>8</v>
      </c>
      <c r="D257">
        <v>2023</v>
      </c>
      <c r="E257" t="s">
        <v>1072</v>
      </c>
      <c r="F257" t="s">
        <v>1074</v>
      </c>
      <c r="G257" t="s">
        <v>1061</v>
      </c>
      <c r="H257" s="18">
        <v>45169</v>
      </c>
      <c r="I257" t="s">
        <v>278</v>
      </c>
      <c r="J257" t="s">
        <v>23</v>
      </c>
      <c r="K257" t="s">
        <v>1032</v>
      </c>
      <c r="L257">
        <v>53</v>
      </c>
      <c r="M257" t="s">
        <v>21</v>
      </c>
      <c r="N257">
        <v>4</v>
      </c>
      <c r="O257">
        <v>500</v>
      </c>
      <c r="P257">
        <v>2000</v>
      </c>
      <c r="Q257">
        <v>30</v>
      </c>
      <c r="R257">
        <v>40</v>
      </c>
    </row>
    <row r="258" spans="1:18" x14ac:dyDescent="0.35">
      <c r="A258">
        <v>254</v>
      </c>
      <c r="B258">
        <v>28</v>
      </c>
      <c r="C258">
        <v>7</v>
      </c>
      <c r="D258">
        <v>2023</v>
      </c>
      <c r="E258" t="s">
        <v>1070</v>
      </c>
      <c r="F258" t="s">
        <v>1078</v>
      </c>
      <c r="G258" t="s">
        <v>1061</v>
      </c>
      <c r="H258" s="18">
        <v>45135</v>
      </c>
      <c r="I258" t="s">
        <v>279</v>
      </c>
      <c r="J258" t="s">
        <v>20</v>
      </c>
      <c r="K258" t="s">
        <v>1030</v>
      </c>
      <c r="L258">
        <v>41</v>
      </c>
      <c r="M258" t="s">
        <v>21</v>
      </c>
      <c r="N258">
        <v>1</v>
      </c>
      <c r="O258">
        <v>500</v>
      </c>
      <c r="P258">
        <v>500</v>
      </c>
      <c r="Q258">
        <v>7.5</v>
      </c>
      <c r="R258">
        <v>10</v>
      </c>
    </row>
    <row r="259" spans="1:18" x14ac:dyDescent="0.35">
      <c r="A259">
        <v>255</v>
      </c>
      <c r="B259">
        <v>8</v>
      </c>
      <c r="C259">
        <v>4</v>
      </c>
      <c r="D259">
        <v>2023</v>
      </c>
      <c r="E259" t="s">
        <v>1075</v>
      </c>
      <c r="F259" t="s">
        <v>1077</v>
      </c>
      <c r="G259" t="s">
        <v>1061</v>
      </c>
      <c r="H259" s="18">
        <v>45024</v>
      </c>
      <c r="I259" t="s">
        <v>280</v>
      </c>
      <c r="J259" t="s">
        <v>20</v>
      </c>
      <c r="K259" t="s">
        <v>1030</v>
      </c>
      <c r="L259">
        <v>48</v>
      </c>
      <c r="M259" t="s">
        <v>21</v>
      </c>
      <c r="N259">
        <v>1</v>
      </c>
      <c r="O259">
        <v>30</v>
      </c>
      <c r="P259">
        <v>30</v>
      </c>
      <c r="Q259">
        <v>0.44999999999999996</v>
      </c>
      <c r="R259">
        <v>0.6</v>
      </c>
    </row>
    <row r="260" spans="1:18" x14ac:dyDescent="0.35">
      <c r="A260">
        <v>256</v>
      </c>
      <c r="B260">
        <v>18</v>
      </c>
      <c r="C260">
        <v>2</v>
      </c>
      <c r="D260">
        <v>2023</v>
      </c>
      <c r="E260" t="s">
        <v>1075</v>
      </c>
      <c r="F260" t="s">
        <v>1073</v>
      </c>
      <c r="G260" t="s">
        <v>1061</v>
      </c>
      <c r="H260" s="18">
        <v>44975</v>
      </c>
      <c r="I260" t="s">
        <v>281</v>
      </c>
      <c r="J260" t="s">
        <v>20</v>
      </c>
      <c r="K260" t="s">
        <v>1034</v>
      </c>
      <c r="L260">
        <v>23</v>
      </c>
      <c r="M260" t="s">
        <v>21</v>
      </c>
      <c r="N260">
        <v>2</v>
      </c>
      <c r="O260">
        <v>500</v>
      </c>
      <c r="P260">
        <v>1000</v>
      </c>
      <c r="Q260">
        <v>15</v>
      </c>
      <c r="R260">
        <v>20</v>
      </c>
    </row>
    <row r="261" spans="1:18" x14ac:dyDescent="0.35">
      <c r="A261">
        <v>257</v>
      </c>
      <c r="B261">
        <v>19</v>
      </c>
      <c r="C261">
        <v>2</v>
      </c>
      <c r="D261">
        <v>2023</v>
      </c>
      <c r="E261" t="s">
        <v>1063</v>
      </c>
      <c r="F261" t="s">
        <v>1073</v>
      </c>
      <c r="G261" t="s">
        <v>1061</v>
      </c>
      <c r="H261" s="18">
        <v>44976</v>
      </c>
      <c r="I261" t="s">
        <v>282</v>
      </c>
      <c r="J261" t="s">
        <v>20</v>
      </c>
      <c r="K261" t="s">
        <v>1034</v>
      </c>
      <c r="L261">
        <v>19</v>
      </c>
      <c r="M261" t="s">
        <v>21</v>
      </c>
      <c r="N261">
        <v>4</v>
      </c>
      <c r="O261">
        <v>500</v>
      </c>
      <c r="P261">
        <v>2000</v>
      </c>
      <c r="Q261">
        <v>30</v>
      </c>
      <c r="R261">
        <v>40</v>
      </c>
    </row>
    <row r="262" spans="1:18" x14ac:dyDescent="0.35">
      <c r="A262">
        <v>258</v>
      </c>
      <c r="B262">
        <v>4</v>
      </c>
      <c r="C262">
        <v>12</v>
      </c>
      <c r="D262">
        <v>2023</v>
      </c>
      <c r="E262" t="s">
        <v>1067</v>
      </c>
      <c r="F262" t="s">
        <v>1062</v>
      </c>
      <c r="G262" t="s">
        <v>1061</v>
      </c>
      <c r="H262" s="18">
        <v>45264</v>
      </c>
      <c r="I262" t="s">
        <v>283</v>
      </c>
      <c r="J262" t="s">
        <v>23</v>
      </c>
      <c r="K262" t="s">
        <v>1030</v>
      </c>
      <c r="L262">
        <v>37</v>
      </c>
      <c r="M262" t="s">
        <v>21</v>
      </c>
      <c r="N262">
        <v>1</v>
      </c>
      <c r="O262">
        <v>50</v>
      </c>
      <c r="P262">
        <v>50</v>
      </c>
      <c r="Q262">
        <v>0.75</v>
      </c>
      <c r="R262">
        <v>1</v>
      </c>
    </row>
    <row r="263" spans="1:18" x14ac:dyDescent="0.35">
      <c r="A263">
        <v>259</v>
      </c>
      <c r="B263">
        <v>9</v>
      </c>
      <c r="C263">
        <v>8</v>
      </c>
      <c r="D263">
        <v>2023</v>
      </c>
      <c r="E263" t="s">
        <v>1065</v>
      </c>
      <c r="F263" t="s">
        <v>1074</v>
      </c>
      <c r="G263" t="s">
        <v>1061</v>
      </c>
      <c r="H263" s="18">
        <v>45147</v>
      </c>
      <c r="I263" t="s">
        <v>284</v>
      </c>
      <c r="J263" t="s">
        <v>23</v>
      </c>
      <c r="K263" t="s">
        <v>1030</v>
      </c>
      <c r="L263">
        <v>45</v>
      </c>
      <c r="M263" t="s">
        <v>21</v>
      </c>
      <c r="N263">
        <v>4</v>
      </c>
      <c r="O263">
        <v>50</v>
      </c>
      <c r="P263">
        <v>200</v>
      </c>
      <c r="Q263">
        <v>3</v>
      </c>
      <c r="R263">
        <v>4</v>
      </c>
    </row>
    <row r="264" spans="1:18" x14ac:dyDescent="0.35">
      <c r="A264">
        <v>260</v>
      </c>
      <c r="B264">
        <v>1</v>
      </c>
      <c r="C264">
        <v>7</v>
      </c>
      <c r="D264">
        <v>2023</v>
      </c>
      <c r="E264" t="s">
        <v>1075</v>
      </c>
      <c r="F264" t="s">
        <v>1078</v>
      </c>
      <c r="G264" t="s">
        <v>1061</v>
      </c>
      <c r="H264" s="18">
        <v>45108</v>
      </c>
      <c r="I264" t="s">
        <v>285</v>
      </c>
      <c r="J264" t="s">
        <v>20</v>
      </c>
      <c r="K264" t="s">
        <v>1034</v>
      </c>
      <c r="L264">
        <v>28</v>
      </c>
      <c r="M264" t="s">
        <v>21</v>
      </c>
      <c r="N264">
        <v>2</v>
      </c>
      <c r="O264">
        <v>30</v>
      </c>
      <c r="P264">
        <v>60</v>
      </c>
      <c r="Q264">
        <v>0.89999999999999991</v>
      </c>
      <c r="R264">
        <v>1.2</v>
      </c>
    </row>
    <row r="265" spans="1:18" x14ac:dyDescent="0.35">
      <c r="A265">
        <v>261</v>
      </c>
      <c r="B265">
        <v>5</v>
      </c>
      <c r="C265">
        <v>8</v>
      </c>
      <c r="D265">
        <v>2023</v>
      </c>
      <c r="E265" t="s">
        <v>1075</v>
      </c>
      <c r="F265" t="s">
        <v>1074</v>
      </c>
      <c r="G265" t="s">
        <v>1061</v>
      </c>
      <c r="H265" s="18">
        <v>45143</v>
      </c>
      <c r="I265" t="s">
        <v>286</v>
      </c>
      <c r="J265" t="s">
        <v>20</v>
      </c>
      <c r="K265" t="s">
        <v>1034</v>
      </c>
      <c r="L265">
        <v>21</v>
      </c>
      <c r="M265" t="s">
        <v>21</v>
      </c>
      <c r="N265">
        <v>2</v>
      </c>
      <c r="O265">
        <v>25</v>
      </c>
      <c r="P265">
        <v>50</v>
      </c>
      <c r="Q265">
        <v>0.75</v>
      </c>
      <c r="R265">
        <v>1</v>
      </c>
    </row>
    <row r="266" spans="1:18" x14ac:dyDescent="0.35">
      <c r="A266">
        <v>262</v>
      </c>
      <c r="B266">
        <v>30</v>
      </c>
      <c r="C266">
        <v>7</v>
      </c>
      <c r="D266">
        <v>2023</v>
      </c>
      <c r="E266" t="s">
        <v>1063</v>
      </c>
      <c r="F266" t="s">
        <v>1078</v>
      </c>
      <c r="G266" t="s">
        <v>1061</v>
      </c>
      <c r="H266" s="18">
        <v>45137</v>
      </c>
      <c r="I266" t="s">
        <v>287</v>
      </c>
      <c r="J266" t="s">
        <v>23</v>
      </c>
      <c r="K266" t="s">
        <v>1030</v>
      </c>
      <c r="L266">
        <v>32</v>
      </c>
      <c r="M266" t="s">
        <v>21</v>
      </c>
      <c r="N266">
        <v>4</v>
      </c>
      <c r="O266">
        <v>30</v>
      </c>
      <c r="P266">
        <v>120</v>
      </c>
      <c r="Q266">
        <v>1.7999999999999998</v>
      </c>
      <c r="R266">
        <v>2.4</v>
      </c>
    </row>
    <row r="267" spans="1:18" x14ac:dyDescent="0.35">
      <c r="A267">
        <v>263</v>
      </c>
      <c r="B267">
        <v>28</v>
      </c>
      <c r="C267">
        <v>8</v>
      </c>
      <c r="D267">
        <v>2023</v>
      </c>
      <c r="E267" t="s">
        <v>1067</v>
      </c>
      <c r="F267" t="s">
        <v>1074</v>
      </c>
      <c r="G267" t="s">
        <v>1061</v>
      </c>
      <c r="H267" s="18">
        <v>45166</v>
      </c>
      <c r="I267" t="s">
        <v>288</v>
      </c>
      <c r="J267" t="s">
        <v>20</v>
      </c>
      <c r="K267" t="s">
        <v>1034</v>
      </c>
      <c r="L267">
        <v>23</v>
      </c>
      <c r="M267" t="s">
        <v>21</v>
      </c>
      <c r="N267">
        <v>2</v>
      </c>
      <c r="O267">
        <v>30</v>
      </c>
      <c r="P267">
        <v>60</v>
      </c>
      <c r="Q267">
        <v>0.89999999999999991</v>
      </c>
      <c r="R267">
        <v>1.2</v>
      </c>
    </row>
    <row r="268" spans="1:18" x14ac:dyDescent="0.35">
      <c r="A268">
        <v>264</v>
      </c>
      <c r="B268">
        <v>28</v>
      </c>
      <c r="C268">
        <v>1</v>
      </c>
      <c r="D268">
        <v>2023</v>
      </c>
      <c r="E268" t="s">
        <v>1075</v>
      </c>
      <c r="F268" t="s">
        <v>1060</v>
      </c>
      <c r="G268" t="s">
        <v>1061</v>
      </c>
      <c r="H268" s="18">
        <v>44954</v>
      </c>
      <c r="I268" t="s">
        <v>289</v>
      </c>
      <c r="J268" t="s">
        <v>20</v>
      </c>
      <c r="K268" t="s">
        <v>1030</v>
      </c>
      <c r="L268">
        <v>47</v>
      </c>
      <c r="M268" t="s">
        <v>21</v>
      </c>
      <c r="N268">
        <v>3</v>
      </c>
      <c r="O268">
        <v>300</v>
      </c>
      <c r="P268">
        <v>900</v>
      </c>
      <c r="Q268">
        <v>13.5</v>
      </c>
      <c r="R268">
        <v>18</v>
      </c>
    </row>
    <row r="269" spans="1:18" x14ac:dyDescent="0.35">
      <c r="A269">
        <v>265</v>
      </c>
      <c r="B269">
        <v>11</v>
      </c>
      <c r="C269">
        <v>12</v>
      </c>
      <c r="D269">
        <v>2023</v>
      </c>
      <c r="E269" t="s">
        <v>1067</v>
      </c>
      <c r="F269" t="s">
        <v>1062</v>
      </c>
      <c r="G269" t="s">
        <v>1061</v>
      </c>
      <c r="H269" s="18">
        <v>45271</v>
      </c>
      <c r="I269" t="s">
        <v>290</v>
      </c>
      <c r="J269" t="s">
        <v>20</v>
      </c>
      <c r="K269" t="s">
        <v>1032</v>
      </c>
      <c r="L269">
        <v>55</v>
      </c>
      <c r="M269" t="s">
        <v>21</v>
      </c>
      <c r="N269">
        <v>3</v>
      </c>
      <c r="O269">
        <v>300</v>
      </c>
      <c r="P269">
        <v>900</v>
      </c>
      <c r="Q269">
        <v>13.5</v>
      </c>
      <c r="R269">
        <v>18</v>
      </c>
    </row>
    <row r="270" spans="1:18" x14ac:dyDescent="0.35">
      <c r="A270">
        <v>266</v>
      </c>
      <c r="B270">
        <v>1</v>
      </c>
      <c r="C270">
        <v>12</v>
      </c>
      <c r="D270">
        <v>2023</v>
      </c>
      <c r="E270" t="s">
        <v>1070</v>
      </c>
      <c r="F270" t="s">
        <v>1062</v>
      </c>
      <c r="G270" t="s">
        <v>1061</v>
      </c>
      <c r="H270" s="18">
        <v>45261</v>
      </c>
      <c r="I270" t="s">
        <v>291</v>
      </c>
      <c r="J270" t="s">
        <v>23</v>
      </c>
      <c r="K270" t="s">
        <v>1034</v>
      </c>
      <c r="L270">
        <v>19</v>
      </c>
      <c r="M270" t="s">
        <v>21</v>
      </c>
      <c r="N270">
        <v>2</v>
      </c>
      <c r="O270">
        <v>30</v>
      </c>
      <c r="P270">
        <v>60</v>
      </c>
      <c r="Q270">
        <v>0.89999999999999991</v>
      </c>
      <c r="R270">
        <v>1.2</v>
      </c>
    </row>
    <row r="271" spans="1:18" x14ac:dyDescent="0.35">
      <c r="A271">
        <v>267</v>
      </c>
      <c r="B271">
        <v>27</v>
      </c>
      <c r="C271">
        <v>11</v>
      </c>
      <c r="D271">
        <v>2023</v>
      </c>
      <c r="E271" t="s">
        <v>1067</v>
      </c>
      <c r="F271" t="s">
        <v>1068</v>
      </c>
      <c r="G271" t="s">
        <v>1061</v>
      </c>
      <c r="H271" s="18">
        <v>45257</v>
      </c>
      <c r="I271" t="s">
        <v>292</v>
      </c>
      <c r="J271" t="s">
        <v>23</v>
      </c>
      <c r="K271" t="s">
        <v>1030</v>
      </c>
      <c r="L271">
        <v>32</v>
      </c>
      <c r="M271" t="s">
        <v>21</v>
      </c>
      <c r="N271">
        <v>3</v>
      </c>
      <c r="O271">
        <v>30</v>
      </c>
      <c r="P271">
        <v>90</v>
      </c>
      <c r="Q271">
        <v>1.3499999999999999</v>
      </c>
      <c r="R271">
        <v>1.8</v>
      </c>
    </row>
    <row r="272" spans="1:18" x14ac:dyDescent="0.35">
      <c r="A272">
        <v>268</v>
      </c>
      <c r="B272">
        <v>20</v>
      </c>
      <c r="C272">
        <v>2</v>
      </c>
      <c r="D272">
        <v>2023</v>
      </c>
      <c r="E272" t="s">
        <v>1067</v>
      </c>
      <c r="F272" t="s">
        <v>1073</v>
      </c>
      <c r="G272" t="s">
        <v>1061</v>
      </c>
      <c r="H272" s="18">
        <v>44977</v>
      </c>
      <c r="I272" t="s">
        <v>293</v>
      </c>
      <c r="J272" t="s">
        <v>23</v>
      </c>
      <c r="K272" t="s">
        <v>1034</v>
      </c>
      <c r="L272">
        <v>28</v>
      </c>
      <c r="M272" t="s">
        <v>21</v>
      </c>
      <c r="N272">
        <v>1</v>
      </c>
      <c r="O272">
        <v>30</v>
      </c>
      <c r="P272">
        <v>30</v>
      </c>
      <c r="Q272">
        <v>0.44999999999999996</v>
      </c>
      <c r="R272">
        <v>0.6</v>
      </c>
    </row>
    <row r="273" spans="1:18" x14ac:dyDescent="0.35">
      <c r="A273">
        <v>269</v>
      </c>
      <c r="B273">
        <v>1</v>
      </c>
      <c r="C273">
        <v>2</v>
      </c>
      <c r="D273">
        <v>2023</v>
      </c>
      <c r="E273" t="s">
        <v>1065</v>
      </c>
      <c r="F273" t="s">
        <v>1073</v>
      </c>
      <c r="G273" t="s">
        <v>1061</v>
      </c>
      <c r="H273" s="18">
        <v>44958</v>
      </c>
      <c r="I273" t="s">
        <v>294</v>
      </c>
      <c r="J273" t="s">
        <v>20</v>
      </c>
      <c r="K273" t="s">
        <v>1034</v>
      </c>
      <c r="L273">
        <v>25</v>
      </c>
      <c r="M273" t="s">
        <v>21</v>
      </c>
      <c r="N273">
        <v>4</v>
      </c>
      <c r="O273">
        <v>500</v>
      </c>
      <c r="P273">
        <v>2000</v>
      </c>
      <c r="Q273">
        <v>30</v>
      </c>
      <c r="R273">
        <v>40</v>
      </c>
    </row>
    <row r="274" spans="1:18" x14ac:dyDescent="0.35">
      <c r="A274">
        <v>270</v>
      </c>
      <c r="B274">
        <v>26</v>
      </c>
      <c r="C274">
        <v>7</v>
      </c>
      <c r="D274">
        <v>2023</v>
      </c>
      <c r="E274" t="s">
        <v>1065</v>
      </c>
      <c r="F274" t="s">
        <v>1078</v>
      </c>
      <c r="G274" t="s">
        <v>1061</v>
      </c>
      <c r="H274" s="18">
        <v>45133</v>
      </c>
      <c r="I274" t="s">
        <v>295</v>
      </c>
      <c r="J274" t="s">
        <v>20</v>
      </c>
      <c r="K274" t="s">
        <v>1030</v>
      </c>
      <c r="L274">
        <v>43</v>
      </c>
      <c r="M274" t="s">
        <v>21</v>
      </c>
      <c r="N274">
        <v>1</v>
      </c>
      <c r="O274">
        <v>300</v>
      </c>
      <c r="P274">
        <v>300</v>
      </c>
      <c r="Q274">
        <v>4.5</v>
      </c>
      <c r="R274">
        <v>6</v>
      </c>
    </row>
    <row r="275" spans="1:18" x14ac:dyDescent="0.35">
      <c r="A275">
        <v>271</v>
      </c>
      <c r="B275">
        <v>23</v>
      </c>
      <c r="C275">
        <v>6</v>
      </c>
      <c r="D275">
        <v>2023</v>
      </c>
      <c r="E275" t="s">
        <v>1070</v>
      </c>
      <c r="F275" t="s">
        <v>1069</v>
      </c>
      <c r="G275" t="s">
        <v>1061</v>
      </c>
      <c r="H275" s="18">
        <v>45100</v>
      </c>
      <c r="I275" t="s">
        <v>296</v>
      </c>
      <c r="J275" t="s">
        <v>23</v>
      </c>
      <c r="K275" t="s">
        <v>1032</v>
      </c>
      <c r="L275">
        <v>62</v>
      </c>
      <c r="M275" t="s">
        <v>21</v>
      </c>
      <c r="N275">
        <v>4</v>
      </c>
      <c r="O275">
        <v>30</v>
      </c>
      <c r="P275">
        <v>120</v>
      </c>
      <c r="Q275">
        <v>1.7999999999999998</v>
      </c>
      <c r="R275">
        <v>2.4</v>
      </c>
    </row>
    <row r="276" spans="1:18" x14ac:dyDescent="0.35">
      <c r="A276">
        <v>272</v>
      </c>
      <c r="B276">
        <v>25</v>
      </c>
      <c r="C276">
        <v>2</v>
      </c>
      <c r="D276">
        <v>2023</v>
      </c>
      <c r="E276" t="s">
        <v>1075</v>
      </c>
      <c r="F276" t="s">
        <v>1073</v>
      </c>
      <c r="G276" t="s">
        <v>1061</v>
      </c>
      <c r="H276" s="18">
        <v>44982</v>
      </c>
      <c r="I276" t="s">
        <v>297</v>
      </c>
      <c r="J276" t="s">
        <v>23</v>
      </c>
      <c r="K276" t="s">
        <v>1032</v>
      </c>
      <c r="L276">
        <v>61</v>
      </c>
      <c r="M276" t="s">
        <v>21</v>
      </c>
      <c r="N276">
        <v>2</v>
      </c>
      <c r="O276">
        <v>50</v>
      </c>
      <c r="P276">
        <v>100</v>
      </c>
      <c r="Q276">
        <v>1.5</v>
      </c>
      <c r="R276">
        <v>2</v>
      </c>
    </row>
    <row r="277" spans="1:18" x14ac:dyDescent="0.35">
      <c r="A277">
        <v>273</v>
      </c>
      <c r="B277">
        <v>8</v>
      </c>
      <c r="C277">
        <v>5</v>
      </c>
      <c r="D277">
        <v>2023</v>
      </c>
      <c r="E277" t="s">
        <v>1067</v>
      </c>
      <c r="F277" t="s">
        <v>1076</v>
      </c>
      <c r="G277" t="s">
        <v>1061</v>
      </c>
      <c r="H277" s="18">
        <v>45054</v>
      </c>
      <c r="I277" t="s">
        <v>298</v>
      </c>
      <c r="J277" t="s">
        <v>23</v>
      </c>
      <c r="K277" t="s">
        <v>1034</v>
      </c>
      <c r="L277">
        <v>22</v>
      </c>
      <c r="M277" t="s">
        <v>21</v>
      </c>
      <c r="N277">
        <v>1</v>
      </c>
      <c r="O277">
        <v>50</v>
      </c>
      <c r="P277">
        <v>50</v>
      </c>
      <c r="Q277">
        <v>0.75</v>
      </c>
      <c r="R277">
        <v>1</v>
      </c>
    </row>
    <row r="278" spans="1:18" x14ac:dyDescent="0.35">
      <c r="A278">
        <v>274</v>
      </c>
      <c r="B278">
        <v>9</v>
      </c>
      <c r="C278">
        <v>4</v>
      </c>
      <c r="D278">
        <v>2023</v>
      </c>
      <c r="E278" t="s">
        <v>1063</v>
      </c>
      <c r="F278" t="s">
        <v>1077</v>
      </c>
      <c r="G278" t="s">
        <v>1061</v>
      </c>
      <c r="H278" s="18">
        <v>45025</v>
      </c>
      <c r="I278" t="s">
        <v>299</v>
      </c>
      <c r="J278" t="s">
        <v>23</v>
      </c>
      <c r="K278" t="s">
        <v>1034</v>
      </c>
      <c r="L278">
        <v>23</v>
      </c>
      <c r="M278" t="s">
        <v>21</v>
      </c>
      <c r="N278">
        <v>2</v>
      </c>
      <c r="O278">
        <v>500</v>
      </c>
      <c r="P278">
        <v>1000</v>
      </c>
      <c r="Q278">
        <v>15</v>
      </c>
      <c r="R278">
        <v>20</v>
      </c>
    </row>
    <row r="279" spans="1:18" x14ac:dyDescent="0.35">
      <c r="A279">
        <v>275</v>
      </c>
      <c r="B279">
        <v>8</v>
      </c>
      <c r="C279">
        <v>4</v>
      </c>
      <c r="D279">
        <v>2023</v>
      </c>
      <c r="E279" t="s">
        <v>1075</v>
      </c>
      <c r="F279" t="s">
        <v>1077</v>
      </c>
      <c r="G279" t="s">
        <v>1061</v>
      </c>
      <c r="H279" s="18">
        <v>45024</v>
      </c>
      <c r="I279" t="s">
        <v>300</v>
      </c>
      <c r="J279" t="s">
        <v>20</v>
      </c>
      <c r="K279" t="s">
        <v>1030</v>
      </c>
      <c r="L279">
        <v>43</v>
      </c>
      <c r="M279" t="s">
        <v>21</v>
      </c>
      <c r="N279">
        <v>2</v>
      </c>
      <c r="O279">
        <v>500</v>
      </c>
      <c r="P279">
        <v>1000</v>
      </c>
      <c r="Q279">
        <v>15</v>
      </c>
      <c r="R279">
        <v>20</v>
      </c>
    </row>
    <row r="280" spans="1:18" x14ac:dyDescent="0.35">
      <c r="A280">
        <v>276</v>
      </c>
      <c r="B280">
        <v>2</v>
      </c>
      <c r="C280">
        <v>10</v>
      </c>
      <c r="D280">
        <v>2023</v>
      </c>
      <c r="E280" t="s">
        <v>1067</v>
      </c>
      <c r="F280" t="s">
        <v>1064</v>
      </c>
      <c r="G280" t="s">
        <v>1061</v>
      </c>
      <c r="H280" s="18">
        <v>45201</v>
      </c>
      <c r="I280" t="s">
        <v>301</v>
      </c>
      <c r="J280" t="s">
        <v>23</v>
      </c>
      <c r="K280" t="s">
        <v>1034</v>
      </c>
      <c r="L280">
        <v>21</v>
      </c>
      <c r="M280" t="s">
        <v>21</v>
      </c>
      <c r="N280">
        <v>4</v>
      </c>
      <c r="O280">
        <v>25</v>
      </c>
      <c r="P280">
        <v>100</v>
      </c>
      <c r="Q280">
        <v>1.5</v>
      </c>
      <c r="R280">
        <v>2</v>
      </c>
    </row>
    <row r="281" spans="1:18" x14ac:dyDescent="0.35">
      <c r="A281">
        <v>277</v>
      </c>
      <c r="B281">
        <v>18</v>
      </c>
      <c r="C281">
        <v>8</v>
      </c>
      <c r="D281">
        <v>2023</v>
      </c>
      <c r="E281" t="s">
        <v>1070</v>
      </c>
      <c r="F281" t="s">
        <v>1074</v>
      </c>
      <c r="G281" t="s">
        <v>1061</v>
      </c>
      <c r="H281" s="18">
        <v>45156</v>
      </c>
      <c r="I281" t="s">
        <v>302</v>
      </c>
      <c r="J281" t="s">
        <v>20</v>
      </c>
      <c r="K281" t="s">
        <v>1030</v>
      </c>
      <c r="L281">
        <v>36</v>
      </c>
      <c r="M281" t="s">
        <v>21</v>
      </c>
      <c r="N281">
        <v>4</v>
      </c>
      <c r="O281">
        <v>25</v>
      </c>
      <c r="P281">
        <v>100</v>
      </c>
      <c r="Q281">
        <v>1.5</v>
      </c>
      <c r="R281">
        <v>2</v>
      </c>
    </row>
    <row r="282" spans="1:18" x14ac:dyDescent="0.35">
      <c r="A282">
        <v>278</v>
      </c>
      <c r="B282">
        <v>13</v>
      </c>
      <c r="C282">
        <v>3</v>
      </c>
      <c r="D282">
        <v>2023</v>
      </c>
      <c r="E282" t="s">
        <v>1067</v>
      </c>
      <c r="F282" t="s">
        <v>1066</v>
      </c>
      <c r="G282" t="s">
        <v>1061</v>
      </c>
      <c r="H282" s="18">
        <v>44998</v>
      </c>
      <c r="I282" t="s">
        <v>303</v>
      </c>
      <c r="J282" t="s">
        <v>23</v>
      </c>
      <c r="K282" t="s">
        <v>1030</v>
      </c>
      <c r="L282">
        <v>37</v>
      </c>
      <c r="M282" t="s">
        <v>21</v>
      </c>
      <c r="N282">
        <v>4</v>
      </c>
      <c r="O282">
        <v>25</v>
      </c>
      <c r="P282">
        <v>100</v>
      </c>
      <c r="Q282">
        <v>1.5</v>
      </c>
      <c r="R282">
        <v>2</v>
      </c>
    </row>
    <row r="283" spans="1:18" x14ac:dyDescent="0.35">
      <c r="A283">
        <v>279</v>
      </c>
      <c r="B283">
        <v>5</v>
      </c>
      <c r="C283">
        <v>8</v>
      </c>
      <c r="D283">
        <v>2023</v>
      </c>
      <c r="E283" t="s">
        <v>1075</v>
      </c>
      <c r="F283" t="s">
        <v>1074</v>
      </c>
      <c r="G283" t="s">
        <v>1061</v>
      </c>
      <c r="H283" s="18">
        <v>45143</v>
      </c>
      <c r="I283" t="s">
        <v>304</v>
      </c>
      <c r="J283" t="s">
        <v>20</v>
      </c>
      <c r="K283" t="s">
        <v>1030</v>
      </c>
      <c r="L283">
        <v>50</v>
      </c>
      <c r="M283" t="s">
        <v>21</v>
      </c>
      <c r="N283">
        <v>1</v>
      </c>
      <c r="O283">
        <v>500</v>
      </c>
      <c r="P283">
        <v>500</v>
      </c>
      <c r="Q283">
        <v>7.5</v>
      </c>
      <c r="R283">
        <v>10</v>
      </c>
    </row>
    <row r="284" spans="1:18" x14ac:dyDescent="0.35">
      <c r="A284">
        <v>280</v>
      </c>
      <c r="B284">
        <v>4</v>
      </c>
      <c r="C284">
        <v>4</v>
      </c>
      <c r="D284">
        <v>2023</v>
      </c>
      <c r="E284" t="s">
        <v>1059</v>
      </c>
      <c r="F284" t="s">
        <v>1077</v>
      </c>
      <c r="G284" t="s">
        <v>1061</v>
      </c>
      <c r="H284" s="18">
        <v>45020</v>
      </c>
      <c r="I284" t="s">
        <v>305</v>
      </c>
      <c r="J284" t="s">
        <v>23</v>
      </c>
      <c r="K284" t="s">
        <v>1030</v>
      </c>
      <c r="L284">
        <v>37</v>
      </c>
      <c r="M284" t="s">
        <v>21</v>
      </c>
      <c r="N284">
        <v>3</v>
      </c>
      <c r="O284">
        <v>500</v>
      </c>
      <c r="P284">
        <v>1500</v>
      </c>
      <c r="Q284">
        <v>22.5</v>
      </c>
      <c r="R284">
        <v>30</v>
      </c>
    </row>
    <row r="285" spans="1:18" x14ac:dyDescent="0.35">
      <c r="A285">
        <v>281</v>
      </c>
      <c r="B285">
        <v>23</v>
      </c>
      <c r="C285">
        <v>5</v>
      </c>
      <c r="D285">
        <v>2023</v>
      </c>
      <c r="E285" t="s">
        <v>1059</v>
      </c>
      <c r="F285" t="s">
        <v>1076</v>
      </c>
      <c r="G285" t="s">
        <v>1061</v>
      </c>
      <c r="H285" s="18">
        <v>45069</v>
      </c>
      <c r="I285" t="s">
        <v>306</v>
      </c>
      <c r="J285" t="s">
        <v>23</v>
      </c>
      <c r="K285" t="s">
        <v>1034</v>
      </c>
      <c r="L285">
        <v>29</v>
      </c>
      <c r="M285" t="s">
        <v>21</v>
      </c>
      <c r="N285">
        <v>4</v>
      </c>
      <c r="O285">
        <v>500</v>
      </c>
      <c r="P285">
        <v>2000</v>
      </c>
      <c r="Q285">
        <v>30</v>
      </c>
      <c r="R285">
        <v>40</v>
      </c>
    </row>
    <row r="286" spans="1:18" x14ac:dyDescent="0.35">
      <c r="A286">
        <v>282</v>
      </c>
      <c r="B286">
        <v>25</v>
      </c>
      <c r="C286">
        <v>8</v>
      </c>
      <c r="D286">
        <v>2023</v>
      </c>
      <c r="E286" t="s">
        <v>1070</v>
      </c>
      <c r="F286" t="s">
        <v>1074</v>
      </c>
      <c r="G286" t="s">
        <v>1061</v>
      </c>
      <c r="H286" s="18">
        <v>45163</v>
      </c>
      <c r="I286" t="s">
        <v>307</v>
      </c>
      <c r="J286" t="s">
        <v>23</v>
      </c>
      <c r="K286" t="s">
        <v>1032</v>
      </c>
      <c r="L286">
        <v>64</v>
      </c>
      <c r="M286" t="s">
        <v>21</v>
      </c>
      <c r="N286">
        <v>4</v>
      </c>
      <c r="O286">
        <v>50</v>
      </c>
      <c r="P286">
        <v>200</v>
      </c>
      <c r="Q286">
        <v>3</v>
      </c>
      <c r="R286">
        <v>4</v>
      </c>
    </row>
    <row r="287" spans="1:18" x14ac:dyDescent="0.35">
      <c r="A287">
        <v>283</v>
      </c>
      <c r="B287">
        <v>8</v>
      </c>
      <c r="C287">
        <v>5</v>
      </c>
      <c r="D287">
        <v>2023</v>
      </c>
      <c r="E287" t="s">
        <v>1067</v>
      </c>
      <c r="F287" t="s">
        <v>1076</v>
      </c>
      <c r="G287" t="s">
        <v>1061</v>
      </c>
      <c r="H287" s="18">
        <v>45054</v>
      </c>
      <c r="I287" t="s">
        <v>308</v>
      </c>
      <c r="J287" t="s">
        <v>23</v>
      </c>
      <c r="K287" t="s">
        <v>1034</v>
      </c>
      <c r="L287">
        <v>18</v>
      </c>
      <c r="M287" t="s">
        <v>21</v>
      </c>
      <c r="N287">
        <v>1</v>
      </c>
      <c r="O287">
        <v>500</v>
      </c>
      <c r="P287">
        <v>500</v>
      </c>
      <c r="Q287">
        <v>7.5</v>
      </c>
      <c r="R287">
        <v>10</v>
      </c>
    </row>
    <row r="288" spans="1:18" x14ac:dyDescent="0.35">
      <c r="A288">
        <v>284</v>
      </c>
      <c r="B288">
        <v>8</v>
      </c>
      <c r="C288">
        <v>2</v>
      </c>
      <c r="D288">
        <v>2023</v>
      </c>
      <c r="E288" t="s">
        <v>1065</v>
      </c>
      <c r="F288" t="s">
        <v>1073</v>
      </c>
      <c r="G288" t="s">
        <v>1061</v>
      </c>
      <c r="H288" s="18">
        <v>44965</v>
      </c>
      <c r="I288" t="s">
        <v>309</v>
      </c>
      <c r="J288" t="s">
        <v>20</v>
      </c>
      <c r="K288" t="s">
        <v>1030</v>
      </c>
      <c r="L288">
        <v>43</v>
      </c>
      <c r="M288" t="s">
        <v>21</v>
      </c>
      <c r="N288">
        <v>4</v>
      </c>
      <c r="O288">
        <v>50</v>
      </c>
      <c r="P288">
        <v>200</v>
      </c>
      <c r="Q288">
        <v>3</v>
      </c>
      <c r="R288">
        <v>4</v>
      </c>
    </row>
    <row r="289" spans="1:18" x14ac:dyDescent="0.35">
      <c r="A289">
        <v>285</v>
      </c>
      <c r="B289">
        <v>15</v>
      </c>
      <c r="C289">
        <v>8</v>
      </c>
      <c r="D289">
        <v>2023</v>
      </c>
      <c r="E289" t="s">
        <v>1059</v>
      </c>
      <c r="F289" t="s">
        <v>1074</v>
      </c>
      <c r="G289" t="s">
        <v>1061</v>
      </c>
      <c r="H289" s="18">
        <v>45153</v>
      </c>
      <c r="I289" t="s">
        <v>310</v>
      </c>
      <c r="J289" t="s">
        <v>23</v>
      </c>
      <c r="K289" t="s">
        <v>1030</v>
      </c>
      <c r="L289">
        <v>31</v>
      </c>
      <c r="M289" t="s">
        <v>21</v>
      </c>
      <c r="N289">
        <v>1</v>
      </c>
      <c r="O289">
        <v>25</v>
      </c>
      <c r="P289">
        <v>25</v>
      </c>
      <c r="Q289">
        <v>0.375</v>
      </c>
      <c r="R289">
        <v>0.5</v>
      </c>
    </row>
    <row r="290" spans="1:18" x14ac:dyDescent="0.35">
      <c r="A290">
        <v>286</v>
      </c>
      <c r="B290">
        <v>9</v>
      </c>
      <c r="C290">
        <v>10</v>
      </c>
      <c r="D290">
        <v>2023</v>
      </c>
      <c r="E290" t="s">
        <v>1067</v>
      </c>
      <c r="F290" t="s">
        <v>1064</v>
      </c>
      <c r="G290" t="s">
        <v>1061</v>
      </c>
      <c r="H290" s="18">
        <v>45208</v>
      </c>
      <c r="I290" t="s">
        <v>311</v>
      </c>
      <c r="J290" t="s">
        <v>20</v>
      </c>
      <c r="K290" t="s">
        <v>1032</v>
      </c>
      <c r="L290">
        <v>55</v>
      </c>
      <c r="M290" t="s">
        <v>21</v>
      </c>
      <c r="N290">
        <v>2</v>
      </c>
      <c r="O290">
        <v>25</v>
      </c>
      <c r="P290">
        <v>50</v>
      </c>
      <c r="Q290">
        <v>0.75</v>
      </c>
      <c r="R290">
        <v>1</v>
      </c>
    </row>
    <row r="291" spans="1:18" x14ac:dyDescent="0.35">
      <c r="A291">
        <v>287</v>
      </c>
      <c r="B291">
        <v>20</v>
      </c>
      <c r="C291">
        <v>2</v>
      </c>
      <c r="D291">
        <v>2023</v>
      </c>
      <c r="E291" t="s">
        <v>1067</v>
      </c>
      <c r="F291" t="s">
        <v>1073</v>
      </c>
      <c r="G291" t="s">
        <v>1061</v>
      </c>
      <c r="H291" s="18">
        <v>44977</v>
      </c>
      <c r="I291" t="s">
        <v>312</v>
      </c>
      <c r="J291" t="s">
        <v>20</v>
      </c>
      <c r="K291" t="s">
        <v>1032</v>
      </c>
      <c r="L291">
        <v>54</v>
      </c>
      <c r="M291" t="s">
        <v>21</v>
      </c>
      <c r="N291">
        <v>4</v>
      </c>
      <c r="O291">
        <v>25</v>
      </c>
      <c r="P291">
        <v>100</v>
      </c>
      <c r="Q291">
        <v>1.5</v>
      </c>
      <c r="R291">
        <v>2</v>
      </c>
    </row>
    <row r="292" spans="1:18" x14ac:dyDescent="0.35">
      <c r="A292">
        <v>288</v>
      </c>
      <c r="B292">
        <v>26</v>
      </c>
      <c r="C292">
        <v>1</v>
      </c>
      <c r="D292">
        <v>2023</v>
      </c>
      <c r="E292" t="s">
        <v>1072</v>
      </c>
      <c r="F292" t="s">
        <v>1060</v>
      </c>
      <c r="G292" t="s">
        <v>1061</v>
      </c>
      <c r="H292" s="18">
        <v>44952</v>
      </c>
      <c r="I292" t="s">
        <v>313</v>
      </c>
      <c r="J292" t="s">
        <v>20</v>
      </c>
      <c r="K292" t="s">
        <v>1034</v>
      </c>
      <c r="L292">
        <v>28</v>
      </c>
      <c r="M292" t="s">
        <v>21</v>
      </c>
      <c r="N292">
        <v>4</v>
      </c>
      <c r="O292">
        <v>30</v>
      </c>
      <c r="P292">
        <v>120</v>
      </c>
      <c r="Q292">
        <v>1.7999999999999998</v>
      </c>
      <c r="R292">
        <v>2.4</v>
      </c>
    </row>
    <row r="293" spans="1:18" x14ac:dyDescent="0.35">
      <c r="A293">
        <v>289</v>
      </c>
      <c r="B293">
        <v>30</v>
      </c>
      <c r="C293">
        <v>11</v>
      </c>
      <c r="D293">
        <v>2023</v>
      </c>
      <c r="E293" t="s">
        <v>1072</v>
      </c>
      <c r="F293" t="s">
        <v>1068</v>
      </c>
      <c r="G293" t="s">
        <v>1061</v>
      </c>
      <c r="H293" s="18">
        <v>45260</v>
      </c>
      <c r="I293" t="s">
        <v>314</v>
      </c>
      <c r="J293" t="s">
        <v>20</v>
      </c>
      <c r="K293" t="s">
        <v>1032</v>
      </c>
      <c r="L293">
        <v>53</v>
      </c>
      <c r="M293" t="s">
        <v>21</v>
      </c>
      <c r="N293">
        <v>2</v>
      </c>
      <c r="O293">
        <v>30</v>
      </c>
      <c r="P293">
        <v>60</v>
      </c>
      <c r="Q293">
        <v>0.89999999999999991</v>
      </c>
      <c r="R293">
        <v>1.2</v>
      </c>
    </row>
    <row r="294" spans="1:18" x14ac:dyDescent="0.35">
      <c r="A294">
        <v>290</v>
      </c>
      <c r="B294">
        <v>4</v>
      </c>
      <c r="C294">
        <v>10</v>
      </c>
      <c r="D294">
        <v>2023</v>
      </c>
      <c r="E294" t="s">
        <v>1065</v>
      </c>
      <c r="F294" t="s">
        <v>1064</v>
      </c>
      <c r="G294" t="s">
        <v>1061</v>
      </c>
      <c r="H294" s="18">
        <v>45203</v>
      </c>
      <c r="I294" t="s">
        <v>315</v>
      </c>
      <c r="J294" t="s">
        <v>23</v>
      </c>
      <c r="K294" t="s">
        <v>1030</v>
      </c>
      <c r="L294">
        <v>30</v>
      </c>
      <c r="M294" t="s">
        <v>21</v>
      </c>
      <c r="N294">
        <v>2</v>
      </c>
      <c r="O294">
        <v>300</v>
      </c>
      <c r="P294">
        <v>600</v>
      </c>
      <c r="Q294">
        <v>9</v>
      </c>
      <c r="R294">
        <v>12</v>
      </c>
    </row>
    <row r="295" spans="1:18" x14ac:dyDescent="0.35">
      <c r="A295">
        <v>291</v>
      </c>
      <c r="B295">
        <v>8</v>
      </c>
      <c r="C295">
        <v>1</v>
      </c>
      <c r="D295">
        <v>2023</v>
      </c>
      <c r="E295" t="s">
        <v>1063</v>
      </c>
      <c r="F295" t="s">
        <v>1060</v>
      </c>
      <c r="G295" t="s">
        <v>1061</v>
      </c>
      <c r="H295" s="18">
        <v>44934</v>
      </c>
      <c r="I295" t="s">
        <v>316</v>
      </c>
      <c r="J295" t="s">
        <v>20</v>
      </c>
      <c r="K295" t="s">
        <v>1032</v>
      </c>
      <c r="L295">
        <v>60</v>
      </c>
      <c r="M295" t="s">
        <v>21</v>
      </c>
      <c r="N295">
        <v>2</v>
      </c>
      <c r="O295">
        <v>300</v>
      </c>
      <c r="P295">
        <v>600</v>
      </c>
      <c r="Q295">
        <v>9</v>
      </c>
      <c r="R295">
        <v>12</v>
      </c>
    </row>
    <row r="296" spans="1:18" x14ac:dyDescent="0.35">
      <c r="A296">
        <v>292</v>
      </c>
      <c r="B296">
        <v>17</v>
      </c>
      <c r="C296">
        <v>2</v>
      </c>
      <c r="D296">
        <v>2023</v>
      </c>
      <c r="E296" t="s">
        <v>1070</v>
      </c>
      <c r="F296" t="s">
        <v>1073</v>
      </c>
      <c r="G296" t="s">
        <v>1061</v>
      </c>
      <c r="H296" s="18">
        <v>44974</v>
      </c>
      <c r="I296" t="s">
        <v>317</v>
      </c>
      <c r="J296" t="s">
        <v>20</v>
      </c>
      <c r="K296" t="s">
        <v>1034</v>
      </c>
      <c r="L296">
        <v>20</v>
      </c>
      <c r="M296" t="s">
        <v>21</v>
      </c>
      <c r="N296">
        <v>4</v>
      </c>
      <c r="O296">
        <v>300</v>
      </c>
      <c r="P296">
        <v>1200</v>
      </c>
      <c r="Q296">
        <v>18</v>
      </c>
      <c r="R296">
        <v>24</v>
      </c>
    </row>
    <row r="297" spans="1:18" x14ac:dyDescent="0.35">
      <c r="A297">
        <v>293</v>
      </c>
      <c r="B297">
        <v>2</v>
      </c>
      <c r="C297">
        <v>5</v>
      </c>
      <c r="D297">
        <v>2023</v>
      </c>
      <c r="E297" t="s">
        <v>1059</v>
      </c>
      <c r="F297" t="s">
        <v>1076</v>
      </c>
      <c r="G297" t="s">
        <v>1061</v>
      </c>
      <c r="H297" s="18">
        <v>45048</v>
      </c>
      <c r="I297" t="s">
        <v>318</v>
      </c>
      <c r="J297" t="s">
        <v>20</v>
      </c>
      <c r="K297" t="s">
        <v>1030</v>
      </c>
      <c r="L297">
        <v>50</v>
      </c>
      <c r="M297" t="s">
        <v>21</v>
      </c>
      <c r="N297">
        <v>3</v>
      </c>
      <c r="O297">
        <v>30</v>
      </c>
      <c r="P297">
        <v>90</v>
      </c>
      <c r="Q297">
        <v>1.3499999999999999</v>
      </c>
      <c r="R297">
        <v>1.8</v>
      </c>
    </row>
    <row r="298" spans="1:18" x14ac:dyDescent="0.35">
      <c r="A298">
        <v>294</v>
      </c>
      <c r="B298">
        <v>27</v>
      </c>
      <c r="C298">
        <v>3</v>
      </c>
      <c r="D298">
        <v>2023</v>
      </c>
      <c r="E298" t="s">
        <v>1067</v>
      </c>
      <c r="F298" t="s">
        <v>1066</v>
      </c>
      <c r="G298" t="s">
        <v>1061</v>
      </c>
      <c r="H298" s="18">
        <v>45012</v>
      </c>
      <c r="I298" t="s">
        <v>319</v>
      </c>
      <c r="J298" t="s">
        <v>23</v>
      </c>
      <c r="K298" t="s">
        <v>1034</v>
      </c>
      <c r="L298">
        <v>23</v>
      </c>
      <c r="M298" t="s">
        <v>21</v>
      </c>
      <c r="N298">
        <v>3</v>
      </c>
      <c r="O298">
        <v>30</v>
      </c>
      <c r="P298">
        <v>90</v>
      </c>
      <c r="Q298">
        <v>1.3499999999999999</v>
      </c>
      <c r="R298">
        <v>1.8</v>
      </c>
    </row>
    <row r="299" spans="1:18" x14ac:dyDescent="0.35">
      <c r="A299">
        <v>295</v>
      </c>
      <c r="B299">
        <v>28</v>
      </c>
      <c r="C299">
        <v>7</v>
      </c>
      <c r="D299">
        <v>2023</v>
      </c>
      <c r="E299" t="s">
        <v>1070</v>
      </c>
      <c r="F299" t="s">
        <v>1078</v>
      </c>
      <c r="G299" t="s">
        <v>1061</v>
      </c>
      <c r="H299" s="18">
        <v>45135</v>
      </c>
      <c r="I299" t="s">
        <v>320</v>
      </c>
      <c r="J299" t="s">
        <v>23</v>
      </c>
      <c r="K299" t="s">
        <v>1034</v>
      </c>
      <c r="L299">
        <v>27</v>
      </c>
      <c r="M299" t="s">
        <v>21</v>
      </c>
      <c r="N299">
        <v>3</v>
      </c>
      <c r="O299">
        <v>300</v>
      </c>
      <c r="P299">
        <v>900</v>
      </c>
      <c r="Q299">
        <v>13.5</v>
      </c>
      <c r="R299">
        <v>18</v>
      </c>
    </row>
    <row r="300" spans="1:18" x14ac:dyDescent="0.35">
      <c r="A300">
        <v>296</v>
      </c>
      <c r="B300">
        <v>6</v>
      </c>
      <c r="C300">
        <v>9</v>
      </c>
      <c r="D300">
        <v>2023</v>
      </c>
      <c r="E300" t="s">
        <v>1065</v>
      </c>
      <c r="F300" t="s">
        <v>1071</v>
      </c>
      <c r="G300" t="s">
        <v>1061</v>
      </c>
      <c r="H300" s="18">
        <v>45175</v>
      </c>
      <c r="I300" t="s">
        <v>321</v>
      </c>
      <c r="J300" t="s">
        <v>23</v>
      </c>
      <c r="K300" t="s">
        <v>1034</v>
      </c>
      <c r="L300">
        <v>22</v>
      </c>
      <c r="M300" t="s">
        <v>21</v>
      </c>
      <c r="N300">
        <v>4</v>
      </c>
      <c r="O300">
        <v>300</v>
      </c>
      <c r="P300">
        <v>1200</v>
      </c>
      <c r="Q300">
        <v>18</v>
      </c>
      <c r="R300">
        <v>24</v>
      </c>
    </row>
    <row r="301" spans="1:18" x14ac:dyDescent="0.35">
      <c r="A301">
        <v>297</v>
      </c>
      <c r="B301">
        <v>4</v>
      </c>
      <c r="C301">
        <v>9</v>
      </c>
      <c r="D301">
        <v>2023</v>
      </c>
      <c r="E301" t="s">
        <v>1067</v>
      </c>
      <c r="F301" t="s">
        <v>1071</v>
      </c>
      <c r="G301" t="s">
        <v>1061</v>
      </c>
      <c r="H301" s="18">
        <v>45173</v>
      </c>
      <c r="I301" t="s">
        <v>322</v>
      </c>
      <c r="J301" t="s">
        <v>23</v>
      </c>
      <c r="K301" t="s">
        <v>1030</v>
      </c>
      <c r="L301">
        <v>40</v>
      </c>
      <c r="M301" t="s">
        <v>21</v>
      </c>
      <c r="N301">
        <v>2</v>
      </c>
      <c r="O301">
        <v>500</v>
      </c>
      <c r="P301">
        <v>1000</v>
      </c>
      <c r="Q301">
        <v>15</v>
      </c>
      <c r="R301">
        <v>20</v>
      </c>
    </row>
    <row r="302" spans="1:18" x14ac:dyDescent="0.35">
      <c r="A302">
        <v>298</v>
      </c>
      <c r="B302">
        <v>20</v>
      </c>
      <c r="C302">
        <v>4</v>
      </c>
      <c r="D302">
        <v>2023</v>
      </c>
      <c r="E302" t="s">
        <v>1072</v>
      </c>
      <c r="F302" t="s">
        <v>1077</v>
      </c>
      <c r="G302" t="s">
        <v>1061</v>
      </c>
      <c r="H302" s="18">
        <v>45036</v>
      </c>
      <c r="I302" t="s">
        <v>323</v>
      </c>
      <c r="J302" t="s">
        <v>20</v>
      </c>
      <c r="K302" t="s">
        <v>1034</v>
      </c>
      <c r="L302">
        <v>27</v>
      </c>
      <c r="M302" t="s">
        <v>21</v>
      </c>
      <c r="N302">
        <v>4</v>
      </c>
      <c r="O302">
        <v>300</v>
      </c>
      <c r="P302">
        <v>1200</v>
      </c>
      <c r="Q302">
        <v>18</v>
      </c>
      <c r="R302">
        <v>24</v>
      </c>
    </row>
    <row r="303" spans="1:18" x14ac:dyDescent="0.35">
      <c r="A303">
        <v>299</v>
      </c>
      <c r="B303">
        <v>25</v>
      </c>
      <c r="C303">
        <v>7</v>
      </c>
      <c r="D303">
        <v>2023</v>
      </c>
      <c r="E303" t="s">
        <v>1059</v>
      </c>
      <c r="F303" t="s">
        <v>1078</v>
      </c>
      <c r="G303" t="s">
        <v>1061</v>
      </c>
      <c r="H303" s="18">
        <v>45132</v>
      </c>
      <c r="I303" t="s">
        <v>324</v>
      </c>
      <c r="J303" t="s">
        <v>20</v>
      </c>
      <c r="K303" t="s">
        <v>1032</v>
      </c>
      <c r="L303">
        <v>61</v>
      </c>
      <c r="M303" t="s">
        <v>21</v>
      </c>
      <c r="N303">
        <v>2</v>
      </c>
      <c r="O303">
        <v>500</v>
      </c>
      <c r="P303">
        <v>1000</v>
      </c>
      <c r="Q303">
        <v>15</v>
      </c>
      <c r="R303">
        <v>20</v>
      </c>
    </row>
    <row r="304" spans="1:18" x14ac:dyDescent="0.35">
      <c r="A304">
        <v>300</v>
      </c>
      <c r="B304">
        <v>31</v>
      </c>
      <c r="C304">
        <v>1</v>
      </c>
      <c r="D304">
        <v>2023</v>
      </c>
      <c r="E304" t="s">
        <v>1059</v>
      </c>
      <c r="F304" t="s">
        <v>1060</v>
      </c>
      <c r="G304" t="s">
        <v>1061</v>
      </c>
      <c r="H304" s="18">
        <v>44957</v>
      </c>
      <c r="I304" t="s">
        <v>325</v>
      </c>
      <c r="J304" t="s">
        <v>23</v>
      </c>
      <c r="K304" t="s">
        <v>1034</v>
      </c>
      <c r="L304">
        <v>19</v>
      </c>
      <c r="M304" t="s">
        <v>21</v>
      </c>
      <c r="N304">
        <v>4</v>
      </c>
      <c r="O304">
        <v>50</v>
      </c>
      <c r="P304">
        <v>200</v>
      </c>
      <c r="Q304">
        <v>3</v>
      </c>
      <c r="R304">
        <v>4</v>
      </c>
    </row>
    <row r="305" spans="1:18" x14ac:dyDescent="0.35">
      <c r="A305">
        <v>301</v>
      </c>
      <c r="B305">
        <v>26</v>
      </c>
      <c r="C305">
        <v>3</v>
      </c>
      <c r="D305">
        <v>2023</v>
      </c>
      <c r="E305" t="s">
        <v>1063</v>
      </c>
      <c r="F305" t="s">
        <v>1066</v>
      </c>
      <c r="G305" t="s">
        <v>1061</v>
      </c>
      <c r="H305" s="18">
        <v>45011</v>
      </c>
      <c r="I305" t="s">
        <v>326</v>
      </c>
      <c r="J305" t="s">
        <v>20</v>
      </c>
      <c r="K305" t="s">
        <v>1030</v>
      </c>
      <c r="L305">
        <v>30</v>
      </c>
      <c r="M305" t="s">
        <v>21</v>
      </c>
      <c r="N305">
        <v>4</v>
      </c>
      <c r="O305">
        <v>30</v>
      </c>
      <c r="P305">
        <v>120</v>
      </c>
      <c r="Q305">
        <v>1.7999999999999998</v>
      </c>
      <c r="R305">
        <v>2.4</v>
      </c>
    </row>
    <row r="306" spans="1:18" x14ac:dyDescent="0.35">
      <c r="A306">
        <v>302</v>
      </c>
      <c r="B306">
        <v>14</v>
      </c>
      <c r="C306">
        <v>7</v>
      </c>
      <c r="D306">
        <v>2023</v>
      </c>
      <c r="E306" t="s">
        <v>1070</v>
      </c>
      <c r="F306" t="s">
        <v>1078</v>
      </c>
      <c r="G306" t="s">
        <v>1061</v>
      </c>
      <c r="H306" s="18">
        <v>45121</v>
      </c>
      <c r="I306" t="s">
        <v>327</v>
      </c>
      <c r="J306" t="s">
        <v>20</v>
      </c>
      <c r="K306" t="s">
        <v>1032</v>
      </c>
      <c r="L306">
        <v>57</v>
      </c>
      <c r="M306" t="s">
        <v>21</v>
      </c>
      <c r="N306">
        <v>2</v>
      </c>
      <c r="O306">
        <v>300</v>
      </c>
      <c r="P306">
        <v>600</v>
      </c>
      <c r="Q306">
        <v>9</v>
      </c>
      <c r="R306">
        <v>12</v>
      </c>
    </row>
    <row r="307" spans="1:18" x14ac:dyDescent="0.35">
      <c r="A307">
        <v>303</v>
      </c>
      <c r="B307">
        <v>2</v>
      </c>
      <c r="C307">
        <v>1</v>
      </c>
      <c r="D307">
        <v>2023</v>
      </c>
      <c r="E307" t="s">
        <v>1067</v>
      </c>
      <c r="F307" t="s">
        <v>1060</v>
      </c>
      <c r="G307" t="s">
        <v>1061</v>
      </c>
      <c r="H307" s="18">
        <v>44928</v>
      </c>
      <c r="I307" t="s">
        <v>328</v>
      </c>
      <c r="J307" t="s">
        <v>20</v>
      </c>
      <c r="K307" t="s">
        <v>1034</v>
      </c>
      <c r="L307">
        <v>19</v>
      </c>
      <c r="M307" t="s">
        <v>21</v>
      </c>
      <c r="N307">
        <v>3</v>
      </c>
      <c r="O307">
        <v>30</v>
      </c>
      <c r="P307">
        <v>90</v>
      </c>
      <c r="Q307">
        <v>1.3499999999999999</v>
      </c>
      <c r="R307">
        <v>1.8</v>
      </c>
    </row>
    <row r="308" spans="1:18" x14ac:dyDescent="0.35">
      <c r="A308">
        <v>304</v>
      </c>
      <c r="B308">
        <v>19</v>
      </c>
      <c r="C308">
        <v>7</v>
      </c>
      <c r="D308">
        <v>2023</v>
      </c>
      <c r="E308" t="s">
        <v>1065</v>
      </c>
      <c r="F308" t="s">
        <v>1078</v>
      </c>
      <c r="G308" t="s">
        <v>1061</v>
      </c>
      <c r="H308" s="18">
        <v>45126</v>
      </c>
      <c r="I308" t="s">
        <v>329</v>
      </c>
      <c r="J308" t="s">
        <v>23</v>
      </c>
      <c r="K308" t="s">
        <v>1030</v>
      </c>
      <c r="L308">
        <v>37</v>
      </c>
      <c r="M308" t="s">
        <v>21</v>
      </c>
      <c r="N308">
        <v>2</v>
      </c>
      <c r="O308">
        <v>30</v>
      </c>
      <c r="P308">
        <v>60</v>
      </c>
      <c r="Q308">
        <v>0.89999999999999991</v>
      </c>
      <c r="R308">
        <v>1.2</v>
      </c>
    </row>
    <row r="309" spans="1:18" x14ac:dyDescent="0.35">
      <c r="A309">
        <v>305</v>
      </c>
      <c r="B309">
        <v>16</v>
      </c>
      <c r="C309">
        <v>5</v>
      </c>
      <c r="D309">
        <v>2023</v>
      </c>
      <c r="E309" t="s">
        <v>1059</v>
      </c>
      <c r="F309" t="s">
        <v>1076</v>
      </c>
      <c r="G309" t="s">
        <v>1061</v>
      </c>
      <c r="H309" s="18">
        <v>45062</v>
      </c>
      <c r="I309" t="s">
        <v>330</v>
      </c>
      <c r="J309" t="s">
        <v>23</v>
      </c>
      <c r="K309" t="s">
        <v>1034</v>
      </c>
      <c r="L309">
        <v>18</v>
      </c>
      <c r="M309" t="s">
        <v>21</v>
      </c>
      <c r="N309">
        <v>1</v>
      </c>
      <c r="O309">
        <v>30</v>
      </c>
      <c r="P309">
        <v>30</v>
      </c>
      <c r="Q309">
        <v>0.44999999999999996</v>
      </c>
      <c r="R309">
        <v>0.6</v>
      </c>
    </row>
    <row r="310" spans="1:18" x14ac:dyDescent="0.35">
      <c r="A310">
        <v>306</v>
      </c>
      <c r="B310">
        <v>21</v>
      </c>
      <c r="C310">
        <v>8</v>
      </c>
      <c r="D310">
        <v>2023</v>
      </c>
      <c r="E310" t="s">
        <v>1067</v>
      </c>
      <c r="F310" t="s">
        <v>1074</v>
      </c>
      <c r="G310" t="s">
        <v>1061</v>
      </c>
      <c r="H310" s="18">
        <v>45159</v>
      </c>
      <c r="I310" t="s">
        <v>331</v>
      </c>
      <c r="J310" t="s">
        <v>20</v>
      </c>
      <c r="K310" t="s">
        <v>1032</v>
      </c>
      <c r="L310">
        <v>54</v>
      </c>
      <c r="M310" t="s">
        <v>21</v>
      </c>
      <c r="N310">
        <v>1</v>
      </c>
      <c r="O310">
        <v>50</v>
      </c>
      <c r="P310">
        <v>50</v>
      </c>
      <c r="Q310">
        <v>0.75</v>
      </c>
      <c r="R310">
        <v>1</v>
      </c>
    </row>
    <row r="311" spans="1:18" x14ac:dyDescent="0.35">
      <c r="A311">
        <v>307</v>
      </c>
      <c r="B311">
        <v>27</v>
      </c>
      <c r="C311">
        <v>5</v>
      </c>
      <c r="D311">
        <v>2023</v>
      </c>
      <c r="E311" t="s">
        <v>1075</v>
      </c>
      <c r="F311" t="s">
        <v>1076</v>
      </c>
      <c r="G311" t="s">
        <v>1061</v>
      </c>
      <c r="H311" s="18">
        <v>45073</v>
      </c>
      <c r="I311" t="s">
        <v>332</v>
      </c>
      <c r="J311" t="s">
        <v>23</v>
      </c>
      <c r="K311" t="s">
        <v>1034</v>
      </c>
      <c r="L311">
        <v>26</v>
      </c>
      <c r="M311" t="s">
        <v>21</v>
      </c>
      <c r="N311">
        <v>2</v>
      </c>
      <c r="O311">
        <v>25</v>
      </c>
      <c r="P311">
        <v>50</v>
      </c>
      <c r="Q311">
        <v>0.75</v>
      </c>
      <c r="R311">
        <v>1</v>
      </c>
    </row>
    <row r="312" spans="1:18" x14ac:dyDescent="0.35">
      <c r="A312">
        <v>308</v>
      </c>
      <c r="B312">
        <v>5</v>
      </c>
      <c r="C312">
        <v>8</v>
      </c>
      <c r="D312">
        <v>2023</v>
      </c>
      <c r="E312" t="s">
        <v>1075</v>
      </c>
      <c r="F312" t="s">
        <v>1074</v>
      </c>
      <c r="G312" t="s">
        <v>1061</v>
      </c>
      <c r="H312" s="18">
        <v>45143</v>
      </c>
      <c r="I312" t="s">
        <v>333</v>
      </c>
      <c r="J312" t="s">
        <v>23</v>
      </c>
      <c r="K312" t="s">
        <v>1030</v>
      </c>
      <c r="L312">
        <v>34</v>
      </c>
      <c r="M312" t="s">
        <v>21</v>
      </c>
      <c r="N312">
        <v>4</v>
      </c>
      <c r="O312">
        <v>300</v>
      </c>
      <c r="P312">
        <v>1200</v>
      </c>
      <c r="Q312">
        <v>18</v>
      </c>
      <c r="R312">
        <v>24</v>
      </c>
    </row>
    <row r="313" spans="1:18" x14ac:dyDescent="0.35">
      <c r="A313">
        <v>309</v>
      </c>
      <c r="B313">
        <v>23</v>
      </c>
      <c r="C313">
        <v>12</v>
      </c>
      <c r="D313">
        <v>2023</v>
      </c>
      <c r="E313" t="s">
        <v>1075</v>
      </c>
      <c r="F313" t="s">
        <v>1062</v>
      </c>
      <c r="G313" t="s">
        <v>1061</v>
      </c>
      <c r="H313" s="18">
        <v>45283</v>
      </c>
      <c r="I313" t="s">
        <v>334</v>
      </c>
      <c r="J313" t="s">
        <v>23</v>
      </c>
      <c r="K313" t="s">
        <v>1034</v>
      </c>
      <c r="L313">
        <v>26</v>
      </c>
      <c r="M313" t="s">
        <v>21</v>
      </c>
      <c r="N313">
        <v>1</v>
      </c>
      <c r="O313">
        <v>25</v>
      </c>
      <c r="P313">
        <v>25</v>
      </c>
      <c r="Q313">
        <v>0.375</v>
      </c>
      <c r="R313">
        <v>0.5</v>
      </c>
    </row>
    <row r="314" spans="1:18" x14ac:dyDescent="0.35">
      <c r="A314">
        <v>310</v>
      </c>
      <c r="B314">
        <v>12</v>
      </c>
      <c r="C314">
        <v>10</v>
      </c>
      <c r="D314">
        <v>2023</v>
      </c>
      <c r="E314" t="s">
        <v>1072</v>
      </c>
      <c r="F314" t="s">
        <v>1064</v>
      </c>
      <c r="G314" t="s">
        <v>1061</v>
      </c>
      <c r="H314" s="18">
        <v>45211</v>
      </c>
      <c r="I314" t="s">
        <v>335</v>
      </c>
      <c r="J314" t="s">
        <v>23</v>
      </c>
      <c r="K314" t="s">
        <v>1034</v>
      </c>
      <c r="L314">
        <v>28</v>
      </c>
      <c r="M314" t="s">
        <v>21</v>
      </c>
      <c r="N314">
        <v>1</v>
      </c>
      <c r="O314">
        <v>25</v>
      </c>
      <c r="P314">
        <v>25</v>
      </c>
      <c r="Q314">
        <v>0.375</v>
      </c>
      <c r="R314">
        <v>0.5</v>
      </c>
    </row>
    <row r="315" spans="1:18" x14ac:dyDescent="0.35">
      <c r="A315">
        <v>311</v>
      </c>
      <c r="B315">
        <v>5</v>
      </c>
      <c r="C315">
        <v>12</v>
      </c>
      <c r="D315">
        <v>2023</v>
      </c>
      <c r="E315" t="s">
        <v>1059</v>
      </c>
      <c r="F315" t="s">
        <v>1062</v>
      </c>
      <c r="G315" t="s">
        <v>1061</v>
      </c>
      <c r="H315" s="18">
        <v>45265</v>
      </c>
      <c r="I315" t="s">
        <v>336</v>
      </c>
      <c r="J315" t="s">
        <v>23</v>
      </c>
      <c r="K315" t="s">
        <v>1030</v>
      </c>
      <c r="L315">
        <v>32</v>
      </c>
      <c r="M315" t="s">
        <v>21</v>
      </c>
      <c r="N315">
        <v>4</v>
      </c>
      <c r="O315">
        <v>25</v>
      </c>
      <c r="P315">
        <v>100</v>
      </c>
      <c r="Q315">
        <v>1.5</v>
      </c>
      <c r="R315">
        <v>2</v>
      </c>
    </row>
    <row r="316" spans="1:18" x14ac:dyDescent="0.35">
      <c r="A316">
        <v>312</v>
      </c>
      <c r="B316">
        <v>7</v>
      </c>
      <c r="C316">
        <v>9</v>
      </c>
      <c r="D316">
        <v>2023</v>
      </c>
      <c r="E316" t="s">
        <v>1072</v>
      </c>
      <c r="F316" t="s">
        <v>1071</v>
      </c>
      <c r="G316" t="s">
        <v>1061</v>
      </c>
      <c r="H316" s="18">
        <v>45176</v>
      </c>
      <c r="I316" t="s">
        <v>337</v>
      </c>
      <c r="J316" t="s">
        <v>20</v>
      </c>
      <c r="K316" t="s">
        <v>1030</v>
      </c>
      <c r="L316">
        <v>41</v>
      </c>
      <c r="M316" t="s">
        <v>21</v>
      </c>
      <c r="N316">
        <v>4</v>
      </c>
      <c r="O316">
        <v>30</v>
      </c>
      <c r="P316">
        <v>120</v>
      </c>
      <c r="Q316">
        <v>1.7999999999999998</v>
      </c>
      <c r="R316">
        <v>2.4</v>
      </c>
    </row>
    <row r="317" spans="1:18" x14ac:dyDescent="0.35">
      <c r="A317">
        <v>313</v>
      </c>
      <c r="B317">
        <v>21</v>
      </c>
      <c r="C317">
        <v>3</v>
      </c>
      <c r="D317">
        <v>2023</v>
      </c>
      <c r="E317" t="s">
        <v>1059</v>
      </c>
      <c r="F317" t="s">
        <v>1066</v>
      </c>
      <c r="G317" t="s">
        <v>1061</v>
      </c>
      <c r="H317" s="18">
        <v>45006</v>
      </c>
      <c r="I317" t="s">
        <v>338</v>
      </c>
      <c r="J317" t="s">
        <v>23</v>
      </c>
      <c r="K317" t="s">
        <v>1032</v>
      </c>
      <c r="L317">
        <v>55</v>
      </c>
      <c r="M317" t="s">
        <v>21</v>
      </c>
      <c r="N317">
        <v>3</v>
      </c>
      <c r="O317">
        <v>500</v>
      </c>
      <c r="P317">
        <v>1500</v>
      </c>
      <c r="Q317">
        <v>22.5</v>
      </c>
      <c r="R317">
        <v>30</v>
      </c>
    </row>
    <row r="318" spans="1:18" x14ac:dyDescent="0.35">
      <c r="A318">
        <v>314</v>
      </c>
      <c r="B318">
        <v>8</v>
      </c>
      <c r="C318">
        <v>4</v>
      </c>
      <c r="D318">
        <v>2023</v>
      </c>
      <c r="E318" t="s">
        <v>1075</v>
      </c>
      <c r="F318" t="s">
        <v>1077</v>
      </c>
      <c r="G318" t="s">
        <v>1061</v>
      </c>
      <c r="H318" s="18">
        <v>45024</v>
      </c>
      <c r="I318" t="s">
        <v>339</v>
      </c>
      <c r="J318" t="s">
        <v>20</v>
      </c>
      <c r="K318" t="s">
        <v>1032</v>
      </c>
      <c r="L318">
        <v>52</v>
      </c>
      <c r="M318" t="s">
        <v>21</v>
      </c>
      <c r="N318">
        <v>4</v>
      </c>
      <c r="O318">
        <v>30</v>
      </c>
      <c r="P318">
        <v>120</v>
      </c>
      <c r="Q318">
        <v>1.7999999999999998</v>
      </c>
      <c r="R318">
        <v>2.4</v>
      </c>
    </row>
    <row r="319" spans="1:18" x14ac:dyDescent="0.35">
      <c r="A319">
        <v>315</v>
      </c>
      <c r="B319">
        <v>1</v>
      </c>
      <c r="C319">
        <v>6</v>
      </c>
      <c r="D319">
        <v>2023</v>
      </c>
      <c r="E319" t="s">
        <v>1072</v>
      </c>
      <c r="F319" t="s">
        <v>1069</v>
      </c>
      <c r="G319" t="s">
        <v>1061</v>
      </c>
      <c r="H319" s="18">
        <v>45078</v>
      </c>
      <c r="I319" t="s">
        <v>340</v>
      </c>
      <c r="J319" t="s">
        <v>20</v>
      </c>
      <c r="K319" t="s">
        <v>1030</v>
      </c>
      <c r="L319">
        <v>47</v>
      </c>
      <c r="M319" t="s">
        <v>21</v>
      </c>
      <c r="N319">
        <v>2</v>
      </c>
      <c r="O319">
        <v>30</v>
      </c>
      <c r="P319">
        <v>60</v>
      </c>
      <c r="Q319">
        <v>0.89999999999999991</v>
      </c>
      <c r="R319">
        <v>1.2</v>
      </c>
    </row>
    <row r="320" spans="1:18" x14ac:dyDescent="0.35">
      <c r="A320">
        <v>316</v>
      </c>
      <c r="B320">
        <v>22</v>
      </c>
      <c r="C320">
        <v>4</v>
      </c>
      <c r="D320">
        <v>2023</v>
      </c>
      <c r="E320" t="s">
        <v>1075</v>
      </c>
      <c r="F320" t="s">
        <v>1077</v>
      </c>
      <c r="G320" t="s">
        <v>1061</v>
      </c>
      <c r="H320" s="18">
        <v>45038</v>
      </c>
      <c r="I320" t="s">
        <v>341</v>
      </c>
      <c r="J320" t="s">
        <v>23</v>
      </c>
      <c r="K320" t="s">
        <v>1030</v>
      </c>
      <c r="L320">
        <v>48</v>
      </c>
      <c r="M320" t="s">
        <v>21</v>
      </c>
      <c r="N320">
        <v>2</v>
      </c>
      <c r="O320">
        <v>25</v>
      </c>
      <c r="P320">
        <v>50</v>
      </c>
      <c r="Q320">
        <v>0.75</v>
      </c>
      <c r="R320">
        <v>1</v>
      </c>
    </row>
    <row r="321" spans="1:18" x14ac:dyDescent="0.35">
      <c r="A321">
        <v>317</v>
      </c>
      <c r="B321">
        <v>30</v>
      </c>
      <c r="C321">
        <v>1</v>
      </c>
      <c r="D321">
        <v>2023</v>
      </c>
      <c r="E321" t="s">
        <v>1067</v>
      </c>
      <c r="F321" t="s">
        <v>1060</v>
      </c>
      <c r="G321" t="s">
        <v>1061</v>
      </c>
      <c r="H321" s="18">
        <v>44956</v>
      </c>
      <c r="I321" t="s">
        <v>342</v>
      </c>
      <c r="J321" t="s">
        <v>20</v>
      </c>
      <c r="K321" t="s">
        <v>1034</v>
      </c>
      <c r="L321">
        <v>22</v>
      </c>
      <c r="M321" t="s">
        <v>21</v>
      </c>
      <c r="N321">
        <v>3</v>
      </c>
      <c r="O321">
        <v>30</v>
      </c>
      <c r="P321">
        <v>90</v>
      </c>
      <c r="Q321">
        <v>1.3499999999999999</v>
      </c>
      <c r="R321">
        <v>1.8</v>
      </c>
    </row>
    <row r="322" spans="1:18" x14ac:dyDescent="0.35">
      <c r="A322">
        <v>318</v>
      </c>
      <c r="B322">
        <v>24</v>
      </c>
      <c r="C322">
        <v>10</v>
      </c>
      <c r="D322">
        <v>2023</v>
      </c>
      <c r="E322" t="s">
        <v>1059</v>
      </c>
      <c r="F322" t="s">
        <v>1064</v>
      </c>
      <c r="G322" t="s">
        <v>1061</v>
      </c>
      <c r="H322" s="18">
        <v>45223</v>
      </c>
      <c r="I322" t="s">
        <v>343</v>
      </c>
      <c r="J322" t="s">
        <v>20</v>
      </c>
      <c r="K322" t="s">
        <v>1032</v>
      </c>
      <c r="L322">
        <v>61</v>
      </c>
      <c r="M322" t="s">
        <v>21</v>
      </c>
      <c r="N322">
        <v>1</v>
      </c>
      <c r="O322">
        <v>25</v>
      </c>
      <c r="P322">
        <v>25</v>
      </c>
      <c r="Q322">
        <v>0.375</v>
      </c>
      <c r="R322">
        <v>0.5</v>
      </c>
    </row>
    <row r="323" spans="1:18" x14ac:dyDescent="0.35">
      <c r="A323">
        <v>319</v>
      </c>
      <c r="B323">
        <v>5</v>
      </c>
      <c r="C323">
        <v>10</v>
      </c>
      <c r="D323">
        <v>2023</v>
      </c>
      <c r="E323" t="s">
        <v>1072</v>
      </c>
      <c r="F323" t="s">
        <v>1064</v>
      </c>
      <c r="G323" t="s">
        <v>1061</v>
      </c>
      <c r="H323" s="18">
        <v>45204</v>
      </c>
      <c r="I323" t="s">
        <v>344</v>
      </c>
      <c r="J323" t="s">
        <v>20</v>
      </c>
      <c r="K323" t="s">
        <v>1030</v>
      </c>
      <c r="L323">
        <v>31</v>
      </c>
      <c r="M323" t="s">
        <v>21</v>
      </c>
      <c r="N323">
        <v>1</v>
      </c>
      <c r="O323">
        <v>500</v>
      </c>
      <c r="P323">
        <v>500</v>
      </c>
      <c r="Q323">
        <v>7.5</v>
      </c>
      <c r="R323">
        <v>10</v>
      </c>
    </row>
    <row r="324" spans="1:18" x14ac:dyDescent="0.35">
      <c r="A324">
        <v>320</v>
      </c>
      <c r="B324">
        <v>1</v>
      </c>
      <c r="C324">
        <v>2</v>
      </c>
      <c r="D324">
        <v>2023</v>
      </c>
      <c r="E324" t="s">
        <v>1065</v>
      </c>
      <c r="F324" t="s">
        <v>1073</v>
      </c>
      <c r="G324" t="s">
        <v>1061</v>
      </c>
      <c r="H324" s="18">
        <v>44958</v>
      </c>
      <c r="I324" t="s">
        <v>345</v>
      </c>
      <c r="J324" t="s">
        <v>23</v>
      </c>
      <c r="K324" t="s">
        <v>1034</v>
      </c>
      <c r="L324">
        <v>28</v>
      </c>
      <c r="M324" t="s">
        <v>21</v>
      </c>
      <c r="N324">
        <v>4</v>
      </c>
      <c r="O324">
        <v>300</v>
      </c>
      <c r="P324">
        <v>1200</v>
      </c>
      <c r="Q324">
        <v>18</v>
      </c>
      <c r="R324">
        <v>24</v>
      </c>
    </row>
    <row r="325" spans="1:18" x14ac:dyDescent="0.35">
      <c r="A325">
        <v>321</v>
      </c>
      <c r="B325">
        <v>10</v>
      </c>
      <c r="C325">
        <v>6</v>
      </c>
      <c r="D325">
        <v>2023</v>
      </c>
      <c r="E325" t="s">
        <v>1075</v>
      </c>
      <c r="F325" t="s">
        <v>1069</v>
      </c>
      <c r="G325" t="s">
        <v>1061</v>
      </c>
      <c r="H325" s="18">
        <v>45087</v>
      </c>
      <c r="I325" t="s">
        <v>346</v>
      </c>
      <c r="J325" t="s">
        <v>23</v>
      </c>
      <c r="K325" t="s">
        <v>1034</v>
      </c>
      <c r="L325">
        <v>26</v>
      </c>
      <c r="M325" t="s">
        <v>21</v>
      </c>
      <c r="N325">
        <v>2</v>
      </c>
      <c r="O325">
        <v>25</v>
      </c>
      <c r="P325">
        <v>50</v>
      </c>
      <c r="Q325">
        <v>0.75</v>
      </c>
      <c r="R325">
        <v>1</v>
      </c>
    </row>
    <row r="326" spans="1:18" x14ac:dyDescent="0.35">
      <c r="A326">
        <v>322</v>
      </c>
      <c r="B326">
        <v>30</v>
      </c>
      <c r="C326">
        <v>1</v>
      </c>
      <c r="D326">
        <v>2023</v>
      </c>
      <c r="E326" t="s">
        <v>1067</v>
      </c>
      <c r="F326" t="s">
        <v>1060</v>
      </c>
      <c r="G326" t="s">
        <v>1061</v>
      </c>
      <c r="H326" s="18">
        <v>44956</v>
      </c>
      <c r="I326" t="s">
        <v>347</v>
      </c>
      <c r="J326" t="s">
        <v>20</v>
      </c>
      <c r="K326" t="s">
        <v>1032</v>
      </c>
      <c r="L326">
        <v>51</v>
      </c>
      <c r="M326" t="s">
        <v>21</v>
      </c>
      <c r="N326">
        <v>1</v>
      </c>
      <c r="O326">
        <v>500</v>
      </c>
      <c r="P326">
        <v>500</v>
      </c>
      <c r="Q326">
        <v>7.5</v>
      </c>
      <c r="R326">
        <v>10</v>
      </c>
    </row>
    <row r="327" spans="1:18" x14ac:dyDescent="0.35">
      <c r="A327">
        <v>323</v>
      </c>
      <c r="B327">
        <v>26</v>
      </c>
      <c r="C327">
        <v>1</v>
      </c>
      <c r="D327">
        <v>2023</v>
      </c>
      <c r="E327" t="s">
        <v>1072</v>
      </c>
      <c r="F327" t="s">
        <v>1060</v>
      </c>
      <c r="G327" t="s">
        <v>1061</v>
      </c>
      <c r="H327" s="18">
        <v>44952</v>
      </c>
      <c r="I327" t="s">
        <v>348</v>
      </c>
      <c r="J327" t="s">
        <v>23</v>
      </c>
      <c r="K327" t="s">
        <v>1034</v>
      </c>
      <c r="L327">
        <v>29</v>
      </c>
      <c r="M327" t="s">
        <v>21</v>
      </c>
      <c r="N327">
        <v>3</v>
      </c>
      <c r="O327">
        <v>300</v>
      </c>
      <c r="P327">
        <v>900</v>
      </c>
      <c r="Q327">
        <v>13.5</v>
      </c>
      <c r="R327">
        <v>18</v>
      </c>
    </row>
    <row r="328" spans="1:18" x14ac:dyDescent="0.35">
      <c r="A328">
        <v>324</v>
      </c>
      <c r="B328">
        <v>27</v>
      </c>
      <c r="C328">
        <v>10</v>
      </c>
      <c r="D328">
        <v>2023</v>
      </c>
      <c r="E328" t="s">
        <v>1070</v>
      </c>
      <c r="F328" t="s">
        <v>1064</v>
      </c>
      <c r="G328" t="s">
        <v>1061</v>
      </c>
      <c r="H328" s="18">
        <v>45226</v>
      </c>
      <c r="I328" t="s">
        <v>349</v>
      </c>
      <c r="J328" t="s">
        <v>23</v>
      </c>
      <c r="K328" t="s">
        <v>1032</v>
      </c>
      <c r="L328">
        <v>52</v>
      </c>
      <c r="M328" t="s">
        <v>21</v>
      </c>
      <c r="N328">
        <v>3</v>
      </c>
      <c r="O328">
        <v>50</v>
      </c>
      <c r="P328">
        <v>150</v>
      </c>
      <c r="Q328">
        <v>2.25</v>
      </c>
      <c r="R328">
        <v>3</v>
      </c>
    </row>
    <row r="329" spans="1:18" x14ac:dyDescent="0.35">
      <c r="A329">
        <v>325</v>
      </c>
      <c r="B329">
        <v>2</v>
      </c>
      <c r="C329">
        <v>9</v>
      </c>
      <c r="D329">
        <v>2023</v>
      </c>
      <c r="E329" t="s">
        <v>1075</v>
      </c>
      <c r="F329" t="s">
        <v>1071</v>
      </c>
      <c r="G329" t="s">
        <v>1061</v>
      </c>
      <c r="H329" s="18">
        <v>45171</v>
      </c>
      <c r="I329" t="s">
        <v>350</v>
      </c>
      <c r="J329" t="s">
        <v>23</v>
      </c>
      <c r="K329" t="s">
        <v>1032</v>
      </c>
      <c r="L329">
        <v>52</v>
      </c>
      <c r="M329" t="s">
        <v>21</v>
      </c>
      <c r="N329">
        <v>2</v>
      </c>
      <c r="O329">
        <v>25</v>
      </c>
      <c r="P329">
        <v>50</v>
      </c>
      <c r="Q329">
        <v>0.75</v>
      </c>
      <c r="R329">
        <v>1</v>
      </c>
    </row>
    <row r="330" spans="1:18" x14ac:dyDescent="0.35">
      <c r="A330">
        <v>326</v>
      </c>
      <c r="B330">
        <v>15</v>
      </c>
      <c r="C330">
        <v>9</v>
      </c>
      <c r="D330">
        <v>2023</v>
      </c>
      <c r="E330" t="s">
        <v>1070</v>
      </c>
      <c r="F330" t="s">
        <v>1071</v>
      </c>
      <c r="G330" t="s">
        <v>1061</v>
      </c>
      <c r="H330" s="18">
        <v>45184</v>
      </c>
      <c r="I330" t="s">
        <v>351</v>
      </c>
      <c r="J330" t="s">
        <v>23</v>
      </c>
      <c r="K330" t="s">
        <v>1034</v>
      </c>
      <c r="L330">
        <v>18</v>
      </c>
      <c r="M330" t="s">
        <v>21</v>
      </c>
      <c r="N330">
        <v>3</v>
      </c>
      <c r="O330">
        <v>25</v>
      </c>
      <c r="P330">
        <v>75</v>
      </c>
      <c r="Q330">
        <v>1.125</v>
      </c>
      <c r="R330">
        <v>1.5</v>
      </c>
    </row>
    <row r="331" spans="1:18" x14ac:dyDescent="0.35">
      <c r="A331">
        <v>327</v>
      </c>
      <c r="B331">
        <v>29</v>
      </c>
      <c r="C331">
        <v>9</v>
      </c>
      <c r="D331">
        <v>2023</v>
      </c>
      <c r="E331" t="s">
        <v>1070</v>
      </c>
      <c r="F331" t="s">
        <v>1071</v>
      </c>
      <c r="G331" t="s">
        <v>1061</v>
      </c>
      <c r="H331" s="18">
        <v>45198</v>
      </c>
      <c r="I331" t="s">
        <v>352</v>
      </c>
      <c r="J331" t="s">
        <v>20</v>
      </c>
      <c r="K331" t="s">
        <v>1032</v>
      </c>
      <c r="L331">
        <v>57</v>
      </c>
      <c r="M331" t="s">
        <v>21</v>
      </c>
      <c r="N331">
        <v>3</v>
      </c>
      <c r="O331">
        <v>50</v>
      </c>
      <c r="P331">
        <v>150</v>
      </c>
      <c r="Q331">
        <v>2.25</v>
      </c>
      <c r="R331">
        <v>3</v>
      </c>
    </row>
    <row r="332" spans="1:18" x14ac:dyDescent="0.35">
      <c r="A332">
        <v>328</v>
      </c>
      <c r="B332">
        <v>22</v>
      </c>
      <c r="C332">
        <v>3</v>
      </c>
      <c r="D332">
        <v>2023</v>
      </c>
      <c r="E332" t="s">
        <v>1065</v>
      </c>
      <c r="F332" t="s">
        <v>1066</v>
      </c>
      <c r="G332" t="s">
        <v>1061</v>
      </c>
      <c r="H332" s="18">
        <v>45007</v>
      </c>
      <c r="I332" t="s">
        <v>353</v>
      </c>
      <c r="J332" t="s">
        <v>20</v>
      </c>
      <c r="K332" t="s">
        <v>1030</v>
      </c>
      <c r="L332">
        <v>39</v>
      </c>
      <c r="M332" t="s">
        <v>21</v>
      </c>
      <c r="N332">
        <v>2</v>
      </c>
      <c r="O332">
        <v>50</v>
      </c>
      <c r="P332">
        <v>100</v>
      </c>
      <c r="Q332">
        <v>1.5</v>
      </c>
      <c r="R332">
        <v>2</v>
      </c>
    </row>
    <row r="333" spans="1:18" x14ac:dyDescent="0.35">
      <c r="A333">
        <v>329</v>
      </c>
      <c r="B333">
        <v>30</v>
      </c>
      <c r="C333">
        <v>1</v>
      </c>
      <c r="D333">
        <v>2023</v>
      </c>
      <c r="E333" t="s">
        <v>1067</v>
      </c>
      <c r="F333" t="s">
        <v>1060</v>
      </c>
      <c r="G333" t="s">
        <v>1061</v>
      </c>
      <c r="H333" s="18">
        <v>44956</v>
      </c>
      <c r="I333" t="s">
        <v>354</v>
      </c>
      <c r="J333" t="s">
        <v>23</v>
      </c>
      <c r="K333" t="s">
        <v>1030</v>
      </c>
      <c r="L333">
        <v>46</v>
      </c>
      <c r="M333" t="s">
        <v>21</v>
      </c>
      <c r="N333">
        <v>4</v>
      </c>
      <c r="O333">
        <v>25</v>
      </c>
      <c r="P333">
        <v>100</v>
      </c>
      <c r="Q333">
        <v>1.5</v>
      </c>
      <c r="R333">
        <v>2</v>
      </c>
    </row>
    <row r="334" spans="1:18" x14ac:dyDescent="0.35">
      <c r="A334">
        <v>330</v>
      </c>
      <c r="B334">
        <v>18</v>
      </c>
      <c r="C334">
        <v>9</v>
      </c>
      <c r="D334">
        <v>2023</v>
      </c>
      <c r="E334" t="s">
        <v>1067</v>
      </c>
      <c r="F334" t="s">
        <v>1071</v>
      </c>
      <c r="G334" t="s">
        <v>1061</v>
      </c>
      <c r="H334" s="18">
        <v>45187</v>
      </c>
      <c r="I334" t="s">
        <v>355</v>
      </c>
      <c r="J334" t="s">
        <v>23</v>
      </c>
      <c r="K334" t="s">
        <v>1034</v>
      </c>
      <c r="L334">
        <v>25</v>
      </c>
      <c r="M334" t="s">
        <v>21</v>
      </c>
      <c r="N334">
        <v>4</v>
      </c>
      <c r="O334">
        <v>50</v>
      </c>
      <c r="P334">
        <v>200</v>
      </c>
      <c r="Q334">
        <v>3</v>
      </c>
      <c r="R334">
        <v>4</v>
      </c>
    </row>
    <row r="335" spans="1:18" x14ac:dyDescent="0.35">
      <c r="A335">
        <v>331</v>
      </c>
      <c r="B335">
        <v>11</v>
      </c>
      <c r="C335">
        <v>2</v>
      </c>
      <c r="D335">
        <v>2023</v>
      </c>
      <c r="E335" t="s">
        <v>1075</v>
      </c>
      <c r="F335" t="s">
        <v>1073</v>
      </c>
      <c r="G335" t="s">
        <v>1061</v>
      </c>
      <c r="H335" s="18">
        <v>44968</v>
      </c>
      <c r="I335" t="s">
        <v>356</v>
      </c>
      <c r="J335" t="s">
        <v>20</v>
      </c>
      <c r="K335" t="s">
        <v>1034</v>
      </c>
      <c r="L335">
        <v>28</v>
      </c>
      <c r="M335" t="s">
        <v>21</v>
      </c>
      <c r="N335">
        <v>3</v>
      </c>
      <c r="O335">
        <v>30</v>
      </c>
      <c r="P335">
        <v>90</v>
      </c>
      <c r="Q335">
        <v>1.3499999999999999</v>
      </c>
      <c r="R335">
        <v>1.8</v>
      </c>
    </row>
    <row r="336" spans="1:18" x14ac:dyDescent="0.35">
      <c r="A336">
        <v>332</v>
      </c>
      <c r="B336">
        <v>6</v>
      </c>
      <c r="C336">
        <v>4</v>
      </c>
      <c r="D336">
        <v>2023</v>
      </c>
      <c r="E336" t="s">
        <v>1072</v>
      </c>
      <c r="F336" t="s">
        <v>1077</v>
      </c>
      <c r="G336" t="s">
        <v>1061</v>
      </c>
      <c r="H336" s="18">
        <v>45022</v>
      </c>
      <c r="I336" t="s">
        <v>357</v>
      </c>
      <c r="J336" t="s">
        <v>20</v>
      </c>
      <c r="K336" t="s">
        <v>1032</v>
      </c>
      <c r="L336">
        <v>58</v>
      </c>
      <c r="M336" t="s">
        <v>21</v>
      </c>
      <c r="N336">
        <v>4</v>
      </c>
      <c r="O336">
        <v>300</v>
      </c>
      <c r="P336">
        <v>1200</v>
      </c>
      <c r="Q336">
        <v>18</v>
      </c>
      <c r="R336">
        <v>24</v>
      </c>
    </row>
    <row r="337" spans="1:18" x14ac:dyDescent="0.35">
      <c r="A337">
        <v>333</v>
      </c>
      <c r="B337">
        <v>5</v>
      </c>
      <c r="C337">
        <v>2</v>
      </c>
      <c r="D337">
        <v>2023</v>
      </c>
      <c r="E337" t="s">
        <v>1063</v>
      </c>
      <c r="F337" t="s">
        <v>1073</v>
      </c>
      <c r="G337" t="s">
        <v>1061</v>
      </c>
      <c r="H337" s="18">
        <v>44962</v>
      </c>
      <c r="I337" t="s">
        <v>358</v>
      </c>
      <c r="J337" t="s">
        <v>23</v>
      </c>
      <c r="K337" t="s">
        <v>1032</v>
      </c>
      <c r="L337">
        <v>54</v>
      </c>
      <c r="M337" t="s">
        <v>21</v>
      </c>
      <c r="N337">
        <v>4</v>
      </c>
      <c r="O337">
        <v>300</v>
      </c>
      <c r="P337">
        <v>1200</v>
      </c>
      <c r="Q337">
        <v>18</v>
      </c>
      <c r="R337">
        <v>24</v>
      </c>
    </row>
    <row r="338" spans="1:18" x14ac:dyDescent="0.35">
      <c r="A338">
        <v>334</v>
      </c>
      <c r="B338">
        <v>1</v>
      </c>
      <c r="C338">
        <v>11</v>
      </c>
      <c r="D338">
        <v>2023</v>
      </c>
      <c r="E338" t="s">
        <v>1065</v>
      </c>
      <c r="F338" t="s">
        <v>1068</v>
      </c>
      <c r="G338" t="s">
        <v>1061</v>
      </c>
      <c r="H338" s="18">
        <v>45231</v>
      </c>
      <c r="I338" t="s">
        <v>359</v>
      </c>
      <c r="J338" t="s">
        <v>20</v>
      </c>
      <c r="K338" t="s">
        <v>1030</v>
      </c>
      <c r="L338">
        <v>31</v>
      </c>
      <c r="M338" t="s">
        <v>21</v>
      </c>
      <c r="N338">
        <v>3</v>
      </c>
      <c r="O338">
        <v>300</v>
      </c>
      <c r="P338">
        <v>900</v>
      </c>
      <c r="Q338">
        <v>13.5</v>
      </c>
      <c r="R338">
        <v>18</v>
      </c>
    </row>
    <row r="339" spans="1:18" x14ac:dyDescent="0.35">
      <c r="A339">
        <v>335</v>
      </c>
      <c r="B339">
        <v>4</v>
      </c>
      <c r="C339">
        <v>2</v>
      </c>
      <c r="D339">
        <v>2023</v>
      </c>
      <c r="E339" t="s">
        <v>1075</v>
      </c>
      <c r="F339" t="s">
        <v>1073</v>
      </c>
      <c r="G339" t="s">
        <v>1061</v>
      </c>
      <c r="H339" s="18">
        <v>44961</v>
      </c>
      <c r="I339" t="s">
        <v>360</v>
      </c>
      <c r="J339" t="s">
        <v>23</v>
      </c>
      <c r="K339" t="s">
        <v>1030</v>
      </c>
      <c r="L339">
        <v>47</v>
      </c>
      <c r="M339" t="s">
        <v>21</v>
      </c>
      <c r="N339">
        <v>4</v>
      </c>
      <c r="O339">
        <v>30</v>
      </c>
      <c r="P339">
        <v>120</v>
      </c>
      <c r="Q339">
        <v>1.7999999999999998</v>
      </c>
      <c r="R339">
        <v>2.4</v>
      </c>
    </row>
    <row r="340" spans="1:18" x14ac:dyDescent="0.35">
      <c r="A340">
        <v>336</v>
      </c>
      <c r="B340">
        <v>12</v>
      </c>
      <c r="C340">
        <v>12</v>
      </c>
      <c r="D340">
        <v>2023</v>
      </c>
      <c r="E340" t="s">
        <v>1059</v>
      </c>
      <c r="F340" t="s">
        <v>1062</v>
      </c>
      <c r="G340" t="s">
        <v>1061</v>
      </c>
      <c r="H340" s="18">
        <v>45272</v>
      </c>
      <c r="I340" t="s">
        <v>361</v>
      </c>
      <c r="J340" t="s">
        <v>23</v>
      </c>
      <c r="K340" t="s">
        <v>1032</v>
      </c>
      <c r="L340">
        <v>52</v>
      </c>
      <c r="M340" t="s">
        <v>21</v>
      </c>
      <c r="N340">
        <v>3</v>
      </c>
      <c r="O340">
        <v>50</v>
      </c>
      <c r="P340">
        <v>150</v>
      </c>
      <c r="Q340">
        <v>2.25</v>
      </c>
      <c r="R340">
        <v>3</v>
      </c>
    </row>
    <row r="341" spans="1:18" x14ac:dyDescent="0.35">
      <c r="A341">
        <v>337</v>
      </c>
      <c r="B341">
        <v>1</v>
      </c>
      <c r="C341">
        <v>5</v>
      </c>
      <c r="D341">
        <v>2023</v>
      </c>
      <c r="E341" t="s">
        <v>1067</v>
      </c>
      <c r="F341" t="s">
        <v>1076</v>
      </c>
      <c r="G341" t="s">
        <v>1061</v>
      </c>
      <c r="H341" s="18">
        <v>45047</v>
      </c>
      <c r="I341" t="s">
        <v>362</v>
      </c>
      <c r="J341" t="s">
        <v>20</v>
      </c>
      <c r="K341" t="s">
        <v>1030</v>
      </c>
      <c r="L341">
        <v>38</v>
      </c>
      <c r="M341" t="s">
        <v>21</v>
      </c>
      <c r="N341">
        <v>1</v>
      </c>
      <c r="O341">
        <v>500</v>
      </c>
      <c r="P341">
        <v>500</v>
      </c>
      <c r="Q341">
        <v>7.5</v>
      </c>
      <c r="R341">
        <v>10</v>
      </c>
    </row>
    <row r="342" spans="1:18" x14ac:dyDescent="0.35">
      <c r="A342">
        <v>338</v>
      </c>
      <c r="B342">
        <v>26</v>
      </c>
      <c r="C342">
        <v>7</v>
      </c>
      <c r="D342">
        <v>2023</v>
      </c>
      <c r="E342" t="s">
        <v>1065</v>
      </c>
      <c r="F342" t="s">
        <v>1078</v>
      </c>
      <c r="G342" t="s">
        <v>1061</v>
      </c>
      <c r="H342" s="18">
        <v>45133</v>
      </c>
      <c r="I342" t="s">
        <v>363</v>
      </c>
      <c r="J342" t="s">
        <v>20</v>
      </c>
      <c r="K342" t="s">
        <v>1032</v>
      </c>
      <c r="L342">
        <v>54</v>
      </c>
      <c r="M342" t="s">
        <v>21</v>
      </c>
      <c r="N342">
        <v>2</v>
      </c>
      <c r="O342">
        <v>50</v>
      </c>
      <c r="P342">
        <v>100</v>
      </c>
      <c r="Q342">
        <v>1.5</v>
      </c>
      <c r="R342">
        <v>2</v>
      </c>
    </row>
    <row r="343" spans="1:18" x14ac:dyDescent="0.35">
      <c r="A343">
        <v>339</v>
      </c>
      <c r="B343">
        <v>3</v>
      </c>
      <c r="C343">
        <v>3</v>
      </c>
      <c r="D343">
        <v>2023</v>
      </c>
      <c r="E343" t="s">
        <v>1070</v>
      </c>
      <c r="F343" t="s">
        <v>1066</v>
      </c>
      <c r="G343" t="s">
        <v>1061</v>
      </c>
      <c r="H343" s="18">
        <v>44988</v>
      </c>
      <c r="I343" t="s">
        <v>364</v>
      </c>
      <c r="J343" t="s">
        <v>23</v>
      </c>
      <c r="K343" t="s">
        <v>1034</v>
      </c>
      <c r="L343">
        <v>22</v>
      </c>
      <c r="M343" t="s">
        <v>21</v>
      </c>
      <c r="N343">
        <v>2</v>
      </c>
      <c r="O343">
        <v>25</v>
      </c>
      <c r="P343">
        <v>50</v>
      </c>
      <c r="Q343">
        <v>0.75</v>
      </c>
      <c r="R343">
        <v>1</v>
      </c>
    </row>
    <row r="344" spans="1:18" x14ac:dyDescent="0.35">
      <c r="A344">
        <v>340</v>
      </c>
      <c r="B344">
        <v>19</v>
      </c>
      <c r="C344">
        <v>10</v>
      </c>
      <c r="D344">
        <v>2023</v>
      </c>
      <c r="E344" t="s">
        <v>1072</v>
      </c>
      <c r="F344" t="s">
        <v>1064</v>
      </c>
      <c r="G344" t="s">
        <v>1061</v>
      </c>
      <c r="H344" s="18">
        <v>45218</v>
      </c>
      <c r="I344" t="s">
        <v>365</v>
      </c>
      <c r="J344" t="s">
        <v>23</v>
      </c>
      <c r="K344" t="s">
        <v>1030</v>
      </c>
      <c r="L344">
        <v>36</v>
      </c>
      <c r="M344" t="s">
        <v>21</v>
      </c>
      <c r="N344">
        <v>4</v>
      </c>
      <c r="O344">
        <v>300</v>
      </c>
      <c r="P344">
        <v>1200</v>
      </c>
      <c r="Q344">
        <v>18</v>
      </c>
      <c r="R344">
        <v>24</v>
      </c>
    </row>
    <row r="345" spans="1:18" x14ac:dyDescent="0.35">
      <c r="A345">
        <v>341</v>
      </c>
      <c r="B345">
        <v>7</v>
      </c>
      <c r="C345">
        <v>5</v>
      </c>
      <c r="D345">
        <v>2023</v>
      </c>
      <c r="E345" t="s">
        <v>1063</v>
      </c>
      <c r="F345" t="s">
        <v>1076</v>
      </c>
      <c r="G345" t="s">
        <v>1061</v>
      </c>
      <c r="H345" s="18">
        <v>45053</v>
      </c>
      <c r="I345" t="s">
        <v>366</v>
      </c>
      <c r="J345" t="s">
        <v>20</v>
      </c>
      <c r="K345" t="s">
        <v>1030</v>
      </c>
      <c r="L345">
        <v>31</v>
      </c>
      <c r="M345" t="s">
        <v>21</v>
      </c>
      <c r="N345">
        <v>4</v>
      </c>
      <c r="O345">
        <v>50</v>
      </c>
      <c r="P345">
        <v>200</v>
      </c>
      <c r="Q345">
        <v>3</v>
      </c>
      <c r="R345">
        <v>4</v>
      </c>
    </row>
    <row r="346" spans="1:18" x14ac:dyDescent="0.35">
      <c r="A346">
        <v>342</v>
      </c>
      <c r="B346">
        <v>24</v>
      </c>
      <c r="C346">
        <v>10</v>
      </c>
      <c r="D346">
        <v>2023</v>
      </c>
      <c r="E346" t="s">
        <v>1059</v>
      </c>
      <c r="F346" t="s">
        <v>1064</v>
      </c>
      <c r="G346" t="s">
        <v>1061</v>
      </c>
      <c r="H346" s="18">
        <v>45223</v>
      </c>
      <c r="I346" t="s">
        <v>367</v>
      </c>
      <c r="J346" t="s">
        <v>23</v>
      </c>
      <c r="K346" t="s">
        <v>1030</v>
      </c>
      <c r="L346">
        <v>43</v>
      </c>
      <c r="M346" t="s">
        <v>21</v>
      </c>
      <c r="N346">
        <v>4</v>
      </c>
      <c r="O346">
        <v>500</v>
      </c>
      <c r="P346">
        <v>2000</v>
      </c>
      <c r="Q346">
        <v>30</v>
      </c>
      <c r="R346">
        <v>40</v>
      </c>
    </row>
    <row r="347" spans="1:18" x14ac:dyDescent="0.35">
      <c r="A347">
        <v>343</v>
      </c>
      <c r="B347">
        <v>1</v>
      </c>
      <c r="C347">
        <v>11</v>
      </c>
      <c r="D347">
        <v>2023</v>
      </c>
      <c r="E347" t="s">
        <v>1065</v>
      </c>
      <c r="F347" t="s">
        <v>1068</v>
      </c>
      <c r="G347" t="s">
        <v>1061</v>
      </c>
      <c r="H347" s="18">
        <v>45231</v>
      </c>
      <c r="I347" t="s">
        <v>368</v>
      </c>
      <c r="J347" t="s">
        <v>20</v>
      </c>
      <c r="K347" t="s">
        <v>1034</v>
      </c>
      <c r="L347">
        <v>21</v>
      </c>
      <c r="M347" t="s">
        <v>21</v>
      </c>
      <c r="N347">
        <v>2</v>
      </c>
      <c r="O347">
        <v>25</v>
      </c>
      <c r="P347">
        <v>50</v>
      </c>
      <c r="Q347">
        <v>0.75</v>
      </c>
      <c r="R347">
        <v>1</v>
      </c>
    </row>
    <row r="348" spans="1:18" x14ac:dyDescent="0.35">
      <c r="A348">
        <v>344</v>
      </c>
      <c r="B348">
        <v>21</v>
      </c>
      <c r="C348">
        <v>1</v>
      </c>
      <c r="D348">
        <v>2023</v>
      </c>
      <c r="E348" t="s">
        <v>1075</v>
      </c>
      <c r="F348" t="s">
        <v>1060</v>
      </c>
      <c r="G348" t="s">
        <v>1061</v>
      </c>
      <c r="H348" s="18">
        <v>44947</v>
      </c>
      <c r="I348" t="s">
        <v>369</v>
      </c>
      <c r="J348" t="s">
        <v>23</v>
      </c>
      <c r="K348" t="s">
        <v>1030</v>
      </c>
      <c r="L348">
        <v>42</v>
      </c>
      <c r="M348" t="s">
        <v>21</v>
      </c>
      <c r="N348">
        <v>1</v>
      </c>
      <c r="O348">
        <v>30</v>
      </c>
      <c r="P348">
        <v>30</v>
      </c>
      <c r="Q348">
        <v>0.44999999999999996</v>
      </c>
      <c r="R348">
        <v>0.6</v>
      </c>
    </row>
    <row r="349" spans="1:18" x14ac:dyDescent="0.35">
      <c r="A349">
        <v>345</v>
      </c>
      <c r="B349">
        <v>14</v>
      </c>
      <c r="C349">
        <v>11</v>
      </c>
      <c r="D349">
        <v>2023</v>
      </c>
      <c r="E349" t="s">
        <v>1059</v>
      </c>
      <c r="F349" t="s">
        <v>1068</v>
      </c>
      <c r="G349" t="s">
        <v>1061</v>
      </c>
      <c r="H349" s="18">
        <v>45244</v>
      </c>
      <c r="I349" t="s">
        <v>370</v>
      </c>
      <c r="J349" t="s">
        <v>20</v>
      </c>
      <c r="K349" t="s">
        <v>1032</v>
      </c>
      <c r="L349">
        <v>62</v>
      </c>
      <c r="M349" t="s">
        <v>21</v>
      </c>
      <c r="N349">
        <v>1</v>
      </c>
      <c r="O349">
        <v>30</v>
      </c>
      <c r="P349">
        <v>30</v>
      </c>
      <c r="Q349">
        <v>0.44999999999999996</v>
      </c>
      <c r="R349">
        <v>0.6</v>
      </c>
    </row>
    <row r="350" spans="1:18" x14ac:dyDescent="0.35">
      <c r="A350">
        <v>346</v>
      </c>
      <c r="B350">
        <v>11</v>
      </c>
      <c r="C350">
        <v>2</v>
      </c>
      <c r="D350">
        <v>2023</v>
      </c>
      <c r="E350" t="s">
        <v>1075</v>
      </c>
      <c r="F350" t="s">
        <v>1073</v>
      </c>
      <c r="G350" t="s">
        <v>1061</v>
      </c>
      <c r="H350" s="18">
        <v>44968</v>
      </c>
      <c r="I350" t="s">
        <v>371</v>
      </c>
      <c r="J350" t="s">
        <v>20</v>
      </c>
      <c r="K350" t="s">
        <v>1032</v>
      </c>
      <c r="L350">
        <v>59</v>
      </c>
      <c r="M350" t="s">
        <v>21</v>
      </c>
      <c r="N350">
        <v>2</v>
      </c>
      <c r="O350">
        <v>500</v>
      </c>
      <c r="P350">
        <v>1000</v>
      </c>
      <c r="Q350">
        <v>15</v>
      </c>
      <c r="R350">
        <v>20</v>
      </c>
    </row>
    <row r="351" spans="1:18" x14ac:dyDescent="0.35">
      <c r="A351">
        <v>347</v>
      </c>
      <c r="B351">
        <v>3</v>
      </c>
      <c r="C351">
        <v>8</v>
      </c>
      <c r="D351">
        <v>2023</v>
      </c>
      <c r="E351" t="s">
        <v>1072</v>
      </c>
      <c r="F351" t="s">
        <v>1074</v>
      </c>
      <c r="G351" t="s">
        <v>1061</v>
      </c>
      <c r="H351" s="18">
        <v>45141</v>
      </c>
      <c r="I351" t="s">
        <v>372</v>
      </c>
      <c r="J351" t="s">
        <v>20</v>
      </c>
      <c r="K351" t="s">
        <v>1030</v>
      </c>
      <c r="L351">
        <v>42</v>
      </c>
      <c r="M351" t="s">
        <v>21</v>
      </c>
      <c r="N351">
        <v>1</v>
      </c>
      <c r="O351">
        <v>25</v>
      </c>
      <c r="P351">
        <v>25</v>
      </c>
      <c r="Q351">
        <v>0.375</v>
      </c>
      <c r="R351">
        <v>0.5</v>
      </c>
    </row>
    <row r="352" spans="1:18" x14ac:dyDescent="0.35">
      <c r="A352">
        <v>348</v>
      </c>
      <c r="B352">
        <v>3</v>
      </c>
      <c r="C352">
        <v>12</v>
      </c>
      <c r="D352">
        <v>2023</v>
      </c>
      <c r="E352" t="s">
        <v>1063</v>
      </c>
      <c r="F352" t="s">
        <v>1062</v>
      </c>
      <c r="G352" t="s">
        <v>1061</v>
      </c>
      <c r="H352" s="18">
        <v>45263</v>
      </c>
      <c r="I352" t="s">
        <v>373</v>
      </c>
      <c r="J352" t="s">
        <v>23</v>
      </c>
      <c r="K352" t="s">
        <v>1030</v>
      </c>
      <c r="L352">
        <v>35</v>
      </c>
      <c r="M352" t="s">
        <v>21</v>
      </c>
      <c r="N352">
        <v>2</v>
      </c>
      <c r="O352">
        <v>300</v>
      </c>
      <c r="P352">
        <v>600</v>
      </c>
      <c r="Q352">
        <v>9</v>
      </c>
      <c r="R352">
        <v>12</v>
      </c>
    </row>
    <row r="353" spans="1:18" x14ac:dyDescent="0.35">
      <c r="A353">
        <v>349</v>
      </c>
      <c r="B353">
        <v>26</v>
      </c>
      <c r="C353">
        <v>10</v>
      </c>
      <c r="D353">
        <v>2023</v>
      </c>
      <c r="E353" t="s">
        <v>1072</v>
      </c>
      <c r="F353" t="s">
        <v>1064</v>
      </c>
      <c r="G353" t="s">
        <v>1061</v>
      </c>
      <c r="H353" s="18">
        <v>45225</v>
      </c>
      <c r="I353" t="s">
        <v>374</v>
      </c>
      <c r="J353" t="s">
        <v>23</v>
      </c>
      <c r="K353" t="s">
        <v>1032</v>
      </c>
      <c r="L353">
        <v>57</v>
      </c>
      <c r="M353" t="s">
        <v>21</v>
      </c>
      <c r="N353">
        <v>1</v>
      </c>
      <c r="O353">
        <v>50</v>
      </c>
      <c r="P353">
        <v>50</v>
      </c>
      <c r="Q353">
        <v>0.75</v>
      </c>
      <c r="R353">
        <v>1</v>
      </c>
    </row>
    <row r="354" spans="1:18" x14ac:dyDescent="0.35">
      <c r="A354">
        <v>350</v>
      </c>
      <c r="B354">
        <v>17</v>
      </c>
      <c r="C354">
        <v>10</v>
      </c>
      <c r="D354">
        <v>2023</v>
      </c>
      <c r="E354" t="s">
        <v>1059</v>
      </c>
      <c r="F354" t="s">
        <v>1064</v>
      </c>
      <c r="G354" t="s">
        <v>1061</v>
      </c>
      <c r="H354" s="18">
        <v>45216</v>
      </c>
      <c r="I354" t="s">
        <v>375</v>
      </c>
      <c r="J354" t="s">
        <v>20</v>
      </c>
      <c r="K354" t="s">
        <v>1034</v>
      </c>
      <c r="L354">
        <v>25</v>
      </c>
      <c r="M354" t="s">
        <v>21</v>
      </c>
      <c r="N354">
        <v>3</v>
      </c>
      <c r="O354">
        <v>25</v>
      </c>
      <c r="P354">
        <v>75</v>
      </c>
      <c r="Q354">
        <v>1.125</v>
      </c>
      <c r="R354">
        <v>1.5</v>
      </c>
    </row>
    <row r="355" spans="1:18" x14ac:dyDescent="0.35">
      <c r="A355">
        <v>351</v>
      </c>
      <c r="B355">
        <v>25</v>
      </c>
      <c r="C355">
        <v>9</v>
      </c>
      <c r="D355">
        <v>2023</v>
      </c>
      <c r="E355" t="s">
        <v>1067</v>
      </c>
      <c r="F355" t="s">
        <v>1071</v>
      </c>
      <c r="G355" t="s">
        <v>1061</v>
      </c>
      <c r="H355" s="18">
        <v>45194</v>
      </c>
      <c r="I355" t="s">
        <v>376</v>
      </c>
      <c r="J355" t="s">
        <v>23</v>
      </c>
      <c r="K355" t="s">
        <v>1032</v>
      </c>
      <c r="L355">
        <v>56</v>
      </c>
      <c r="M355" t="s">
        <v>21</v>
      </c>
      <c r="N355">
        <v>3</v>
      </c>
      <c r="O355">
        <v>30</v>
      </c>
      <c r="P355">
        <v>90</v>
      </c>
      <c r="Q355">
        <v>1.3499999999999999</v>
      </c>
      <c r="R355">
        <v>1.8</v>
      </c>
    </row>
    <row r="356" spans="1:18" x14ac:dyDescent="0.35">
      <c r="A356">
        <v>352</v>
      </c>
      <c r="B356">
        <v>11</v>
      </c>
      <c r="C356">
        <v>6</v>
      </c>
      <c r="D356">
        <v>2023</v>
      </c>
      <c r="E356" t="s">
        <v>1063</v>
      </c>
      <c r="F356" t="s">
        <v>1069</v>
      </c>
      <c r="G356" t="s">
        <v>1061</v>
      </c>
      <c r="H356" s="18">
        <v>45088</v>
      </c>
      <c r="I356" t="s">
        <v>377</v>
      </c>
      <c r="J356" t="s">
        <v>20</v>
      </c>
      <c r="K356" t="s">
        <v>1032</v>
      </c>
      <c r="L356">
        <v>57</v>
      </c>
      <c r="M356" t="s">
        <v>21</v>
      </c>
      <c r="N356">
        <v>2</v>
      </c>
      <c r="O356">
        <v>500</v>
      </c>
      <c r="P356">
        <v>1000</v>
      </c>
      <c r="Q356">
        <v>15</v>
      </c>
      <c r="R356">
        <v>20</v>
      </c>
    </row>
    <row r="357" spans="1:18" x14ac:dyDescent="0.35">
      <c r="A357">
        <v>353</v>
      </c>
      <c r="B357">
        <v>14</v>
      </c>
      <c r="C357">
        <v>5</v>
      </c>
      <c r="D357">
        <v>2023</v>
      </c>
      <c r="E357" t="s">
        <v>1063</v>
      </c>
      <c r="F357" t="s">
        <v>1076</v>
      </c>
      <c r="G357" t="s">
        <v>1061</v>
      </c>
      <c r="H357" s="18">
        <v>45060</v>
      </c>
      <c r="I357" t="s">
        <v>378</v>
      </c>
      <c r="J357" t="s">
        <v>20</v>
      </c>
      <c r="K357" t="s">
        <v>1030</v>
      </c>
      <c r="L357">
        <v>31</v>
      </c>
      <c r="M357" t="s">
        <v>21</v>
      </c>
      <c r="N357">
        <v>1</v>
      </c>
      <c r="O357">
        <v>500</v>
      </c>
      <c r="P357">
        <v>500</v>
      </c>
      <c r="Q357">
        <v>7.5</v>
      </c>
      <c r="R357">
        <v>10</v>
      </c>
    </row>
    <row r="358" spans="1:18" x14ac:dyDescent="0.35">
      <c r="A358">
        <v>354</v>
      </c>
      <c r="B358">
        <v>15</v>
      </c>
      <c r="C358">
        <v>4</v>
      </c>
      <c r="D358">
        <v>2023</v>
      </c>
      <c r="E358" t="s">
        <v>1075</v>
      </c>
      <c r="F358" t="s">
        <v>1077</v>
      </c>
      <c r="G358" t="s">
        <v>1061</v>
      </c>
      <c r="H358" s="18">
        <v>45031</v>
      </c>
      <c r="I358" t="s">
        <v>379</v>
      </c>
      <c r="J358" t="s">
        <v>23</v>
      </c>
      <c r="K358" t="s">
        <v>1030</v>
      </c>
      <c r="L358">
        <v>49</v>
      </c>
      <c r="M358" t="s">
        <v>21</v>
      </c>
      <c r="N358">
        <v>4</v>
      </c>
      <c r="O358">
        <v>50</v>
      </c>
      <c r="P358">
        <v>200</v>
      </c>
      <c r="Q358">
        <v>3</v>
      </c>
      <c r="R358">
        <v>4</v>
      </c>
    </row>
    <row r="359" spans="1:18" x14ac:dyDescent="0.35">
      <c r="A359">
        <v>355</v>
      </c>
      <c r="B359">
        <v>9</v>
      </c>
      <c r="C359">
        <v>12</v>
      </c>
      <c r="D359">
        <v>2023</v>
      </c>
      <c r="E359" t="s">
        <v>1075</v>
      </c>
      <c r="F359" t="s">
        <v>1062</v>
      </c>
      <c r="G359" t="s">
        <v>1061</v>
      </c>
      <c r="H359" s="18">
        <v>45269</v>
      </c>
      <c r="I359" t="s">
        <v>380</v>
      </c>
      <c r="J359" t="s">
        <v>23</v>
      </c>
      <c r="K359" t="s">
        <v>1032</v>
      </c>
      <c r="L359">
        <v>55</v>
      </c>
      <c r="M359" t="s">
        <v>21</v>
      </c>
      <c r="N359">
        <v>1</v>
      </c>
      <c r="O359">
        <v>500</v>
      </c>
      <c r="P359">
        <v>500</v>
      </c>
      <c r="Q359">
        <v>7.5</v>
      </c>
      <c r="R359">
        <v>10</v>
      </c>
    </row>
    <row r="360" spans="1:18" x14ac:dyDescent="0.35">
      <c r="A360">
        <v>356</v>
      </c>
      <c r="B360">
        <v>10</v>
      </c>
      <c r="C360">
        <v>6</v>
      </c>
      <c r="D360">
        <v>2023</v>
      </c>
      <c r="E360" t="s">
        <v>1075</v>
      </c>
      <c r="F360" t="s">
        <v>1069</v>
      </c>
      <c r="G360" t="s">
        <v>1061</v>
      </c>
      <c r="H360" s="18">
        <v>45087</v>
      </c>
      <c r="I360" t="s">
        <v>381</v>
      </c>
      <c r="J360" t="s">
        <v>20</v>
      </c>
      <c r="K360" t="s">
        <v>1030</v>
      </c>
      <c r="L360">
        <v>50</v>
      </c>
      <c r="M360" t="s">
        <v>21</v>
      </c>
      <c r="N360">
        <v>3</v>
      </c>
      <c r="O360">
        <v>500</v>
      </c>
      <c r="P360">
        <v>1500</v>
      </c>
      <c r="Q360">
        <v>22.5</v>
      </c>
      <c r="R360">
        <v>30</v>
      </c>
    </row>
    <row r="361" spans="1:18" x14ac:dyDescent="0.35">
      <c r="A361">
        <v>357</v>
      </c>
      <c r="B361">
        <v>3</v>
      </c>
      <c r="C361">
        <v>5</v>
      </c>
      <c r="D361">
        <v>2023</v>
      </c>
      <c r="E361" t="s">
        <v>1065</v>
      </c>
      <c r="F361" t="s">
        <v>1076</v>
      </c>
      <c r="G361" t="s">
        <v>1061</v>
      </c>
      <c r="H361" s="18">
        <v>45049</v>
      </c>
      <c r="I361" t="s">
        <v>382</v>
      </c>
      <c r="J361" t="s">
        <v>23</v>
      </c>
      <c r="K361" t="s">
        <v>1030</v>
      </c>
      <c r="L361">
        <v>40</v>
      </c>
      <c r="M361" t="s">
        <v>21</v>
      </c>
      <c r="N361">
        <v>3</v>
      </c>
      <c r="O361">
        <v>25</v>
      </c>
      <c r="P361">
        <v>75</v>
      </c>
      <c r="Q361">
        <v>1.125</v>
      </c>
      <c r="R361">
        <v>1.5</v>
      </c>
    </row>
    <row r="362" spans="1:18" x14ac:dyDescent="0.35">
      <c r="A362">
        <v>358</v>
      </c>
      <c r="B362">
        <v>16</v>
      </c>
      <c r="C362">
        <v>5</v>
      </c>
      <c r="D362">
        <v>2023</v>
      </c>
      <c r="E362" t="s">
        <v>1059</v>
      </c>
      <c r="F362" t="s">
        <v>1076</v>
      </c>
      <c r="G362" t="s">
        <v>1061</v>
      </c>
      <c r="H362" s="18">
        <v>45062</v>
      </c>
      <c r="I362" t="s">
        <v>383</v>
      </c>
      <c r="J362" t="s">
        <v>23</v>
      </c>
      <c r="K362" t="s">
        <v>1030</v>
      </c>
      <c r="L362">
        <v>32</v>
      </c>
      <c r="M362" t="s">
        <v>21</v>
      </c>
      <c r="N362">
        <v>1</v>
      </c>
      <c r="O362">
        <v>300</v>
      </c>
      <c r="P362">
        <v>300</v>
      </c>
      <c r="Q362">
        <v>4.5</v>
      </c>
      <c r="R362">
        <v>6</v>
      </c>
    </row>
    <row r="363" spans="1:18" x14ac:dyDescent="0.35">
      <c r="A363">
        <v>359</v>
      </c>
      <c r="B363">
        <v>22</v>
      </c>
      <c r="C363">
        <v>7</v>
      </c>
      <c r="D363">
        <v>2023</v>
      </c>
      <c r="E363" t="s">
        <v>1075</v>
      </c>
      <c r="F363" t="s">
        <v>1078</v>
      </c>
      <c r="G363" t="s">
        <v>1061</v>
      </c>
      <c r="H363" s="18">
        <v>45129</v>
      </c>
      <c r="I363" t="s">
        <v>384</v>
      </c>
      <c r="J363" t="s">
        <v>20</v>
      </c>
      <c r="K363" t="s">
        <v>1030</v>
      </c>
      <c r="L363">
        <v>50</v>
      </c>
      <c r="M363" t="s">
        <v>21</v>
      </c>
      <c r="N363">
        <v>1</v>
      </c>
      <c r="O363">
        <v>50</v>
      </c>
      <c r="P363">
        <v>50</v>
      </c>
      <c r="Q363">
        <v>0.75</v>
      </c>
      <c r="R363">
        <v>1</v>
      </c>
    </row>
    <row r="364" spans="1:18" x14ac:dyDescent="0.35">
      <c r="A364">
        <v>360</v>
      </c>
      <c r="B364">
        <v>9</v>
      </c>
      <c r="C364">
        <v>3</v>
      </c>
      <c r="D364">
        <v>2023</v>
      </c>
      <c r="E364" t="s">
        <v>1072</v>
      </c>
      <c r="F364" t="s">
        <v>1066</v>
      </c>
      <c r="G364" t="s">
        <v>1061</v>
      </c>
      <c r="H364" s="18">
        <v>44994</v>
      </c>
      <c r="I364" t="s">
        <v>385</v>
      </c>
      <c r="J364" t="s">
        <v>20</v>
      </c>
      <c r="K364" t="s">
        <v>1030</v>
      </c>
      <c r="L364">
        <v>42</v>
      </c>
      <c r="M364" t="s">
        <v>21</v>
      </c>
      <c r="N364">
        <v>4</v>
      </c>
      <c r="O364">
        <v>25</v>
      </c>
      <c r="P364">
        <v>100</v>
      </c>
      <c r="Q364">
        <v>1.5</v>
      </c>
      <c r="R364">
        <v>2</v>
      </c>
    </row>
    <row r="365" spans="1:18" x14ac:dyDescent="0.35">
      <c r="A365">
        <v>361</v>
      </c>
      <c r="B365">
        <v>10</v>
      </c>
      <c r="C365">
        <v>12</v>
      </c>
      <c r="D365">
        <v>2023</v>
      </c>
      <c r="E365" t="s">
        <v>1063</v>
      </c>
      <c r="F365" t="s">
        <v>1062</v>
      </c>
      <c r="G365" t="s">
        <v>1061</v>
      </c>
      <c r="H365" s="18">
        <v>45270</v>
      </c>
      <c r="I365" t="s">
        <v>386</v>
      </c>
      <c r="J365" t="s">
        <v>23</v>
      </c>
      <c r="K365" t="s">
        <v>1030</v>
      </c>
      <c r="L365">
        <v>34</v>
      </c>
      <c r="M365" t="s">
        <v>21</v>
      </c>
      <c r="N365">
        <v>4</v>
      </c>
      <c r="O365">
        <v>300</v>
      </c>
      <c r="P365">
        <v>1200</v>
      </c>
      <c r="Q365">
        <v>18</v>
      </c>
      <c r="R365">
        <v>24</v>
      </c>
    </row>
    <row r="366" spans="1:18" x14ac:dyDescent="0.35">
      <c r="A366">
        <v>362</v>
      </c>
      <c r="B366">
        <v>27</v>
      </c>
      <c r="C366">
        <v>11</v>
      </c>
      <c r="D366">
        <v>2023</v>
      </c>
      <c r="E366" t="s">
        <v>1067</v>
      </c>
      <c r="F366" t="s">
        <v>1068</v>
      </c>
      <c r="G366" t="s">
        <v>1061</v>
      </c>
      <c r="H366" s="18">
        <v>45257</v>
      </c>
      <c r="I366" t="s">
        <v>387</v>
      </c>
      <c r="J366" t="s">
        <v>20</v>
      </c>
      <c r="K366" t="s">
        <v>1030</v>
      </c>
      <c r="L366">
        <v>50</v>
      </c>
      <c r="M366" t="s">
        <v>21</v>
      </c>
      <c r="N366">
        <v>1</v>
      </c>
      <c r="O366">
        <v>25</v>
      </c>
      <c r="P366">
        <v>25</v>
      </c>
      <c r="Q366">
        <v>0.375</v>
      </c>
      <c r="R366">
        <v>0.5</v>
      </c>
    </row>
    <row r="367" spans="1:18" x14ac:dyDescent="0.35">
      <c r="A367">
        <v>363</v>
      </c>
      <c r="B367">
        <v>3</v>
      </c>
      <c r="C367">
        <v>6</v>
      </c>
      <c r="D367">
        <v>2023</v>
      </c>
      <c r="E367" t="s">
        <v>1075</v>
      </c>
      <c r="F367" t="s">
        <v>1069</v>
      </c>
      <c r="G367" t="s">
        <v>1061</v>
      </c>
      <c r="H367" s="18">
        <v>45080</v>
      </c>
      <c r="I367" t="s">
        <v>388</v>
      </c>
      <c r="J367" t="s">
        <v>20</v>
      </c>
      <c r="K367" t="s">
        <v>1032</v>
      </c>
      <c r="L367">
        <v>64</v>
      </c>
      <c r="M367" t="s">
        <v>21</v>
      </c>
      <c r="N367">
        <v>1</v>
      </c>
      <c r="O367">
        <v>25</v>
      </c>
      <c r="P367">
        <v>25</v>
      </c>
      <c r="Q367">
        <v>0.375</v>
      </c>
      <c r="R367">
        <v>0.5</v>
      </c>
    </row>
    <row r="368" spans="1:18" x14ac:dyDescent="0.35">
      <c r="A368">
        <v>364</v>
      </c>
      <c r="B368">
        <v>23</v>
      </c>
      <c r="C368">
        <v>8</v>
      </c>
      <c r="D368">
        <v>2023</v>
      </c>
      <c r="E368" t="s">
        <v>1065</v>
      </c>
      <c r="F368" t="s">
        <v>1074</v>
      </c>
      <c r="G368" t="s">
        <v>1061</v>
      </c>
      <c r="H368" s="18">
        <v>45161</v>
      </c>
      <c r="I368" t="s">
        <v>389</v>
      </c>
      <c r="J368" t="s">
        <v>23</v>
      </c>
      <c r="K368" t="s">
        <v>1034</v>
      </c>
      <c r="L368">
        <v>19</v>
      </c>
      <c r="M368" t="s">
        <v>21</v>
      </c>
      <c r="N368">
        <v>1</v>
      </c>
      <c r="O368">
        <v>500</v>
      </c>
      <c r="P368">
        <v>500</v>
      </c>
      <c r="Q368">
        <v>7.5</v>
      </c>
      <c r="R368">
        <v>10</v>
      </c>
    </row>
    <row r="369" spans="1:18" x14ac:dyDescent="0.35">
      <c r="A369">
        <v>365</v>
      </c>
      <c r="B369">
        <v>11</v>
      </c>
      <c r="C369">
        <v>6</v>
      </c>
      <c r="D369">
        <v>2023</v>
      </c>
      <c r="E369" t="s">
        <v>1063</v>
      </c>
      <c r="F369" t="s">
        <v>1069</v>
      </c>
      <c r="G369" t="s">
        <v>1061</v>
      </c>
      <c r="H369" s="18">
        <v>45088</v>
      </c>
      <c r="I369" t="s">
        <v>390</v>
      </c>
      <c r="J369" t="s">
        <v>20</v>
      </c>
      <c r="K369" t="s">
        <v>1030</v>
      </c>
      <c r="L369">
        <v>31</v>
      </c>
      <c r="M369" t="s">
        <v>21</v>
      </c>
      <c r="N369">
        <v>1</v>
      </c>
      <c r="O369">
        <v>300</v>
      </c>
      <c r="P369">
        <v>300</v>
      </c>
      <c r="Q369">
        <v>4.5</v>
      </c>
      <c r="R369">
        <v>6</v>
      </c>
    </row>
    <row r="370" spans="1:18" x14ac:dyDescent="0.35">
      <c r="A370">
        <v>366</v>
      </c>
      <c r="B370">
        <v>7</v>
      </c>
      <c r="C370">
        <v>2</v>
      </c>
      <c r="D370">
        <v>2023</v>
      </c>
      <c r="E370" t="s">
        <v>1059</v>
      </c>
      <c r="F370" t="s">
        <v>1073</v>
      </c>
      <c r="G370" t="s">
        <v>1061</v>
      </c>
      <c r="H370" s="18">
        <v>44964</v>
      </c>
      <c r="I370" t="s">
        <v>391</v>
      </c>
      <c r="J370" t="s">
        <v>20</v>
      </c>
      <c r="K370" t="s">
        <v>1032</v>
      </c>
      <c r="L370">
        <v>57</v>
      </c>
      <c r="M370" t="s">
        <v>21</v>
      </c>
      <c r="N370">
        <v>2</v>
      </c>
      <c r="O370">
        <v>50</v>
      </c>
      <c r="P370">
        <v>100</v>
      </c>
      <c r="Q370">
        <v>1.5</v>
      </c>
      <c r="R370">
        <v>2</v>
      </c>
    </row>
    <row r="371" spans="1:18" x14ac:dyDescent="0.35">
      <c r="A371">
        <v>367</v>
      </c>
      <c r="B371">
        <v>5</v>
      </c>
      <c r="C371">
        <v>1</v>
      </c>
      <c r="D371">
        <v>2023</v>
      </c>
      <c r="E371" t="s">
        <v>1072</v>
      </c>
      <c r="F371" t="s">
        <v>1060</v>
      </c>
      <c r="G371" t="s">
        <v>1061</v>
      </c>
      <c r="H371" s="18">
        <v>44931</v>
      </c>
      <c r="I371" t="s">
        <v>392</v>
      </c>
      <c r="J371" t="s">
        <v>23</v>
      </c>
      <c r="K371" t="s">
        <v>1032</v>
      </c>
      <c r="L371">
        <v>57</v>
      </c>
      <c r="M371" t="s">
        <v>21</v>
      </c>
      <c r="N371">
        <v>1</v>
      </c>
      <c r="O371">
        <v>50</v>
      </c>
      <c r="P371">
        <v>50</v>
      </c>
      <c r="Q371">
        <v>0.75</v>
      </c>
      <c r="R371">
        <v>1</v>
      </c>
    </row>
    <row r="372" spans="1:18" x14ac:dyDescent="0.35">
      <c r="A372">
        <v>368</v>
      </c>
      <c r="B372">
        <v>23</v>
      </c>
      <c r="C372">
        <v>8</v>
      </c>
      <c r="D372">
        <v>2023</v>
      </c>
      <c r="E372" t="s">
        <v>1065</v>
      </c>
      <c r="F372" t="s">
        <v>1074</v>
      </c>
      <c r="G372" t="s">
        <v>1061</v>
      </c>
      <c r="H372" s="18">
        <v>45161</v>
      </c>
      <c r="I372" t="s">
        <v>393</v>
      </c>
      <c r="J372" t="s">
        <v>23</v>
      </c>
      <c r="K372" t="s">
        <v>1032</v>
      </c>
      <c r="L372">
        <v>56</v>
      </c>
      <c r="M372" t="s">
        <v>21</v>
      </c>
      <c r="N372">
        <v>4</v>
      </c>
      <c r="O372">
        <v>300</v>
      </c>
      <c r="P372">
        <v>1200</v>
      </c>
      <c r="Q372">
        <v>18</v>
      </c>
      <c r="R372">
        <v>24</v>
      </c>
    </row>
    <row r="373" spans="1:18" x14ac:dyDescent="0.35">
      <c r="A373">
        <v>369</v>
      </c>
      <c r="B373">
        <v>15</v>
      </c>
      <c r="C373">
        <v>11</v>
      </c>
      <c r="D373">
        <v>2023</v>
      </c>
      <c r="E373" t="s">
        <v>1065</v>
      </c>
      <c r="F373" t="s">
        <v>1068</v>
      </c>
      <c r="G373" t="s">
        <v>1061</v>
      </c>
      <c r="H373" s="18">
        <v>45245</v>
      </c>
      <c r="I373" t="s">
        <v>394</v>
      </c>
      <c r="J373" t="s">
        <v>20</v>
      </c>
      <c r="K373" t="s">
        <v>1034</v>
      </c>
      <c r="L373">
        <v>23</v>
      </c>
      <c r="M373" t="s">
        <v>21</v>
      </c>
      <c r="N373">
        <v>3</v>
      </c>
      <c r="O373">
        <v>500</v>
      </c>
      <c r="P373">
        <v>1500</v>
      </c>
      <c r="Q373">
        <v>22.5</v>
      </c>
      <c r="R373">
        <v>30</v>
      </c>
    </row>
    <row r="374" spans="1:18" x14ac:dyDescent="0.35">
      <c r="A374">
        <v>370</v>
      </c>
      <c r="B374">
        <v>16</v>
      </c>
      <c r="C374">
        <v>10</v>
      </c>
      <c r="D374">
        <v>2023</v>
      </c>
      <c r="E374" t="s">
        <v>1067</v>
      </c>
      <c r="F374" t="s">
        <v>1064</v>
      </c>
      <c r="G374" t="s">
        <v>1061</v>
      </c>
      <c r="H374" s="18">
        <v>45215</v>
      </c>
      <c r="I374" t="s">
        <v>395</v>
      </c>
      <c r="J374" t="s">
        <v>20</v>
      </c>
      <c r="K374" t="s">
        <v>1034</v>
      </c>
      <c r="L374">
        <v>23</v>
      </c>
      <c r="M374" t="s">
        <v>21</v>
      </c>
      <c r="N374">
        <v>2</v>
      </c>
      <c r="O374">
        <v>30</v>
      </c>
      <c r="P374">
        <v>60</v>
      </c>
      <c r="Q374">
        <v>0.89999999999999991</v>
      </c>
      <c r="R374">
        <v>1.2</v>
      </c>
    </row>
    <row r="375" spans="1:18" x14ac:dyDescent="0.35">
      <c r="A375">
        <v>371</v>
      </c>
      <c r="B375">
        <v>21</v>
      </c>
      <c r="C375">
        <v>2</v>
      </c>
      <c r="D375">
        <v>2023</v>
      </c>
      <c r="E375" t="s">
        <v>1059</v>
      </c>
      <c r="F375" t="s">
        <v>1073</v>
      </c>
      <c r="G375" t="s">
        <v>1061</v>
      </c>
      <c r="H375" s="18">
        <v>44978</v>
      </c>
      <c r="I375" t="s">
        <v>396</v>
      </c>
      <c r="J375" t="s">
        <v>23</v>
      </c>
      <c r="K375" t="s">
        <v>1034</v>
      </c>
      <c r="L375">
        <v>20</v>
      </c>
      <c r="M375" t="s">
        <v>21</v>
      </c>
      <c r="N375">
        <v>1</v>
      </c>
      <c r="O375">
        <v>25</v>
      </c>
      <c r="P375">
        <v>25</v>
      </c>
      <c r="Q375">
        <v>0.375</v>
      </c>
      <c r="R375">
        <v>0.5</v>
      </c>
    </row>
    <row r="376" spans="1:18" x14ac:dyDescent="0.35">
      <c r="A376">
        <v>372</v>
      </c>
      <c r="B376">
        <v>7</v>
      </c>
      <c r="C376">
        <v>2</v>
      </c>
      <c r="D376">
        <v>2023</v>
      </c>
      <c r="E376" t="s">
        <v>1059</v>
      </c>
      <c r="F376" t="s">
        <v>1073</v>
      </c>
      <c r="G376" t="s">
        <v>1061</v>
      </c>
      <c r="H376" s="18">
        <v>44964</v>
      </c>
      <c r="I376" t="s">
        <v>397</v>
      </c>
      <c r="J376" t="s">
        <v>23</v>
      </c>
      <c r="K376" t="s">
        <v>1034</v>
      </c>
      <c r="L376">
        <v>24</v>
      </c>
      <c r="M376" t="s">
        <v>21</v>
      </c>
      <c r="N376">
        <v>3</v>
      </c>
      <c r="O376">
        <v>500</v>
      </c>
      <c r="P376">
        <v>1500</v>
      </c>
      <c r="Q376">
        <v>22.5</v>
      </c>
      <c r="R376">
        <v>30</v>
      </c>
    </row>
    <row r="377" spans="1:18" x14ac:dyDescent="0.35">
      <c r="A377">
        <v>373</v>
      </c>
      <c r="B377">
        <v>3</v>
      </c>
      <c r="C377">
        <v>10</v>
      </c>
      <c r="D377">
        <v>2023</v>
      </c>
      <c r="E377" t="s">
        <v>1059</v>
      </c>
      <c r="F377" t="s">
        <v>1064</v>
      </c>
      <c r="G377" t="s">
        <v>1061</v>
      </c>
      <c r="H377" s="18">
        <v>45202</v>
      </c>
      <c r="I377" t="s">
        <v>398</v>
      </c>
      <c r="J377" t="s">
        <v>23</v>
      </c>
      <c r="K377" t="s">
        <v>1034</v>
      </c>
      <c r="L377">
        <v>25</v>
      </c>
      <c r="M377" t="s">
        <v>21</v>
      </c>
      <c r="N377">
        <v>2</v>
      </c>
      <c r="O377">
        <v>300</v>
      </c>
      <c r="P377">
        <v>600</v>
      </c>
      <c r="Q377">
        <v>9</v>
      </c>
      <c r="R377">
        <v>12</v>
      </c>
    </row>
    <row r="378" spans="1:18" x14ac:dyDescent="0.35">
      <c r="A378">
        <v>374</v>
      </c>
      <c r="B378">
        <v>20</v>
      </c>
      <c r="C378">
        <v>4</v>
      </c>
      <c r="D378">
        <v>2023</v>
      </c>
      <c r="E378" t="s">
        <v>1072</v>
      </c>
      <c r="F378" t="s">
        <v>1077</v>
      </c>
      <c r="G378" t="s">
        <v>1061</v>
      </c>
      <c r="H378" s="18">
        <v>45036</v>
      </c>
      <c r="I378" t="s">
        <v>399</v>
      </c>
      <c r="J378" t="s">
        <v>23</v>
      </c>
      <c r="K378" t="s">
        <v>1032</v>
      </c>
      <c r="L378">
        <v>59</v>
      </c>
      <c r="M378" t="s">
        <v>21</v>
      </c>
      <c r="N378">
        <v>3</v>
      </c>
      <c r="O378">
        <v>25</v>
      </c>
      <c r="P378">
        <v>75</v>
      </c>
      <c r="Q378">
        <v>1.125</v>
      </c>
      <c r="R378">
        <v>1.5</v>
      </c>
    </row>
    <row r="379" spans="1:18" x14ac:dyDescent="0.35">
      <c r="A379">
        <v>375</v>
      </c>
      <c r="B379">
        <v>17</v>
      </c>
      <c r="C379">
        <v>9</v>
      </c>
      <c r="D379">
        <v>2023</v>
      </c>
      <c r="E379" t="s">
        <v>1063</v>
      </c>
      <c r="F379" t="s">
        <v>1071</v>
      </c>
      <c r="G379" t="s">
        <v>1061</v>
      </c>
      <c r="H379" s="18">
        <v>45186</v>
      </c>
      <c r="I379" t="s">
        <v>400</v>
      </c>
      <c r="J379" t="s">
        <v>20</v>
      </c>
      <c r="K379" t="s">
        <v>1030</v>
      </c>
      <c r="L379">
        <v>32</v>
      </c>
      <c r="M379" t="s">
        <v>21</v>
      </c>
      <c r="N379">
        <v>1</v>
      </c>
      <c r="O379">
        <v>50</v>
      </c>
      <c r="P379">
        <v>50</v>
      </c>
      <c r="Q379">
        <v>0.75</v>
      </c>
      <c r="R379">
        <v>1</v>
      </c>
    </row>
    <row r="380" spans="1:18" x14ac:dyDescent="0.35">
      <c r="A380">
        <v>376</v>
      </c>
      <c r="B380">
        <v>16</v>
      </c>
      <c r="C380">
        <v>5</v>
      </c>
      <c r="D380">
        <v>2023</v>
      </c>
      <c r="E380" t="s">
        <v>1059</v>
      </c>
      <c r="F380" t="s">
        <v>1076</v>
      </c>
      <c r="G380" t="s">
        <v>1061</v>
      </c>
      <c r="H380" s="18">
        <v>45062</v>
      </c>
      <c r="I380" t="s">
        <v>401</v>
      </c>
      <c r="J380" t="s">
        <v>23</v>
      </c>
      <c r="K380" t="s">
        <v>1032</v>
      </c>
      <c r="L380">
        <v>64</v>
      </c>
      <c r="M380" t="s">
        <v>21</v>
      </c>
      <c r="N380">
        <v>1</v>
      </c>
      <c r="O380">
        <v>30</v>
      </c>
      <c r="P380">
        <v>30</v>
      </c>
      <c r="Q380">
        <v>0.44999999999999996</v>
      </c>
      <c r="R380">
        <v>0.6</v>
      </c>
    </row>
    <row r="381" spans="1:18" x14ac:dyDescent="0.35">
      <c r="A381">
        <v>377</v>
      </c>
      <c r="B381">
        <v>9</v>
      </c>
      <c r="C381">
        <v>3</v>
      </c>
      <c r="D381">
        <v>2023</v>
      </c>
      <c r="E381" t="s">
        <v>1072</v>
      </c>
      <c r="F381" t="s">
        <v>1066</v>
      </c>
      <c r="G381" t="s">
        <v>1061</v>
      </c>
      <c r="H381" s="18">
        <v>44994</v>
      </c>
      <c r="I381" t="s">
        <v>402</v>
      </c>
      <c r="J381" t="s">
        <v>23</v>
      </c>
      <c r="K381" t="s">
        <v>1030</v>
      </c>
      <c r="L381">
        <v>46</v>
      </c>
      <c r="M381" t="s">
        <v>21</v>
      </c>
      <c r="N381">
        <v>4</v>
      </c>
      <c r="O381">
        <v>50</v>
      </c>
      <c r="P381">
        <v>200</v>
      </c>
      <c r="Q381">
        <v>3</v>
      </c>
      <c r="R381">
        <v>4</v>
      </c>
    </row>
    <row r="382" spans="1:18" x14ac:dyDescent="0.35">
      <c r="A382">
        <v>378</v>
      </c>
      <c r="B382">
        <v>28</v>
      </c>
      <c r="C382">
        <v>6</v>
      </c>
      <c r="D382">
        <v>2023</v>
      </c>
      <c r="E382" t="s">
        <v>1065</v>
      </c>
      <c r="F382" t="s">
        <v>1069</v>
      </c>
      <c r="G382" t="s">
        <v>1061</v>
      </c>
      <c r="H382" s="18">
        <v>45105</v>
      </c>
      <c r="I382" t="s">
        <v>403</v>
      </c>
      <c r="J382" t="s">
        <v>20</v>
      </c>
      <c r="K382" t="s">
        <v>1030</v>
      </c>
      <c r="L382">
        <v>50</v>
      </c>
      <c r="M382" t="s">
        <v>21</v>
      </c>
      <c r="N382">
        <v>1</v>
      </c>
      <c r="O382">
        <v>300</v>
      </c>
      <c r="P382">
        <v>300</v>
      </c>
      <c r="Q382">
        <v>4.5</v>
      </c>
      <c r="R382">
        <v>6</v>
      </c>
    </row>
    <row r="383" spans="1:18" x14ac:dyDescent="0.35">
      <c r="A383">
        <v>379</v>
      </c>
      <c r="B383">
        <v>5</v>
      </c>
      <c r="C383">
        <v>2</v>
      </c>
      <c r="D383">
        <v>2023</v>
      </c>
      <c r="E383" t="s">
        <v>1063</v>
      </c>
      <c r="F383" t="s">
        <v>1073</v>
      </c>
      <c r="G383" t="s">
        <v>1061</v>
      </c>
      <c r="H383" s="18">
        <v>44962</v>
      </c>
      <c r="I383" t="s">
        <v>404</v>
      </c>
      <c r="J383" t="s">
        <v>23</v>
      </c>
      <c r="K383" t="s">
        <v>1030</v>
      </c>
      <c r="L383">
        <v>47</v>
      </c>
      <c r="M383" t="s">
        <v>21</v>
      </c>
      <c r="N383">
        <v>1</v>
      </c>
      <c r="O383">
        <v>25</v>
      </c>
      <c r="P383">
        <v>25</v>
      </c>
      <c r="Q383">
        <v>0.375</v>
      </c>
      <c r="R383">
        <v>0.5</v>
      </c>
    </row>
    <row r="384" spans="1:18" x14ac:dyDescent="0.35">
      <c r="A384">
        <v>380</v>
      </c>
      <c r="B384">
        <v>6</v>
      </c>
      <c r="C384">
        <v>5</v>
      </c>
      <c r="D384">
        <v>2023</v>
      </c>
      <c r="E384" t="s">
        <v>1075</v>
      </c>
      <c r="F384" t="s">
        <v>1076</v>
      </c>
      <c r="G384" t="s">
        <v>1061</v>
      </c>
      <c r="H384" s="18">
        <v>45052</v>
      </c>
      <c r="I384" t="s">
        <v>405</v>
      </c>
      <c r="J384" t="s">
        <v>20</v>
      </c>
      <c r="K384" t="s">
        <v>1032</v>
      </c>
      <c r="L384">
        <v>56</v>
      </c>
      <c r="M384" t="s">
        <v>21</v>
      </c>
      <c r="N384">
        <v>2</v>
      </c>
      <c r="O384">
        <v>300</v>
      </c>
      <c r="P384">
        <v>600</v>
      </c>
      <c r="Q384">
        <v>9</v>
      </c>
      <c r="R384">
        <v>12</v>
      </c>
    </row>
    <row r="385" spans="1:18" x14ac:dyDescent="0.35">
      <c r="A385">
        <v>381</v>
      </c>
      <c r="B385">
        <v>9</v>
      </c>
      <c r="C385">
        <v>7</v>
      </c>
      <c r="D385">
        <v>2023</v>
      </c>
      <c r="E385" t="s">
        <v>1063</v>
      </c>
      <c r="F385" t="s">
        <v>1078</v>
      </c>
      <c r="G385" t="s">
        <v>1061</v>
      </c>
      <c r="H385" s="18">
        <v>45116</v>
      </c>
      <c r="I385" t="s">
        <v>406</v>
      </c>
      <c r="J385" t="s">
        <v>23</v>
      </c>
      <c r="K385" t="s">
        <v>1030</v>
      </c>
      <c r="L385">
        <v>44</v>
      </c>
      <c r="M385" t="s">
        <v>21</v>
      </c>
      <c r="N385">
        <v>4</v>
      </c>
      <c r="O385">
        <v>25</v>
      </c>
      <c r="P385">
        <v>100</v>
      </c>
      <c r="Q385">
        <v>1.5</v>
      </c>
      <c r="R385">
        <v>2</v>
      </c>
    </row>
    <row r="386" spans="1:18" x14ac:dyDescent="0.35">
      <c r="A386">
        <v>382</v>
      </c>
      <c r="B386">
        <v>26</v>
      </c>
      <c r="C386">
        <v>5</v>
      </c>
      <c r="D386">
        <v>2023</v>
      </c>
      <c r="E386" t="s">
        <v>1070</v>
      </c>
      <c r="F386" t="s">
        <v>1076</v>
      </c>
      <c r="G386" t="s">
        <v>1061</v>
      </c>
      <c r="H386" s="18">
        <v>45072</v>
      </c>
      <c r="I386" t="s">
        <v>407</v>
      </c>
      <c r="J386" t="s">
        <v>23</v>
      </c>
      <c r="K386" t="s">
        <v>1032</v>
      </c>
      <c r="L386">
        <v>53</v>
      </c>
      <c r="M386" t="s">
        <v>21</v>
      </c>
      <c r="N386">
        <v>2</v>
      </c>
      <c r="O386">
        <v>500</v>
      </c>
      <c r="P386">
        <v>1000</v>
      </c>
      <c r="Q386">
        <v>15</v>
      </c>
      <c r="R386">
        <v>20</v>
      </c>
    </row>
    <row r="387" spans="1:18" x14ac:dyDescent="0.35">
      <c r="A387">
        <v>383</v>
      </c>
      <c r="B387">
        <v>22</v>
      </c>
      <c r="C387">
        <v>3</v>
      </c>
      <c r="D387">
        <v>2023</v>
      </c>
      <c r="E387" t="s">
        <v>1065</v>
      </c>
      <c r="F387" t="s">
        <v>1066</v>
      </c>
      <c r="G387" t="s">
        <v>1061</v>
      </c>
      <c r="H387" s="18">
        <v>45007</v>
      </c>
      <c r="I387" t="s">
        <v>408</v>
      </c>
      <c r="J387" t="s">
        <v>23</v>
      </c>
      <c r="K387" t="s">
        <v>1030</v>
      </c>
      <c r="L387">
        <v>46</v>
      </c>
      <c r="M387" t="s">
        <v>21</v>
      </c>
      <c r="N387">
        <v>3</v>
      </c>
      <c r="O387">
        <v>30</v>
      </c>
      <c r="P387">
        <v>90</v>
      </c>
      <c r="Q387">
        <v>1.3499999999999999</v>
      </c>
      <c r="R387">
        <v>1.8</v>
      </c>
    </row>
    <row r="388" spans="1:18" x14ac:dyDescent="0.35">
      <c r="A388">
        <v>384</v>
      </c>
      <c r="B388">
        <v>13</v>
      </c>
      <c r="C388">
        <v>8</v>
      </c>
      <c r="D388">
        <v>2023</v>
      </c>
      <c r="E388" t="s">
        <v>1063</v>
      </c>
      <c r="F388" t="s">
        <v>1074</v>
      </c>
      <c r="G388" t="s">
        <v>1061</v>
      </c>
      <c r="H388" s="18">
        <v>45151</v>
      </c>
      <c r="I388" t="s">
        <v>409</v>
      </c>
      <c r="J388" t="s">
        <v>20</v>
      </c>
      <c r="K388" t="s">
        <v>1032</v>
      </c>
      <c r="L388">
        <v>55</v>
      </c>
      <c r="M388" t="s">
        <v>21</v>
      </c>
      <c r="N388">
        <v>1</v>
      </c>
      <c r="O388">
        <v>500</v>
      </c>
      <c r="P388">
        <v>500</v>
      </c>
      <c r="Q388">
        <v>7.5</v>
      </c>
      <c r="R388">
        <v>10</v>
      </c>
    </row>
    <row r="389" spans="1:18" x14ac:dyDescent="0.35">
      <c r="A389">
        <v>385</v>
      </c>
      <c r="B389">
        <v>6</v>
      </c>
      <c r="C389">
        <v>10</v>
      </c>
      <c r="D389">
        <v>2023</v>
      </c>
      <c r="E389" t="s">
        <v>1070</v>
      </c>
      <c r="F389" t="s">
        <v>1064</v>
      </c>
      <c r="G389" t="s">
        <v>1061</v>
      </c>
      <c r="H389" s="18">
        <v>45205</v>
      </c>
      <c r="I389" t="s">
        <v>410</v>
      </c>
      <c r="J389" t="s">
        <v>20</v>
      </c>
      <c r="K389" t="s">
        <v>1030</v>
      </c>
      <c r="L389">
        <v>50</v>
      </c>
      <c r="M389" t="s">
        <v>21</v>
      </c>
      <c r="N389">
        <v>3</v>
      </c>
      <c r="O389">
        <v>500</v>
      </c>
      <c r="P389">
        <v>1500</v>
      </c>
      <c r="Q389">
        <v>22.5</v>
      </c>
      <c r="R389">
        <v>30</v>
      </c>
    </row>
    <row r="390" spans="1:18" x14ac:dyDescent="0.35">
      <c r="A390">
        <v>386</v>
      </c>
      <c r="B390">
        <v>27</v>
      </c>
      <c r="C390">
        <v>12</v>
      </c>
      <c r="D390">
        <v>2023</v>
      </c>
      <c r="E390" t="s">
        <v>1065</v>
      </c>
      <c r="F390" t="s">
        <v>1062</v>
      </c>
      <c r="G390" t="s">
        <v>1061</v>
      </c>
      <c r="H390" s="18">
        <v>45287</v>
      </c>
      <c r="I390" t="s">
        <v>411</v>
      </c>
      <c r="J390" t="s">
        <v>23</v>
      </c>
      <c r="K390" t="s">
        <v>1032</v>
      </c>
      <c r="L390">
        <v>54</v>
      </c>
      <c r="M390" t="s">
        <v>21</v>
      </c>
      <c r="N390">
        <v>2</v>
      </c>
      <c r="O390">
        <v>300</v>
      </c>
      <c r="P390">
        <v>600</v>
      </c>
      <c r="Q390">
        <v>9</v>
      </c>
      <c r="R390">
        <v>12</v>
      </c>
    </row>
    <row r="391" spans="1:18" x14ac:dyDescent="0.35">
      <c r="A391">
        <v>387</v>
      </c>
      <c r="B391">
        <v>4</v>
      </c>
      <c r="C391">
        <v>6</v>
      </c>
      <c r="D391">
        <v>2023</v>
      </c>
      <c r="E391" t="s">
        <v>1063</v>
      </c>
      <c r="F391" t="s">
        <v>1069</v>
      </c>
      <c r="G391" t="s">
        <v>1061</v>
      </c>
      <c r="H391" s="18">
        <v>45081</v>
      </c>
      <c r="I391" t="s">
        <v>412</v>
      </c>
      <c r="J391" t="s">
        <v>20</v>
      </c>
      <c r="K391" t="s">
        <v>1030</v>
      </c>
      <c r="L391">
        <v>44</v>
      </c>
      <c r="M391" t="s">
        <v>21</v>
      </c>
      <c r="N391">
        <v>1</v>
      </c>
      <c r="O391">
        <v>30</v>
      </c>
      <c r="P391">
        <v>30</v>
      </c>
      <c r="Q391">
        <v>0.44999999999999996</v>
      </c>
      <c r="R391">
        <v>0.6</v>
      </c>
    </row>
    <row r="392" spans="1:18" x14ac:dyDescent="0.35">
      <c r="A392">
        <v>388</v>
      </c>
      <c r="B392">
        <v>10</v>
      </c>
      <c r="C392">
        <v>11</v>
      </c>
      <c r="D392">
        <v>2023</v>
      </c>
      <c r="E392" t="s">
        <v>1070</v>
      </c>
      <c r="F392" t="s">
        <v>1068</v>
      </c>
      <c r="G392" t="s">
        <v>1061</v>
      </c>
      <c r="H392" s="18">
        <v>45240</v>
      </c>
      <c r="I392" t="s">
        <v>413</v>
      </c>
      <c r="J392" t="s">
        <v>20</v>
      </c>
      <c r="K392" t="s">
        <v>1030</v>
      </c>
      <c r="L392">
        <v>50</v>
      </c>
      <c r="M392" t="s">
        <v>21</v>
      </c>
      <c r="N392">
        <v>1</v>
      </c>
      <c r="O392">
        <v>25</v>
      </c>
      <c r="P392">
        <v>25</v>
      </c>
      <c r="Q392">
        <v>0.375</v>
      </c>
      <c r="R392">
        <v>0.5</v>
      </c>
    </row>
    <row r="393" spans="1:18" x14ac:dyDescent="0.35">
      <c r="A393">
        <v>389</v>
      </c>
      <c r="B393">
        <v>1</v>
      </c>
      <c r="C393">
        <v>12</v>
      </c>
      <c r="D393">
        <v>2023</v>
      </c>
      <c r="E393" t="s">
        <v>1070</v>
      </c>
      <c r="F393" t="s">
        <v>1062</v>
      </c>
      <c r="G393" t="s">
        <v>1061</v>
      </c>
      <c r="H393" s="18">
        <v>45261</v>
      </c>
      <c r="I393" t="s">
        <v>414</v>
      </c>
      <c r="J393" t="s">
        <v>20</v>
      </c>
      <c r="K393" t="s">
        <v>1034</v>
      </c>
      <c r="L393">
        <v>21</v>
      </c>
      <c r="M393" t="s">
        <v>21</v>
      </c>
      <c r="N393">
        <v>2</v>
      </c>
      <c r="O393">
        <v>25</v>
      </c>
      <c r="P393">
        <v>50</v>
      </c>
      <c r="Q393">
        <v>0.75</v>
      </c>
      <c r="R393">
        <v>1</v>
      </c>
    </row>
    <row r="394" spans="1:18" x14ac:dyDescent="0.35">
      <c r="A394">
        <v>390</v>
      </c>
      <c r="B394">
        <v>28</v>
      </c>
      <c r="C394">
        <v>9</v>
      </c>
      <c r="D394">
        <v>2023</v>
      </c>
      <c r="E394" t="s">
        <v>1072</v>
      </c>
      <c r="F394" t="s">
        <v>1071</v>
      </c>
      <c r="G394" t="s">
        <v>1061</v>
      </c>
      <c r="H394" s="18">
        <v>45197</v>
      </c>
      <c r="I394" t="s">
        <v>415</v>
      </c>
      <c r="J394" t="s">
        <v>20</v>
      </c>
      <c r="K394" t="s">
        <v>1030</v>
      </c>
      <c r="L394">
        <v>39</v>
      </c>
      <c r="M394" t="s">
        <v>21</v>
      </c>
      <c r="N394">
        <v>2</v>
      </c>
      <c r="O394">
        <v>50</v>
      </c>
      <c r="P394">
        <v>100</v>
      </c>
      <c r="Q394">
        <v>1.5</v>
      </c>
      <c r="R394">
        <v>2</v>
      </c>
    </row>
    <row r="395" spans="1:18" x14ac:dyDescent="0.35">
      <c r="A395">
        <v>391</v>
      </c>
      <c r="B395">
        <v>5</v>
      </c>
      <c r="C395">
        <v>1</v>
      </c>
      <c r="D395">
        <v>2023</v>
      </c>
      <c r="E395" t="s">
        <v>1072</v>
      </c>
      <c r="F395" t="s">
        <v>1060</v>
      </c>
      <c r="G395" t="s">
        <v>1061</v>
      </c>
      <c r="H395" s="18">
        <v>44931</v>
      </c>
      <c r="I395" t="s">
        <v>416</v>
      </c>
      <c r="J395" t="s">
        <v>20</v>
      </c>
      <c r="K395" t="s">
        <v>1034</v>
      </c>
      <c r="L395">
        <v>19</v>
      </c>
      <c r="M395" t="s">
        <v>21</v>
      </c>
      <c r="N395">
        <v>2</v>
      </c>
      <c r="O395">
        <v>25</v>
      </c>
      <c r="P395">
        <v>50</v>
      </c>
      <c r="Q395">
        <v>0.75</v>
      </c>
      <c r="R395">
        <v>1</v>
      </c>
    </row>
    <row r="396" spans="1:18" x14ac:dyDescent="0.35">
      <c r="A396">
        <v>392</v>
      </c>
      <c r="B396">
        <v>8</v>
      </c>
      <c r="C396">
        <v>12</v>
      </c>
      <c r="D396">
        <v>2023</v>
      </c>
      <c r="E396" t="s">
        <v>1070</v>
      </c>
      <c r="F396" t="s">
        <v>1062</v>
      </c>
      <c r="G396" t="s">
        <v>1061</v>
      </c>
      <c r="H396" s="18">
        <v>45268</v>
      </c>
      <c r="I396" t="s">
        <v>417</v>
      </c>
      <c r="J396" t="s">
        <v>20</v>
      </c>
      <c r="K396" t="s">
        <v>1034</v>
      </c>
      <c r="L396">
        <v>27</v>
      </c>
      <c r="M396" t="s">
        <v>21</v>
      </c>
      <c r="N396">
        <v>2</v>
      </c>
      <c r="O396">
        <v>300</v>
      </c>
      <c r="P396">
        <v>600</v>
      </c>
      <c r="Q396">
        <v>9</v>
      </c>
      <c r="R396">
        <v>12</v>
      </c>
    </row>
    <row r="397" spans="1:18" x14ac:dyDescent="0.35">
      <c r="A397">
        <v>393</v>
      </c>
      <c r="B397">
        <v>11</v>
      </c>
      <c r="C397">
        <v>10</v>
      </c>
      <c r="D397">
        <v>2023</v>
      </c>
      <c r="E397" t="s">
        <v>1065</v>
      </c>
      <c r="F397" t="s">
        <v>1064</v>
      </c>
      <c r="G397" t="s">
        <v>1061</v>
      </c>
      <c r="H397" s="18">
        <v>45210</v>
      </c>
      <c r="I397" t="s">
        <v>418</v>
      </c>
      <c r="J397" t="s">
        <v>23</v>
      </c>
      <c r="K397" t="s">
        <v>1034</v>
      </c>
      <c r="L397">
        <v>22</v>
      </c>
      <c r="M397" t="s">
        <v>21</v>
      </c>
      <c r="N397">
        <v>2</v>
      </c>
      <c r="O397">
        <v>500</v>
      </c>
      <c r="P397">
        <v>1000</v>
      </c>
      <c r="Q397">
        <v>15</v>
      </c>
      <c r="R397">
        <v>20</v>
      </c>
    </row>
    <row r="398" spans="1:18" x14ac:dyDescent="0.35">
      <c r="A398">
        <v>394</v>
      </c>
      <c r="B398">
        <v>3</v>
      </c>
      <c r="C398">
        <v>6</v>
      </c>
      <c r="D398">
        <v>2023</v>
      </c>
      <c r="E398" t="s">
        <v>1075</v>
      </c>
      <c r="F398" t="s">
        <v>1069</v>
      </c>
      <c r="G398" t="s">
        <v>1061</v>
      </c>
      <c r="H398" s="18">
        <v>45080</v>
      </c>
      <c r="I398" t="s">
        <v>419</v>
      </c>
      <c r="J398" t="s">
        <v>23</v>
      </c>
      <c r="K398" t="s">
        <v>1034</v>
      </c>
      <c r="L398">
        <v>27</v>
      </c>
      <c r="M398" t="s">
        <v>21</v>
      </c>
      <c r="N398">
        <v>1</v>
      </c>
      <c r="O398">
        <v>500</v>
      </c>
      <c r="P398">
        <v>500</v>
      </c>
      <c r="Q398">
        <v>7.5</v>
      </c>
      <c r="R398">
        <v>10</v>
      </c>
    </row>
    <row r="399" spans="1:18" x14ac:dyDescent="0.35">
      <c r="A399">
        <v>395</v>
      </c>
      <c r="B399">
        <v>6</v>
      </c>
      <c r="C399">
        <v>12</v>
      </c>
      <c r="D399">
        <v>2023</v>
      </c>
      <c r="E399" t="s">
        <v>1065</v>
      </c>
      <c r="F399" t="s">
        <v>1062</v>
      </c>
      <c r="G399" t="s">
        <v>1061</v>
      </c>
      <c r="H399" s="18">
        <v>45266</v>
      </c>
      <c r="I399" t="s">
        <v>420</v>
      </c>
      <c r="J399" t="s">
        <v>20</v>
      </c>
      <c r="K399" t="s">
        <v>1030</v>
      </c>
      <c r="L399">
        <v>50</v>
      </c>
      <c r="M399" t="s">
        <v>21</v>
      </c>
      <c r="N399">
        <v>2</v>
      </c>
      <c r="O399">
        <v>500</v>
      </c>
      <c r="P399">
        <v>1000</v>
      </c>
      <c r="Q399">
        <v>15</v>
      </c>
      <c r="R399">
        <v>20</v>
      </c>
    </row>
    <row r="400" spans="1:18" x14ac:dyDescent="0.35">
      <c r="A400">
        <v>396</v>
      </c>
      <c r="B400">
        <v>23</v>
      </c>
      <c r="C400">
        <v>2</v>
      </c>
      <c r="D400">
        <v>2023</v>
      </c>
      <c r="E400" t="s">
        <v>1072</v>
      </c>
      <c r="F400" t="s">
        <v>1073</v>
      </c>
      <c r="G400" t="s">
        <v>1061</v>
      </c>
      <c r="H400" s="18">
        <v>44980</v>
      </c>
      <c r="I400" t="s">
        <v>421</v>
      </c>
      <c r="J400" t="s">
        <v>23</v>
      </c>
      <c r="K400" t="s">
        <v>1032</v>
      </c>
      <c r="L400">
        <v>55</v>
      </c>
      <c r="M400" t="s">
        <v>21</v>
      </c>
      <c r="N400">
        <v>1</v>
      </c>
      <c r="O400">
        <v>30</v>
      </c>
      <c r="P400">
        <v>30</v>
      </c>
      <c r="Q400">
        <v>0.44999999999999996</v>
      </c>
      <c r="R400">
        <v>0.6</v>
      </c>
    </row>
    <row r="401" spans="1:18" x14ac:dyDescent="0.35">
      <c r="A401">
        <v>397</v>
      </c>
      <c r="B401">
        <v>10</v>
      </c>
      <c r="C401">
        <v>3</v>
      </c>
      <c r="D401">
        <v>2023</v>
      </c>
      <c r="E401" t="s">
        <v>1070</v>
      </c>
      <c r="F401" t="s">
        <v>1066</v>
      </c>
      <c r="G401" t="s">
        <v>1061</v>
      </c>
      <c r="H401" s="18">
        <v>44995</v>
      </c>
      <c r="I401" t="s">
        <v>422</v>
      </c>
      <c r="J401" t="s">
        <v>23</v>
      </c>
      <c r="K401" t="s">
        <v>1030</v>
      </c>
      <c r="L401">
        <v>30</v>
      </c>
      <c r="M401" t="s">
        <v>21</v>
      </c>
      <c r="N401">
        <v>1</v>
      </c>
      <c r="O401">
        <v>25</v>
      </c>
      <c r="P401">
        <v>25</v>
      </c>
      <c r="Q401">
        <v>0.375</v>
      </c>
      <c r="R401">
        <v>0.5</v>
      </c>
    </row>
    <row r="402" spans="1:18" x14ac:dyDescent="0.35">
      <c r="A402">
        <v>398</v>
      </c>
      <c r="B402">
        <v>16</v>
      </c>
      <c r="C402">
        <v>5</v>
      </c>
      <c r="D402">
        <v>2023</v>
      </c>
      <c r="E402" t="s">
        <v>1059</v>
      </c>
      <c r="F402" t="s">
        <v>1076</v>
      </c>
      <c r="G402" t="s">
        <v>1061</v>
      </c>
      <c r="H402" s="18">
        <v>45062</v>
      </c>
      <c r="I402" t="s">
        <v>423</v>
      </c>
      <c r="J402" t="s">
        <v>23</v>
      </c>
      <c r="K402" t="s">
        <v>1030</v>
      </c>
      <c r="L402">
        <v>48</v>
      </c>
      <c r="M402" t="s">
        <v>21</v>
      </c>
      <c r="N402">
        <v>2</v>
      </c>
      <c r="O402">
        <v>300</v>
      </c>
      <c r="P402">
        <v>600</v>
      </c>
      <c r="Q402">
        <v>9</v>
      </c>
      <c r="R402">
        <v>12</v>
      </c>
    </row>
    <row r="403" spans="1:18" x14ac:dyDescent="0.35">
      <c r="A403">
        <v>399</v>
      </c>
      <c r="B403">
        <v>1</v>
      </c>
      <c r="C403">
        <v>3</v>
      </c>
      <c r="D403">
        <v>2023</v>
      </c>
      <c r="E403" t="s">
        <v>1065</v>
      </c>
      <c r="F403" t="s">
        <v>1066</v>
      </c>
      <c r="G403" t="s">
        <v>1061</v>
      </c>
      <c r="H403" s="18">
        <v>44986</v>
      </c>
      <c r="I403" t="s">
        <v>424</v>
      </c>
      <c r="J403" t="s">
        <v>23</v>
      </c>
      <c r="K403" t="s">
        <v>1032</v>
      </c>
      <c r="L403">
        <v>64</v>
      </c>
      <c r="M403" t="s">
        <v>21</v>
      </c>
      <c r="N403">
        <v>2</v>
      </c>
      <c r="O403">
        <v>30</v>
      </c>
      <c r="P403">
        <v>60</v>
      </c>
      <c r="Q403">
        <v>0.89999999999999991</v>
      </c>
      <c r="R403">
        <v>1.2</v>
      </c>
    </row>
    <row r="404" spans="1:18" x14ac:dyDescent="0.35">
      <c r="A404">
        <v>400</v>
      </c>
      <c r="B404">
        <v>24</v>
      </c>
      <c r="C404">
        <v>2</v>
      </c>
      <c r="D404">
        <v>2023</v>
      </c>
      <c r="E404" t="s">
        <v>1070</v>
      </c>
      <c r="F404" t="s">
        <v>1073</v>
      </c>
      <c r="G404" t="s">
        <v>1061</v>
      </c>
      <c r="H404" s="18">
        <v>44981</v>
      </c>
      <c r="I404" t="s">
        <v>425</v>
      </c>
      <c r="J404" t="s">
        <v>20</v>
      </c>
      <c r="K404" t="s">
        <v>1032</v>
      </c>
      <c r="L404">
        <v>53</v>
      </c>
      <c r="M404" t="s">
        <v>21</v>
      </c>
      <c r="N404">
        <v>4</v>
      </c>
      <c r="O404">
        <v>50</v>
      </c>
      <c r="P404">
        <v>200</v>
      </c>
      <c r="Q404">
        <v>3</v>
      </c>
      <c r="R404">
        <v>4</v>
      </c>
    </row>
    <row r="405" spans="1:18" x14ac:dyDescent="0.35">
      <c r="A405">
        <v>401</v>
      </c>
      <c r="B405">
        <v>11</v>
      </c>
      <c r="C405">
        <v>10</v>
      </c>
      <c r="D405">
        <v>2023</v>
      </c>
      <c r="E405" t="s">
        <v>1065</v>
      </c>
      <c r="F405" t="s">
        <v>1064</v>
      </c>
      <c r="G405" t="s">
        <v>1061</v>
      </c>
      <c r="H405" s="18">
        <v>45210</v>
      </c>
      <c r="I405" t="s">
        <v>426</v>
      </c>
      <c r="J405" t="s">
        <v>23</v>
      </c>
      <c r="K405" t="s">
        <v>1032</v>
      </c>
      <c r="L405">
        <v>62</v>
      </c>
      <c r="M405" t="s">
        <v>21</v>
      </c>
      <c r="N405">
        <v>1</v>
      </c>
      <c r="O405">
        <v>300</v>
      </c>
      <c r="P405">
        <v>300</v>
      </c>
      <c r="Q405">
        <v>4.5</v>
      </c>
      <c r="R405">
        <v>6</v>
      </c>
    </row>
    <row r="406" spans="1:18" x14ac:dyDescent="0.35">
      <c r="A406">
        <v>402</v>
      </c>
      <c r="B406">
        <v>21</v>
      </c>
      <c r="C406">
        <v>3</v>
      </c>
      <c r="D406">
        <v>2023</v>
      </c>
      <c r="E406" t="s">
        <v>1059</v>
      </c>
      <c r="F406" t="s">
        <v>1066</v>
      </c>
      <c r="G406" t="s">
        <v>1061</v>
      </c>
      <c r="H406" s="18">
        <v>45006</v>
      </c>
      <c r="I406" t="s">
        <v>427</v>
      </c>
      <c r="J406" t="s">
        <v>23</v>
      </c>
      <c r="K406" t="s">
        <v>1030</v>
      </c>
      <c r="L406">
        <v>41</v>
      </c>
      <c r="M406" t="s">
        <v>21</v>
      </c>
      <c r="N406">
        <v>2</v>
      </c>
      <c r="O406">
        <v>300</v>
      </c>
      <c r="P406">
        <v>600</v>
      </c>
      <c r="Q406">
        <v>9</v>
      </c>
      <c r="R406">
        <v>12</v>
      </c>
    </row>
    <row r="407" spans="1:18" x14ac:dyDescent="0.35">
      <c r="A407">
        <v>403</v>
      </c>
      <c r="B407">
        <v>20</v>
      </c>
      <c r="C407">
        <v>5</v>
      </c>
      <c r="D407">
        <v>2023</v>
      </c>
      <c r="E407" t="s">
        <v>1075</v>
      </c>
      <c r="F407" t="s">
        <v>1076</v>
      </c>
      <c r="G407" t="s">
        <v>1061</v>
      </c>
      <c r="H407" s="18">
        <v>45066</v>
      </c>
      <c r="I407" t="s">
        <v>428</v>
      </c>
      <c r="J407" t="s">
        <v>20</v>
      </c>
      <c r="K407" t="s">
        <v>1030</v>
      </c>
      <c r="L407">
        <v>32</v>
      </c>
      <c r="M407" t="s">
        <v>21</v>
      </c>
      <c r="N407">
        <v>2</v>
      </c>
      <c r="O407">
        <v>300</v>
      </c>
      <c r="P407">
        <v>600</v>
      </c>
      <c r="Q407">
        <v>9</v>
      </c>
      <c r="R407">
        <v>12</v>
      </c>
    </row>
    <row r="408" spans="1:18" x14ac:dyDescent="0.35">
      <c r="A408">
        <v>404</v>
      </c>
      <c r="B408">
        <v>25</v>
      </c>
      <c r="C408">
        <v>5</v>
      </c>
      <c r="D408">
        <v>2023</v>
      </c>
      <c r="E408" t="s">
        <v>1072</v>
      </c>
      <c r="F408" t="s">
        <v>1076</v>
      </c>
      <c r="G408" t="s">
        <v>1061</v>
      </c>
      <c r="H408" s="18">
        <v>45071</v>
      </c>
      <c r="I408" t="s">
        <v>429</v>
      </c>
      <c r="J408" t="s">
        <v>20</v>
      </c>
      <c r="K408" t="s">
        <v>1030</v>
      </c>
      <c r="L408">
        <v>46</v>
      </c>
      <c r="M408" t="s">
        <v>21</v>
      </c>
      <c r="N408">
        <v>2</v>
      </c>
      <c r="O408">
        <v>500</v>
      </c>
      <c r="P408">
        <v>1000</v>
      </c>
      <c r="Q408">
        <v>15</v>
      </c>
      <c r="R408">
        <v>20</v>
      </c>
    </row>
    <row r="409" spans="1:18" x14ac:dyDescent="0.35">
      <c r="A409">
        <v>405</v>
      </c>
      <c r="B409">
        <v>6</v>
      </c>
      <c r="C409">
        <v>11</v>
      </c>
      <c r="D409">
        <v>2023</v>
      </c>
      <c r="E409" t="s">
        <v>1067</v>
      </c>
      <c r="F409" t="s">
        <v>1068</v>
      </c>
      <c r="G409" t="s">
        <v>1061</v>
      </c>
      <c r="H409" s="18">
        <v>45236</v>
      </c>
      <c r="I409" t="s">
        <v>430</v>
      </c>
      <c r="J409" t="s">
        <v>23</v>
      </c>
      <c r="K409" t="s">
        <v>1034</v>
      </c>
      <c r="L409">
        <v>25</v>
      </c>
      <c r="M409" t="s">
        <v>21</v>
      </c>
      <c r="N409">
        <v>4</v>
      </c>
      <c r="O409">
        <v>300</v>
      </c>
      <c r="P409">
        <v>1200</v>
      </c>
      <c r="Q409">
        <v>18</v>
      </c>
      <c r="R409">
        <v>24</v>
      </c>
    </row>
    <row r="410" spans="1:18" x14ac:dyDescent="0.35">
      <c r="A410">
        <v>406</v>
      </c>
      <c r="B410">
        <v>18</v>
      </c>
      <c r="C410">
        <v>4</v>
      </c>
      <c r="D410">
        <v>2023</v>
      </c>
      <c r="E410" t="s">
        <v>1059</v>
      </c>
      <c r="F410" t="s">
        <v>1077</v>
      </c>
      <c r="G410" t="s">
        <v>1061</v>
      </c>
      <c r="H410" s="18">
        <v>45034</v>
      </c>
      <c r="I410" t="s">
        <v>431</v>
      </c>
      <c r="J410" t="s">
        <v>23</v>
      </c>
      <c r="K410" t="s">
        <v>1034</v>
      </c>
      <c r="L410">
        <v>22</v>
      </c>
      <c r="M410" t="s">
        <v>21</v>
      </c>
      <c r="N410">
        <v>4</v>
      </c>
      <c r="O410">
        <v>25</v>
      </c>
      <c r="P410">
        <v>100</v>
      </c>
      <c r="Q410">
        <v>1.5</v>
      </c>
      <c r="R410">
        <v>2</v>
      </c>
    </row>
    <row r="411" spans="1:18" x14ac:dyDescent="0.35">
      <c r="A411">
        <v>407</v>
      </c>
      <c r="B411">
        <v>25</v>
      </c>
      <c r="C411">
        <v>6</v>
      </c>
      <c r="D411">
        <v>2023</v>
      </c>
      <c r="E411" t="s">
        <v>1063</v>
      </c>
      <c r="F411" t="s">
        <v>1069</v>
      </c>
      <c r="G411" t="s">
        <v>1061</v>
      </c>
      <c r="H411" s="18">
        <v>45102</v>
      </c>
      <c r="I411" t="s">
        <v>432</v>
      </c>
      <c r="J411" t="s">
        <v>23</v>
      </c>
      <c r="K411" t="s">
        <v>1030</v>
      </c>
      <c r="L411">
        <v>46</v>
      </c>
      <c r="M411" t="s">
        <v>21</v>
      </c>
      <c r="N411">
        <v>3</v>
      </c>
      <c r="O411">
        <v>300</v>
      </c>
      <c r="P411">
        <v>900</v>
      </c>
      <c r="Q411">
        <v>13.5</v>
      </c>
      <c r="R411">
        <v>18</v>
      </c>
    </row>
    <row r="412" spans="1:18" x14ac:dyDescent="0.35">
      <c r="A412">
        <v>408</v>
      </c>
      <c r="B412">
        <v>15</v>
      </c>
      <c r="C412">
        <v>4</v>
      </c>
      <c r="D412">
        <v>2023</v>
      </c>
      <c r="E412" t="s">
        <v>1075</v>
      </c>
      <c r="F412" t="s">
        <v>1077</v>
      </c>
      <c r="G412" t="s">
        <v>1061</v>
      </c>
      <c r="H412" s="18">
        <v>45031</v>
      </c>
      <c r="I412" t="s">
        <v>433</v>
      </c>
      <c r="J412" t="s">
        <v>23</v>
      </c>
      <c r="K412" t="s">
        <v>1032</v>
      </c>
      <c r="L412">
        <v>64</v>
      </c>
      <c r="M412" t="s">
        <v>21</v>
      </c>
      <c r="N412">
        <v>1</v>
      </c>
      <c r="O412">
        <v>500</v>
      </c>
      <c r="P412">
        <v>500</v>
      </c>
      <c r="Q412">
        <v>7.5</v>
      </c>
      <c r="R412">
        <v>10</v>
      </c>
    </row>
    <row r="413" spans="1:18" x14ac:dyDescent="0.35">
      <c r="A413">
        <v>409</v>
      </c>
      <c r="B413">
        <v>18</v>
      </c>
      <c r="C413">
        <v>12</v>
      </c>
      <c r="D413">
        <v>2023</v>
      </c>
      <c r="E413" t="s">
        <v>1067</v>
      </c>
      <c r="F413" t="s">
        <v>1062</v>
      </c>
      <c r="G413" t="s">
        <v>1061</v>
      </c>
      <c r="H413" s="18">
        <v>45278</v>
      </c>
      <c r="I413" t="s">
        <v>434</v>
      </c>
      <c r="J413" t="s">
        <v>23</v>
      </c>
      <c r="K413" t="s">
        <v>1034</v>
      </c>
      <c r="L413">
        <v>21</v>
      </c>
      <c r="M413" t="s">
        <v>21</v>
      </c>
      <c r="N413">
        <v>3</v>
      </c>
      <c r="O413">
        <v>300</v>
      </c>
      <c r="P413">
        <v>900</v>
      </c>
      <c r="Q413">
        <v>13.5</v>
      </c>
      <c r="R413">
        <v>18</v>
      </c>
    </row>
    <row r="414" spans="1:18" x14ac:dyDescent="0.35">
      <c r="A414">
        <v>410</v>
      </c>
      <c r="B414">
        <v>21</v>
      </c>
      <c r="C414">
        <v>11</v>
      </c>
      <c r="D414">
        <v>2023</v>
      </c>
      <c r="E414" t="s">
        <v>1059</v>
      </c>
      <c r="F414" t="s">
        <v>1068</v>
      </c>
      <c r="G414" t="s">
        <v>1061</v>
      </c>
      <c r="H414" s="18">
        <v>45251</v>
      </c>
      <c r="I414" t="s">
        <v>435</v>
      </c>
      <c r="J414" t="s">
        <v>23</v>
      </c>
      <c r="K414" t="s">
        <v>1034</v>
      </c>
      <c r="L414">
        <v>29</v>
      </c>
      <c r="M414" t="s">
        <v>21</v>
      </c>
      <c r="N414">
        <v>2</v>
      </c>
      <c r="O414">
        <v>50</v>
      </c>
      <c r="P414">
        <v>100</v>
      </c>
      <c r="Q414">
        <v>1.5</v>
      </c>
      <c r="R414">
        <v>2</v>
      </c>
    </row>
    <row r="415" spans="1:18" x14ac:dyDescent="0.35">
      <c r="A415">
        <v>411</v>
      </c>
      <c r="B415">
        <v>16</v>
      </c>
      <c r="C415">
        <v>5</v>
      </c>
      <c r="D415">
        <v>2023</v>
      </c>
      <c r="E415" t="s">
        <v>1059</v>
      </c>
      <c r="F415" t="s">
        <v>1076</v>
      </c>
      <c r="G415" t="s">
        <v>1061</v>
      </c>
      <c r="H415" s="18">
        <v>45062</v>
      </c>
      <c r="I415" t="s">
        <v>436</v>
      </c>
      <c r="J415" t="s">
        <v>20</v>
      </c>
      <c r="K415" t="s">
        <v>1032</v>
      </c>
      <c r="L415">
        <v>62</v>
      </c>
      <c r="M415" t="s">
        <v>21</v>
      </c>
      <c r="N415">
        <v>4</v>
      </c>
      <c r="O415">
        <v>50</v>
      </c>
      <c r="P415">
        <v>200</v>
      </c>
      <c r="Q415">
        <v>3</v>
      </c>
      <c r="R415">
        <v>4</v>
      </c>
    </row>
    <row r="416" spans="1:18" x14ac:dyDescent="0.35">
      <c r="A416">
        <v>412</v>
      </c>
      <c r="B416">
        <v>16</v>
      </c>
      <c r="C416">
        <v>9</v>
      </c>
      <c r="D416">
        <v>2023</v>
      </c>
      <c r="E416" t="s">
        <v>1075</v>
      </c>
      <c r="F416" t="s">
        <v>1071</v>
      </c>
      <c r="G416" t="s">
        <v>1061</v>
      </c>
      <c r="H416" s="18">
        <v>45185</v>
      </c>
      <c r="I416" t="s">
        <v>437</v>
      </c>
      <c r="J416" t="s">
        <v>23</v>
      </c>
      <c r="K416" t="s">
        <v>1034</v>
      </c>
      <c r="L416">
        <v>19</v>
      </c>
      <c r="M416" t="s">
        <v>21</v>
      </c>
      <c r="N416">
        <v>4</v>
      </c>
      <c r="O416">
        <v>500</v>
      </c>
      <c r="P416">
        <v>2000</v>
      </c>
      <c r="Q416">
        <v>30</v>
      </c>
      <c r="R416">
        <v>40</v>
      </c>
    </row>
    <row r="417" spans="1:18" x14ac:dyDescent="0.35">
      <c r="A417">
        <v>413</v>
      </c>
      <c r="B417">
        <v>8</v>
      </c>
      <c r="C417">
        <v>9</v>
      </c>
      <c r="D417">
        <v>2023</v>
      </c>
      <c r="E417" t="s">
        <v>1070</v>
      </c>
      <c r="F417" t="s">
        <v>1071</v>
      </c>
      <c r="G417" t="s">
        <v>1061</v>
      </c>
      <c r="H417" s="18">
        <v>45177</v>
      </c>
      <c r="I417" t="s">
        <v>438</v>
      </c>
      <c r="J417" t="s">
        <v>23</v>
      </c>
      <c r="K417" t="s">
        <v>1030</v>
      </c>
      <c r="L417">
        <v>44</v>
      </c>
      <c r="M417" t="s">
        <v>21</v>
      </c>
      <c r="N417">
        <v>3</v>
      </c>
      <c r="O417">
        <v>25</v>
      </c>
      <c r="P417">
        <v>75</v>
      </c>
      <c r="Q417">
        <v>1.125</v>
      </c>
      <c r="R417">
        <v>1.5</v>
      </c>
    </row>
    <row r="418" spans="1:18" x14ac:dyDescent="0.35">
      <c r="A418">
        <v>414</v>
      </c>
      <c r="B418">
        <v>9</v>
      </c>
      <c r="C418">
        <v>5</v>
      </c>
      <c r="D418">
        <v>2023</v>
      </c>
      <c r="E418" t="s">
        <v>1059</v>
      </c>
      <c r="F418" t="s">
        <v>1076</v>
      </c>
      <c r="G418" t="s">
        <v>1061</v>
      </c>
      <c r="H418" s="18">
        <v>45055</v>
      </c>
      <c r="I418" t="s">
        <v>439</v>
      </c>
      <c r="J418" t="s">
        <v>20</v>
      </c>
      <c r="K418" t="s">
        <v>1030</v>
      </c>
      <c r="L418">
        <v>48</v>
      </c>
      <c r="M418" t="s">
        <v>21</v>
      </c>
      <c r="N418">
        <v>4</v>
      </c>
      <c r="O418">
        <v>25</v>
      </c>
      <c r="P418">
        <v>100</v>
      </c>
      <c r="Q418">
        <v>1.5</v>
      </c>
      <c r="R418">
        <v>2</v>
      </c>
    </row>
    <row r="419" spans="1:18" x14ac:dyDescent="0.35">
      <c r="A419">
        <v>415</v>
      </c>
      <c r="B419">
        <v>27</v>
      </c>
      <c r="C419">
        <v>1</v>
      </c>
      <c r="D419">
        <v>2023</v>
      </c>
      <c r="E419" t="s">
        <v>1070</v>
      </c>
      <c r="F419" t="s">
        <v>1060</v>
      </c>
      <c r="G419" t="s">
        <v>1061</v>
      </c>
      <c r="H419" s="18">
        <v>44953</v>
      </c>
      <c r="I419" t="s">
        <v>440</v>
      </c>
      <c r="J419" t="s">
        <v>20</v>
      </c>
      <c r="K419" t="s">
        <v>1032</v>
      </c>
      <c r="L419">
        <v>53</v>
      </c>
      <c r="M419" t="s">
        <v>21</v>
      </c>
      <c r="N419">
        <v>2</v>
      </c>
      <c r="O419">
        <v>30</v>
      </c>
      <c r="P419">
        <v>60</v>
      </c>
      <c r="Q419">
        <v>0.89999999999999991</v>
      </c>
      <c r="R419">
        <v>1.2</v>
      </c>
    </row>
    <row r="420" spans="1:18" x14ac:dyDescent="0.35">
      <c r="A420">
        <v>416</v>
      </c>
      <c r="B420">
        <v>17</v>
      </c>
      <c r="C420">
        <v>2</v>
      </c>
      <c r="D420">
        <v>2023</v>
      </c>
      <c r="E420" t="s">
        <v>1070</v>
      </c>
      <c r="F420" t="s">
        <v>1073</v>
      </c>
      <c r="G420" t="s">
        <v>1061</v>
      </c>
      <c r="H420" s="18">
        <v>44974</v>
      </c>
      <c r="I420" t="s">
        <v>441</v>
      </c>
      <c r="J420" t="s">
        <v>20</v>
      </c>
      <c r="K420" t="s">
        <v>1032</v>
      </c>
      <c r="L420">
        <v>53</v>
      </c>
      <c r="M420" t="s">
        <v>21</v>
      </c>
      <c r="N420">
        <v>4</v>
      </c>
      <c r="O420">
        <v>500</v>
      </c>
      <c r="P420">
        <v>2000</v>
      </c>
      <c r="Q420">
        <v>30</v>
      </c>
      <c r="R420">
        <v>40</v>
      </c>
    </row>
    <row r="421" spans="1:18" x14ac:dyDescent="0.35">
      <c r="A421">
        <v>417</v>
      </c>
      <c r="B421">
        <v>21</v>
      </c>
      <c r="C421">
        <v>11</v>
      </c>
      <c r="D421">
        <v>2023</v>
      </c>
      <c r="E421" t="s">
        <v>1059</v>
      </c>
      <c r="F421" t="s">
        <v>1068</v>
      </c>
      <c r="G421" t="s">
        <v>1061</v>
      </c>
      <c r="H421" s="18">
        <v>45251</v>
      </c>
      <c r="I421" t="s">
        <v>442</v>
      </c>
      <c r="J421" t="s">
        <v>20</v>
      </c>
      <c r="K421" t="s">
        <v>1030</v>
      </c>
      <c r="L421">
        <v>43</v>
      </c>
      <c r="M421" t="s">
        <v>21</v>
      </c>
      <c r="N421">
        <v>3</v>
      </c>
      <c r="O421">
        <v>300</v>
      </c>
      <c r="P421">
        <v>900</v>
      </c>
      <c r="Q421">
        <v>13.5</v>
      </c>
      <c r="R421">
        <v>18</v>
      </c>
    </row>
    <row r="422" spans="1:18" x14ac:dyDescent="0.35">
      <c r="A422">
        <v>418</v>
      </c>
      <c r="B422">
        <v>5</v>
      </c>
      <c r="C422">
        <v>8</v>
      </c>
      <c r="D422">
        <v>2023</v>
      </c>
      <c r="E422" t="s">
        <v>1075</v>
      </c>
      <c r="F422" t="s">
        <v>1074</v>
      </c>
      <c r="G422" t="s">
        <v>1061</v>
      </c>
      <c r="H422" s="18">
        <v>45143</v>
      </c>
      <c r="I422" t="s">
        <v>443</v>
      </c>
      <c r="J422" t="s">
        <v>23</v>
      </c>
      <c r="K422" t="s">
        <v>1032</v>
      </c>
      <c r="L422">
        <v>60</v>
      </c>
      <c r="M422" t="s">
        <v>21</v>
      </c>
      <c r="N422">
        <v>2</v>
      </c>
      <c r="O422">
        <v>500</v>
      </c>
      <c r="P422">
        <v>1000</v>
      </c>
      <c r="Q422">
        <v>15</v>
      </c>
      <c r="R422">
        <v>20</v>
      </c>
    </row>
    <row r="423" spans="1:18" x14ac:dyDescent="0.35">
      <c r="A423">
        <v>419</v>
      </c>
      <c r="B423">
        <v>22</v>
      </c>
      <c r="C423">
        <v>5</v>
      </c>
      <c r="D423">
        <v>2023</v>
      </c>
      <c r="E423" t="s">
        <v>1067</v>
      </c>
      <c r="F423" t="s">
        <v>1076</v>
      </c>
      <c r="G423" t="s">
        <v>1061</v>
      </c>
      <c r="H423" s="18">
        <v>45068</v>
      </c>
      <c r="I423" t="s">
        <v>444</v>
      </c>
      <c r="J423" t="s">
        <v>23</v>
      </c>
      <c r="K423" t="s">
        <v>1030</v>
      </c>
      <c r="L423">
        <v>44</v>
      </c>
      <c r="M423" t="s">
        <v>21</v>
      </c>
      <c r="N423">
        <v>3</v>
      </c>
      <c r="O423">
        <v>30</v>
      </c>
      <c r="P423">
        <v>90</v>
      </c>
      <c r="Q423">
        <v>1.3499999999999999</v>
      </c>
      <c r="R423">
        <v>1.8</v>
      </c>
    </row>
    <row r="424" spans="1:18" x14ac:dyDescent="0.35">
      <c r="A424">
        <v>420</v>
      </c>
      <c r="B424">
        <v>23</v>
      </c>
      <c r="C424">
        <v>1</v>
      </c>
      <c r="D424">
        <v>2023</v>
      </c>
      <c r="E424" t="s">
        <v>1067</v>
      </c>
      <c r="F424" t="s">
        <v>1060</v>
      </c>
      <c r="G424" t="s">
        <v>1061</v>
      </c>
      <c r="H424" s="18">
        <v>44949</v>
      </c>
      <c r="I424" t="s">
        <v>445</v>
      </c>
      <c r="J424" t="s">
        <v>23</v>
      </c>
      <c r="K424" t="s">
        <v>1034</v>
      </c>
      <c r="L424">
        <v>22</v>
      </c>
      <c r="M424" t="s">
        <v>21</v>
      </c>
      <c r="N424">
        <v>4</v>
      </c>
      <c r="O424">
        <v>500</v>
      </c>
      <c r="P424">
        <v>2000</v>
      </c>
      <c r="Q424">
        <v>30</v>
      </c>
      <c r="R424">
        <v>40</v>
      </c>
    </row>
    <row r="425" spans="1:18" x14ac:dyDescent="0.35">
      <c r="A425">
        <v>421</v>
      </c>
      <c r="B425">
        <v>2</v>
      </c>
      <c r="C425">
        <v>1</v>
      </c>
      <c r="D425">
        <v>2023</v>
      </c>
      <c r="E425" t="s">
        <v>1067</v>
      </c>
      <c r="F425" t="s">
        <v>1060</v>
      </c>
      <c r="G425" t="s">
        <v>1061</v>
      </c>
      <c r="H425" s="18">
        <v>44928</v>
      </c>
      <c r="I425" t="s">
        <v>446</v>
      </c>
      <c r="J425" t="s">
        <v>23</v>
      </c>
      <c r="K425" t="s">
        <v>1030</v>
      </c>
      <c r="L425">
        <v>37</v>
      </c>
      <c r="M425" t="s">
        <v>21</v>
      </c>
      <c r="N425">
        <v>3</v>
      </c>
      <c r="O425">
        <v>500</v>
      </c>
      <c r="P425">
        <v>1500</v>
      </c>
      <c r="Q425">
        <v>22.5</v>
      </c>
      <c r="R425">
        <v>30</v>
      </c>
    </row>
    <row r="426" spans="1:18" x14ac:dyDescent="0.35">
      <c r="A426">
        <v>422</v>
      </c>
      <c r="B426">
        <v>20</v>
      </c>
      <c r="C426">
        <v>6</v>
      </c>
      <c r="D426">
        <v>2023</v>
      </c>
      <c r="E426" t="s">
        <v>1059</v>
      </c>
      <c r="F426" t="s">
        <v>1069</v>
      </c>
      <c r="G426" t="s">
        <v>1061</v>
      </c>
      <c r="H426" s="18">
        <v>45097</v>
      </c>
      <c r="I426" t="s">
        <v>447</v>
      </c>
      <c r="J426" t="s">
        <v>23</v>
      </c>
      <c r="K426" t="s">
        <v>1034</v>
      </c>
      <c r="L426">
        <v>28</v>
      </c>
      <c r="M426" t="s">
        <v>21</v>
      </c>
      <c r="N426">
        <v>3</v>
      </c>
      <c r="O426">
        <v>30</v>
      </c>
      <c r="P426">
        <v>90</v>
      </c>
      <c r="Q426">
        <v>1.3499999999999999</v>
      </c>
      <c r="R426">
        <v>1.8</v>
      </c>
    </row>
    <row r="427" spans="1:18" x14ac:dyDescent="0.35">
      <c r="A427">
        <v>423</v>
      </c>
      <c r="B427">
        <v>8</v>
      </c>
      <c r="C427">
        <v>3</v>
      </c>
      <c r="D427">
        <v>2023</v>
      </c>
      <c r="E427" t="s">
        <v>1065</v>
      </c>
      <c r="F427" t="s">
        <v>1066</v>
      </c>
      <c r="G427" t="s">
        <v>1061</v>
      </c>
      <c r="H427" s="18">
        <v>44993</v>
      </c>
      <c r="I427" t="s">
        <v>448</v>
      </c>
      <c r="J427" t="s">
        <v>23</v>
      </c>
      <c r="K427" t="s">
        <v>1034</v>
      </c>
      <c r="L427">
        <v>27</v>
      </c>
      <c r="M427" t="s">
        <v>21</v>
      </c>
      <c r="N427">
        <v>1</v>
      </c>
      <c r="O427">
        <v>25</v>
      </c>
      <c r="P427">
        <v>25</v>
      </c>
      <c r="Q427">
        <v>0.375</v>
      </c>
      <c r="R427">
        <v>0.5</v>
      </c>
    </row>
    <row r="428" spans="1:18" x14ac:dyDescent="0.35">
      <c r="A428">
        <v>424</v>
      </c>
      <c r="B428">
        <v>23</v>
      </c>
      <c r="C428">
        <v>11</v>
      </c>
      <c r="D428">
        <v>2023</v>
      </c>
      <c r="E428" t="s">
        <v>1072</v>
      </c>
      <c r="F428" t="s">
        <v>1068</v>
      </c>
      <c r="G428" t="s">
        <v>1061</v>
      </c>
      <c r="H428" s="18">
        <v>45253</v>
      </c>
      <c r="I428" t="s">
        <v>449</v>
      </c>
      <c r="J428" t="s">
        <v>20</v>
      </c>
      <c r="K428" t="s">
        <v>1032</v>
      </c>
      <c r="L428">
        <v>57</v>
      </c>
      <c r="M428" t="s">
        <v>21</v>
      </c>
      <c r="N428">
        <v>4</v>
      </c>
      <c r="O428">
        <v>300</v>
      </c>
      <c r="P428">
        <v>1200</v>
      </c>
      <c r="Q428">
        <v>18</v>
      </c>
      <c r="R428">
        <v>24</v>
      </c>
    </row>
    <row r="429" spans="1:18" x14ac:dyDescent="0.35">
      <c r="A429">
        <v>425</v>
      </c>
      <c r="B429">
        <v>15</v>
      </c>
      <c r="C429">
        <v>5</v>
      </c>
      <c r="D429">
        <v>2023</v>
      </c>
      <c r="E429" t="s">
        <v>1067</v>
      </c>
      <c r="F429" t="s">
        <v>1076</v>
      </c>
      <c r="G429" t="s">
        <v>1061</v>
      </c>
      <c r="H429" s="18">
        <v>45061</v>
      </c>
      <c r="I429" t="s">
        <v>450</v>
      </c>
      <c r="J429" t="s">
        <v>23</v>
      </c>
      <c r="K429" t="s">
        <v>1032</v>
      </c>
      <c r="L429">
        <v>55</v>
      </c>
      <c r="M429" t="s">
        <v>21</v>
      </c>
      <c r="N429">
        <v>4</v>
      </c>
      <c r="O429">
        <v>30</v>
      </c>
      <c r="P429">
        <v>120</v>
      </c>
      <c r="Q429">
        <v>1.7999999999999998</v>
      </c>
      <c r="R429">
        <v>2.4</v>
      </c>
    </row>
    <row r="430" spans="1:18" x14ac:dyDescent="0.35">
      <c r="A430">
        <v>426</v>
      </c>
      <c r="B430">
        <v>24</v>
      </c>
      <c r="C430">
        <v>3</v>
      </c>
      <c r="D430">
        <v>2023</v>
      </c>
      <c r="E430" t="s">
        <v>1070</v>
      </c>
      <c r="F430" t="s">
        <v>1066</v>
      </c>
      <c r="G430" t="s">
        <v>1061</v>
      </c>
      <c r="H430" s="18">
        <v>45009</v>
      </c>
      <c r="I430" t="s">
        <v>451</v>
      </c>
      <c r="J430" t="s">
        <v>20</v>
      </c>
      <c r="K430" t="s">
        <v>1034</v>
      </c>
      <c r="L430">
        <v>23</v>
      </c>
      <c r="M430" t="s">
        <v>21</v>
      </c>
      <c r="N430">
        <v>3</v>
      </c>
      <c r="O430">
        <v>50</v>
      </c>
      <c r="P430">
        <v>150</v>
      </c>
      <c r="Q430">
        <v>2.25</v>
      </c>
      <c r="R430">
        <v>3</v>
      </c>
    </row>
    <row r="431" spans="1:18" x14ac:dyDescent="0.35">
      <c r="A431">
        <v>427</v>
      </c>
      <c r="B431">
        <v>15</v>
      </c>
      <c r="C431">
        <v>8</v>
      </c>
      <c r="D431">
        <v>2023</v>
      </c>
      <c r="E431" t="s">
        <v>1059</v>
      </c>
      <c r="F431" t="s">
        <v>1074</v>
      </c>
      <c r="G431" t="s">
        <v>1061</v>
      </c>
      <c r="H431" s="18">
        <v>45153</v>
      </c>
      <c r="I431" t="s">
        <v>452</v>
      </c>
      <c r="J431" t="s">
        <v>20</v>
      </c>
      <c r="K431" t="s">
        <v>1034</v>
      </c>
      <c r="L431">
        <v>25</v>
      </c>
      <c r="M431" t="s">
        <v>21</v>
      </c>
      <c r="N431">
        <v>1</v>
      </c>
      <c r="O431">
        <v>25</v>
      </c>
      <c r="P431">
        <v>25</v>
      </c>
      <c r="Q431">
        <v>0.375</v>
      </c>
      <c r="R431">
        <v>0.5</v>
      </c>
    </row>
    <row r="432" spans="1:18" x14ac:dyDescent="0.35">
      <c r="A432">
        <v>428</v>
      </c>
      <c r="B432">
        <v>10</v>
      </c>
      <c r="C432">
        <v>10</v>
      </c>
      <c r="D432">
        <v>2023</v>
      </c>
      <c r="E432" t="s">
        <v>1059</v>
      </c>
      <c r="F432" t="s">
        <v>1064</v>
      </c>
      <c r="G432" t="s">
        <v>1061</v>
      </c>
      <c r="H432" s="18">
        <v>45209</v>
      </c>
      <c r="I432" t="s">
        <v>453</v>
      </c>
      <c r="J432" t="s">
        <v>23</v>
      </c>
      <c r="K432" t="s">
        <v>1030</v>
      </c>
      <c r="L432">
        <v>40</v>
      </c>
      <c r="M432" t="s">
        <v>21</v>
      </c>
      <c r="N432">
        <v>4</v>
      </c>
      <c r="O432">
        <v>50</v>
      </c>
      <c r="P432">
        <v>200</v>
      </c>
      <c r="Q432">
        <v>3</v>
      </c>
      <c r="R432">
        <v>4</v>
      </c>
    </row>
    <row r="433" spans="1:18" x14ac:dyDescent="0.35">
      <c r="A433">
        <v>429</v>
      </c>
      <c r="B433">
        <v>28</v>
      </c>
      <c r="C433">
        <v>12</v>
      </c>
      <c r="D433">
        <v>2023</v>
      </c>
      <c r="E433" t="s">
        <v>1072</v>
      </c>
      <c r="F433" t="s">
        <v>1062</v>
      </c>
      <c r="G433" t="s">
        <v>1061</v>
      </c>
      <c r="H433" s="18">
        <v>45288</v>
      </c>
      <c r="I433" t="s">
        <v>454</v>
      </c>
      <c r="J433" t="s">
        <v>20</v>
      </c>
      <c r="K433" t="s">
        <v>1032</v>
      </c>
      <c r="L433">
        <v>64</v>
      </c>
      <c r="M433" t="s">
        <v>21</v>
      </c>
      <c r="N433">
        <v>2</v>
      </c>
      <c r="O433">
        <v>25</v>
      </c>
      <c r="P433">
        <v>50</v>
      </c>
      <c r="Q433">
        <v>0.75</v>
      </c>
      <c r="R433">
        <v>1</v>
      </c>
    </row>
    <row r="434" spans="1:18" x14ac:dyDescent="0.35">
      <c r="A434">
        <v>430</v>
      </c>
      <c r="B434">
        <v>7</v>
      </c>
      <c r="C434">
        <v>8</v>
      </c>
      <c r="D434">
        <v>2023</v>
      </c>
      <c r="E434" t="s">
        <v>1067</v>
      </c>
      <c r="F434" t="s">
        <v>1074</v>
      </c>
      <c r="G434" t="s">
        <v>1061</v>
      </c>
      <c r="H434" s="18">
        <v>45145</v>
      </c>
      <c r="I434" t="s">
        <v>455</v>
      </c>
      <c r="J434" t="s">
        <v>23</v>
      </c>
      <c r="K434" t="s">
        <v>1030</v>
      </c>
      <c r="L434">
        <v>43</v>
      </c>
      <c r="M434" t="s">
        <v>21</v>
      </c>
      <c r="N434">
        <v>3</v>
      </c>
      <c r="O434">
        <v>300</v>
      </c>
      <c r="P434">
        <v>900</v>
      </c>
      <c r="Q434">
        <v>13.5</v>
      </c>
      <c r="R434">
        <v>18</v>
      </c>
    </row>
    <row r="435" spans="1:18" x14ac:dyDescent="0.35">
      <c r="A435">
        <v>431</v>
      </c>
      <c r="B435">
        <v>15</v>
      </c>
      <c r="C435">
        <v>10</v>
      </c>
      <c r="D435">
        <v>2023</v>
      </c>
      <c r="E435" t="s">
        <v>1063</v>
      </c>
      <c r="F435" t="s">
        <v>1064</v>
      </c>
      <c r="G435" t="s">
        <v>1061</v>
      </c>
      <c r="H435" s="18">
        <v>45214</v>
      </c>
      <c r="I435" t="s">
        <v>456</v>
      </c>
      <c r="J435" t="s">
        <v>20</v>
      </c>
      <c r="K435" t="s">
        <v>1032</v>
      </c>
      <c r="L435">
        <v>63</v>
      </c>
      <c r="M435" t="s">
        <v>21</v>
      </c>
      <c r="N435">
        <v>4</v>
      </c>
      <c r="O435">
        <v>300</v>
      </c>
      <c r="P435">
        <v>1200</v>
      </c>
      <c r="Q435">
        <v>18</v>
      </c>
      <c r="R435">
        <v>24</v>
      </c>
    </row>
    <row r="436" spans="1:18" x14ac:dyDescent="0.35">
      <c r="A436">
        <v>432</v>
      </c>
      <c r="B436">
        <v>5</v>
      </c>
      <c r="C436">
        <v>1</v>
      </c>
      <c r="D436">
        <v>2023</v>
      </c>
      <c r="E436" t="s">
        <v>1072</v>
      </c>
      <c r="F436" t="s">
        <v>1060</v>
      </c>
      <c r="G436" t="s">
        <v>1061</v>
      </c>
      <c r="H436" s="18">
        <v>44931</v>
      </c>
      <c r="I436" t="s">
        <v>457</v>
      </c>
      <c r="J436" t="s">
        <v>23</v>
      </c>
      <c r="K436" t="s">
        <v>1032</v>
      </c>
      <c r="L436">
        <v>60</v>
      </c>
      <c r="M436" t="s">
        <v>21</v>
      </c>
      <c r="N436">
        <v>2</v>
      </c>
      <c r="O436">
        <v>500</v>
      </c>
      <c r="P436">
        <v>1000</v>
      </c>
      <c r="Q436">
        <v>15</v>
      </c>
      <c r="R436">
        <v>20</v>
      </c>
    </row>
    <row r="437" spans="1:18" x14ac:dyDescent="0.35">
      <c r="A437">
        <v>433</v>
      </c>
      <c r="B437">
        <v>27</v>
      </c>
      <c r="C437">
        <v>2</v>
      </c>
      <c r="D437">
        <v>2023</v>
      </c>
      <c r="E437" t="s">
        <v>1067</v>
      </c>
      <c r="F437" t="s">
        <v>1073</v>
      </c>
      <c r="G437" t="s">
        <v>1061</v>
      </c>
      <c r="H437" s="18">
        <v>44984</v>
      </c>
      <c r="I437" t="s">
        <v>458</v>
      </c>
      <c r="J437" t="s">
        <v>20</v>
      </c>
      <c r="K437" t="s">
        <v>1034</v>
      </c>
      <c r="L437">
        <v>29</v>
      </c>
      <c r="M437" t="s">
        <v>21</v>
      </c>
      <c r="N437">
        <v>4</v>
      </c>
      <c r="O437">
        <v>50</v>
      </c>
      <c r="P437">
        <v>200</v>
      </c>
      <c r="Q437">
        <v>3</v>
      </c>
      <c r="R437">
        <v>4</v>
      </c>
    </row>
    <row r="438" spans="1:18" x14ac:dyDescent="0.35">
      <c r="A438">
        <v>434</v>
      </c>
      <c r="B438">
        <v>8</v>
      </c>
      <c r="C438">
        <v>2</v>
      </c>
      <c r="D438">
        <v>2023</v>
      </c>
      <c r="E438" t="s">
        <v>1065</v>
      </c>
      <c r="F438" t="s">
        <v>1073</v>
      </c>
      <c r="G438" t="s">
        <v>1061</v>
      </c>
      <c r="H438" s="18">
        <v>44965</v>
      </c>
      <c r="I438" t="s">
        <v>459</v>
      </c>
      <c r="J438" t="s">
        <v>23</v>
      </c>
      <c r="K438" t="s">
        <v>1030</v>
      </c>
      <c r="L438">
        <v>43</v>
      </c>
      <c r="M438" t="s">
        <v>21</v>
      </c>
      <c r="N438">
        <v>2</v>
      </c>
      <c r="O438">
        <v>25</v>
      </c>
      <c r="P438">
        <v>50</v>
      </c>
      <c r="Q438">
        <v>0.75</v>
      </c>
      <c r="R438">
        <v>1</v>
      </c>
    </row>
    <row r="439" spans="1:18" x14ac:dyDescent="0.35">
      <c r="A439">
        <v>435</v>
      </c>
      <c r="B439">
        <v>20</v>
      </c>
      <c r="C439">
        <v>12</v>
      </c>
      <c r="D439">
        <v>2023</v>
      </c>
      <c r="E439" t="s">
        <v>1065</v>
      </c>
      <c r="F439" t="s">
        <v>1062</v>
      </c>
      <c r="G439" t="s">
        <v>1061</v>
      </c>
      <c r="H439" s="18">
        <v>45280</v>
      </c>
      <c r="I439" t="s">
        <v>460</v>
      </c>
      <c r="J439" t="s">
        <v>23</v>
      </c>
      <c r="K439" t="s">
        <v>1030</v>
      </c>
      <c r="L439">
        <v>30</v>
      </c>
      <c r="M439" t="s">
        <v>21</v>
      </c>
      <c r="N439">
        <v>3</v>
      </c>
      <c r="O439">
        <v>300</v>
      </c>
      <c r="P439">
        <v>900</v>
      </c>
      <c r="Q439">
        <v>13.5</v>
      </c>
      <c r="R439">
        <v>18</v>
      </c>
    </row>
    <row r="440" spans="1:18" x14ac:dyDescent="0.35">
      <c r="A440">
        <v>436</v>
      </c>
      <c r="B440">
        <v>18</v>
      </c>
      <c r="C440">
        <v>3</v>
      </c>
      <c r="D440">
        <v>2023</v>
      </c>
      <c r="E440" t="s">
        <v>1075</v>
      </c>
      <c r="F440" t="s">
        <v>1066</v>
      </c>
      <c r="G440" t="s">
        <v>1061</v>
      </c>
      <c r="H440" s="18">
        <v>45003</v>
      </c>
      <c r="I440" t="s">
        <v>461</v>
      </c>
      <c r="J440" t="s">
        <v>23</v>
      </c>
      <c r="K440" t="s">
        <v>1032</v>
      </c>
      <c r="L440">
        <v>57</v>
      </c>
      <c r="M440" t="s">
        <v>21</v>
      </c>
      <c r="N440">
        <v>4</v>
      </c>
      <c r="O440">
        <v>30</v>
      </c>
      <c r="P440">
        <v>120</v>
      </c>
      <c r="Q440">
        <v>1.7999999999999998</v>
      </c>
      <c r="R440">
        <v>2.4</v>
      </c>
    </row>
    <row r="441" spans="1:18" x14ac:dyDescent="0.35">
      <c r="A441">
        <v>437</v>
      </c>
      <c r="B441">
        <v>7</v>
      </c>
      <c r="C441">
        <v>10</v>
      </c>
      <c r="D441">
        <v>2023</v>
      </c>
      <c r="E441" t="s">
        <v>1075</v>
      </c>
      <c r="F441" t="s">
        <v>1064</v>
      </c>
      <c r="G441" t="s">
        <v>1061</v>
      </c>
      <c r="H441" s="18">
        <v>45206</v>
      </c>
      <c r="I441" t="s">
        <v>462</v>
      </c>
      <c r="J441" t="s">
        <v>23</v>
      </c>
      <c r="K441" t="s">
        <v>1030</v>
      </c>
      <c r="L441">
        <v>35</v>
      </c>
      <c r="M441" t="s">
        <v>21</v>
      </c>
      <c r="N441">
        <v>4</v>
      </c>
      <c r="O441">
        <v>300</v>
      </c>
      <c r="P441">
        <v>1200</v>
      </c>
      <c r="Q441">
        <v>18</v>
      </c>
      <c r="R441">
        <v>24</v>
      </c>
    </row>
    <row r="442" spans="1:18" x14ac:dyDescent="0.35">
      <c r="A442">
        <v>438</v>
      </c>
      <c r="B442">
        <v>19</v>
      </c>
      <c r="C442">
        <v>1</v>
      </c>
      <c r="D442">
        <v>2023</v>
      </c>
      <c r="E442" t="s">
        <v>1072</v>
      </c>
      <c r="F442" t="s">
        <v>1060</v>
      </c>
      <c r="G442" t="s">
        <v>1061</v>
      </c>
      <c r="H442" s="18">
        <v>44945</v>
      </c>
      <c r="I442" t="s">
        <v>463</v>
      </c>
      <c r="J442" t="s">
        <v>23</v>
      </c>
      <c r="K442" t="s">
        <v>1030</v>
      </c>
      <c r="L442">
        <v>42</v>
      </c>
      <c r="M442" t="s">
        <v>21</v>
      </c>
      <c r="N442">
        <v>1</v>
      </c>
      <c r="O442">
        <v>30</v>
      </c>
      <c r="P442">
        <v>30</v>
      </c>
      <c r="Q442">
        <v>0.44999999999999996</v>
      </c>
      <c r="R442">
        <v>0.6</v>
      </c>
    </row>
    <row r="443" spans="1:18" x14ac:dyDescent="0.35">
      <c r="A443">
        <v>439</v>
      </c>
      <c r="B443">
        <v>9</v>
      </c>
      <c r="C443">
        <v>7</v>
      </c>
      <c r="D443">
        <v>2023</v>
      </c>
      <c r="E443" t="s">
        <v>1063</v>
      </c>
      <c r="F443" t="s">
        <v>1078</v>
      </c>
      <c r="G443" t="s">
        <v>1061</v>
      </c>
      <c r="H443" s="18">
        <v>45116</v>
      </c>
      <c r="I443" t="s">
        <v>464</v>
      </c>
      <c r="J443" t="s">
        <v>20</v>
      </c>
      <c r="K443" t="s">
        <v>1030</v>
      </c>
      <c r="L443">
        <v>50</v>
      </c>
      <c r="M443" t="s">
        <v>21</v>
      </c>
      <c r="N443">
        <v>3</v>
      </c>
      <c r="O443">
        <v>25</v>
      </c>
      <c r="P443">
        <v>75</v>
      </c>
      <c r="Q443">
        <v>1.125</v>
      </c>
      <c r="R443">
        <v>1.5</v>
      </c>
    </row>
    <row r="444" spans="1:18" x14ac:dyDescent="0.35">
      <c r="A444">
        <v>440</v>
      </c>
      <c r="B444">
        <v>26</v>
      </c>
      <c r="C444">
        <v>10</v>
      </c>
      <c r="D444">
        <v>2023</v>
      </c>
      <c r="E444" t="s">
        <v>1072</v>
      </c>
      <c r="F444" t="s">
        <v>1064</v>
      </c>
      <c r="G444" t="s">
        <v>1061</v>
      </c>
      <c r="H444" s="18">
        <v>45225</v>
      </c>
      <c r="I444" t="s">
        <v>465</v>
      </c>
      <c r="J444" t="s">
        <v>20</v>
      </c>
      <c r="K444" t="s">
        <v>1032</v>
      </c>
      <c r="L444">
        <v>64</v>
      </c>
      <c r="M444" t="s">
        <v>21</v>
      </c>
      <c r="N444">
        <v>2</v>
      </c>
      <c r="O444">
        <v>300</v>
      </c>
      <c r="P444">
        <v>600</v>
      </c>
      <c r="Q444">
        <v>9</v>
      </c>
      <c r="R444">
        <v>12</v>
      </c>
    </row>
    <row r="445" spans="1:18" x14ac:dyDescent="0.35">
      <c r="A445">
        <v>441</v>
      </c>
      <c r="B445">
        <v>10</v>
      </c>
      <c r="C445">
        <v>10</v>
      </c>
      <c r="D445">
        <v>2023</v>
      </c>
      <c r="E445" t="s">
        <v>1059</v>
      </c>
      <c r="F445" t="s">
        <v>1064</v>
      </c>
      <c r="G445" t="s">
        <v>1061</v>
      </c>
      <c r="H445" s="18">
        <v>45209</v>
      </c>
      <c r="I445" t="s">
        <v>466</v>
      </c>
      <c r="J445" t="s">
        <v>20</v>
      </c>
      <c r="K445" t="s">
        <v>1032</v>
      </c>
      <c r="L445">
        <v>57</v>
      </c>
      <c r="M445" t="s">
        <v>21</v>
      </c>
      <c r="N445">
        <v>4</v>
      </c>
      <c r="O445">
        <v>300</v>
      </c>
      <c r="P445">
        <v>1200</v>
      </c>
      <c r="Q445">
        <v>18</v>
      </c>
      <c r="R445">
        <v>24</v>
      </c>
    </row>
    <row r="446" spans="1:18" x14ac:dyDescent="0.35">
      <c r="A446">
        <v>442</v>
      </c>
      <c r="B446">
        <v>17</v>
      </c>
      <c r="C446">
        <v>3</v>
      </c>
      <c r="D446">
        <v>2023</v>
      </c>
      <c r="E446" t="s">
        <v>1070</v>
      </c>
      <c r="F446" t="s">
        <v>1066</v>
      </c>
      <c r="G446" t="s">
        <v>1061</v>
      </c>
      <c r="H446" s="18">
        <v>45002</v>
      </c>
      <c r="I446" t="s">
        <v>467</v>
      </c>
      <c r="J446" t="s">
        <v>23</v>
      </c>
      <c r="K446" t="s">
        <v>1032</v>
      </c>
      <c r="L446">
        <v>60</v>
      </c>
      <c r="M446" t="s">
        <v>21</v>
      </c>
      <c r="N446">
        <v>4</v>
      </c>
      <c r="O446">
        <v>25</v>
      </c>
      <c r="P446">
        <v>100</v>
      </c>
      <c r="Q446">
        <v>1.5</v>
      </c>
      <c r="R446">
        <v>2</v>
      </c>
    </row>
    <row r="447" spans="1:18" x14ac:dyDescent="0.35">
      <c r="A447">
        <v>443</v>
      </c>
      <c r="B447">
        <v>9</v>
      </c>
      <c r="C447">
        <v>8</v>
      </c>
      <c r="D447">
        <v>2023</v>
      </c>
      <c r="E447" t="s">
        <v>1065</v>
      </c>
      <c r="F447" t="s">
        <v>1074</v>
      </c>
      <c r="G447" t="s">
        <v>1061</v>
      </c>
      <c r="H447" s="18">
        <v>45147</v>
      </c>
      <c r="I447" t="s">
        <v>468</v>
      </c>
      <c r="J447" t="s">
        <v>20</v>
      </c>
      <c r="K447" t="s">
        <v>1034</v>
      </c>
      <c r="L447">
        <v>29</v>
      </c>
      <c r="M447" t="s">
        <v>21</v>
      </c>
      <c r="N447">
        <v>2</v>
      </c>
      <c r="O447">
        <v>300</v>
      </c>
      <c r="P447">
        <v>600</v>
      </c>
      <c r="Q447">
        <v>9</v>
      </c>
      <c r="R447">
        <v>12</v>
      </c>
    </row>
    <row r="448" spans="1:18" x14ac:dyDescent="0.35">
      <c r="A448">
        <v>444</v>
      </c>
      <c r="B448">
        <v>7</v>
      </c>
      <c r="C448">
        <v>3</v>
      </c>
      <c r="D448">
        <v>2023</v>
      </c>
      <c r="E448" t="s">
        <v>1059</v>
      </c>
      <c r="F448" t="s">
        <v>1066</v>
      </c>
      <c r="G448" t="s">
        <v>1061</v>
      </c>
      <c r="H448" s="18">
        <v>44992</v>
      </c>
      <c r="I448" t="s">
        <v>469</v>
      </c>
      <c r="J448" t="s">
        <v>23</v>
      </c>
      <c r="K448" t="s">
        <v>1032</v>
      </c>
      <c r="L448">
        <v>61</v>
      </c>
      <c r="M448" t="s">
        <v>21</v>
      </c>
      <c r="N448">
        <v>3</v>
      </c>
      <c r="O448">
        <v>30</v>
      </c>
      <c r="P448">
        <v>90</v>
      </c>
      <c r="Q448">
        <v>1.3499999999999999</v>
      </c>
      <c r="R448">
        <v>1.8</v>
      </c>
    </row>
    <row r="449" spans="1:18" x14ac:dyDescent="0.35">
      <c r="A449">
        <v>445</v>
      </c>
      <c r="B449">
        <v>22</v>
      </c>
      <c r="C449">
        <v>1</v>
      </c>
      <c r="D449">
        <v>2023</v>
      </c>
      <c r="E449" t="s">
        <v>1063</v>
      </c>
      <c r="F449" t="s">
        <v>1060</v>
      </c>
      <c r="G449" t="s">
        <v>1061</v>
      </c>
      <c r="H449" s="18">
        <v>44948</v>
      </c>
      <c r="I449" t="s">
        <v>470</v>
      </c>
      <c r="J449" t="s">
        <v>23</v>
      </c>
      <c r="K449" t="s">
        <v>1032</v>
      </c>
      <c r="L449">
        <v>53</v>
      </c>
      <c r="M449" t="s">
        <v>21</v>
      </c>
      <c r="N449">
        <v>1</v>
      </c>
      <c r="O449">
        <v>300</v>
      </c>
      <c r="P449">
        <v>300</v>
      </c>
      <c r="Q449">
        <v>4.5</v>
      </c>
      <c r="R449">
        <v>6</v>
      </c>
    </row>
    <row r="450" spans="1:18" x14ac:dyDescent="0.35">
      <c r="A450">
        <v>446</v>
      </c>
      <c r="B450">
        <v>7</v>
      </c>
      <c r="C450">
        <v>6</v>
      </c>
      <c r="D450">
        <v>2023</v>
      </c>
      <c r="E450" t="s">
        <v>1065</v>
      </c>
      <c r="F450" t="s">
        <v>1069</v>
      </c>
      <c r="G450" t="s">
        <v>1061</v>
      </c>
      <c r="H450" s="18">
        <v>45084</v>
      </c>
      <c r="I450" t="s">
        <v>471</v>
      </c>
      <c r="J450" t="s">
        <v>20</v>
      </c>
      <c r="K450" t="s">
        <v>1034</v>
      </c>
      <c r="L450">
        <v>21</v>
      </c>
      <c r="M450" t="s">
        <v>21</v>
      </c>
      <c r="N450">
        <v>1</v>
      </c>
      <c r="O450">
        <v>50</v>
      </c>
      <c r="P450">
        <v>50</v>
      </c>
      <c r="Q450">
        <v>0.75</v>
      </c>
      <c r="R450">
        <v>1</v>
      </c>
    </row>
    <row r="451" spans="1:18" x14ac:dyDescent="0.35">
      <c r="A451">
        <v>447</v>
      </c>
      <c r="B451">
        <v>6</v>
      </c>
      <c r="C451">
        <v>7</v>
      </c>
      <c r="D451">
        <v>2023</v>
      </c>
      <c r="E451" t="s">
        <v>1072</v>
      </c>
      <c r="F451" t="s">
        <v>1078</v>
      </c>
      <c r="G451" t="s">
        <v>1061</v>
      </c>
      <c r="H451" s="18">
        <v>45113</v>
      </c>
      <c r="I451" t="s">
        <v>472</v>
      </c>
      <c r="J451" t="s">
        <v>20</v>
      </c>
      <c r="K451" t="s">
        <v>1034</v>
      </c>
      <c r="L451">
        <v>22</v>
      </c>
      <c r="M451" t="s">
        <v>21</v>
      </c>
      <c r="N451">
        <v>4</v>
      </c>
      <c r="O451">
        <v>500</v>
      </c>
      <c r="P451">
        <v>2000</v>
      </c>
      <c r="Q451">
        <v>30</v>
      </c>
      <c r="R451">
        <v>40</v>
      </c>
    </row>
    <row r="452" spans="1:18" x14ac:dyDescent="0.35">
      <c r="A452">
        <v>448</v>
      </c>
      <c r="B452">
        <v>21</v>
      </c>
      <c r="C452">
        <v>1</v>
      </c>
      <c r="D452">
        <v>2023</v>
      </c>
      <c r="E452" t="s">
        <v>1075</v>
      </c>
      <c r="F452" t="s">
        <v>1060</v>
      </c>
      <c r="G452" t="s">
        <v>1061</v>
      </c>
      <c r="H452" s="18">
        <v>44947</v>
      </c>
      <c r="I452" t="s">
        <v>473</v>
      </c>
      <c r="J452" t="s">
        <v>23</v>
      </c>
      <c r="K452" t="s">
        <v>1032</v>
      </c>
      <c r="L452">
        <v>54</v>
      </c>
      <c r="M452" t="s">
        <v>21</v>
      </c>
      <c r="N452">
        <v>2</v>
      </c>
      <c r="O452">
        <v>30</v>
      </c>
      <c r="P452">
        <v>60</v>
      </c>
      <c r="Q452">
        <v>0.89999999999999991</v>
      </c>
      <c r="R452">
        <v>1.2</v>
      </c>
    </row>
    <row r="453" spans="1:18" x14ac:dyDescent="0.35">
      <c r="A453">
        <v>449</v>
      </c>
      <c r="B453">
        <v>3</v>
      </c>
      <c r="C453">
        <v>7</v>
      </c>
      <c r="D453">
        <v>2023</v>
      </c>
      <c r="E453" t="s">
        <v>1067</v>
      </c>
      <c r="F453" t="s">
        <v>1078</v>
      </c>
      <c r="G453" t="s">
        <v>1061</v>
      </c>
      <c r="H453" s="18">
        <v>45110</v>
      </c>
      <c r="I453" t="s">
        <v>474</v>
      </c>
      <c r="J453" t="s">
        <v>20</v>
      </c>
      <c r="K453" t="s">
        <v>1034</v>
      </c>
      <c r="L453">
        <v>25</v>
      </c>
      <c r="M453" t="s">
        <v>21</v>
      </c>
      <c r="N453">
        <v>4</v>
      </c>
      <c r="O453">
        <v>50</v>
      </c>
      <c r="P453">
        <v>200</v>
      </c>
      <c r="Q453">
        <v>3</v>
      </c>
      <c r="R453">
        <v>4</v>
      </c>
    </row>
    <row r="454" spans="1:18" x14ac:dyDescent="0.35">
      <c r="A454">
        <v>450</v>
      </c>
      <c r="B454">
        <v>18</v>
      </c>
      <c r="C454">
        <v>4</v>
      </c>
      <c r="D454">
        <v>2023</v>
      </c>
      <c r="E454" t="s">
        <v>1059</v>
      </c>
      <c r="F454" t="s">
        <v>1077</v>
      </c>
      <c r="G454" t="s">
        <v>1061</v>
      </c>
      <c r="H454" s="18">
        <v>45034</v>
      </c>
      <c r="I454" t="s">
        <v>475</v>
      </c>
      <c r="J454" t="s">
        <v>23</v>
      </c>
      <c r="K454" t="s">
        <v>1032</v>
      </c>
      <c r="L454">
        <v>59</v>
      </c>
      <c r="M454" t="s">
        <v>21</v>
      </c>
      <c r="N454">
        <v>2</v>
      </c>
      <c r="O454">
        <v>25</v>
      </c>
      <c r="P454">
        <v>50</v>
      </c>
      <c r="Q454">
        <v>0.75</v>
      </c>
      <c r="R454">
        <v>1</v>
      </c>
    </row>
    <row r="455" spans="1:18" x14ac:dyDescent="0.35">
      <c r="A455">
        <v>451</v>
      </c>
      <c r="B455">
        <v>16</v>
      </c>
      <c r="C455">
        <v>12</v>
      </c>
      <c r="D455">
        <v>2023</v>
      </c>
      <c r="E455" t="s">
        <v>1075</v>
      </c>
      <c r="F455" t="s">
        <v>1062</v>
      </c>
      <c r="G455" t="s">
        <v>1061</v>
      </c>
      <c r="H455" s="18">
        <v>45276</v>
      </c>
      <c r="I455" t="s">
        <v>476</v>
      </c>
      <c r="J455" t="s">
        <v>23</v>
      </c>
      <c r="K455" t="s">
        <v>1030</v>
      </c>
      <c r="L455">
        <v>45</v>
      </c>
      <c r="M455" t="s">
        <v>21</v>
      </c>
      <c r="N455">
        <v>1</v>
      </c>
      <c r="O455">
        <v>30</v>
      </c>
      <c r="P455">
        <v>30</v>
      </c>
      <c r="Q455">
        <v>0.44999999999999996</v>
      </c>
      <c r="R455">
        <v>0.6</v>
      </c>
    </row>
    <row r="456" spans="1:18" x14ac:dyDescent="0.35">
      <c r="A456">
        <v>452</v>
      </c>
      <c r="B456">
        <v>8</v>
      </c>
      <c r="C456">
        <v>5</v>
      </c>
      <c r="D456">
        <v>2023</v>
      </c>
      <c r="E456" t="s">
        <v>1067</v>
      </c>
      <c r="F456" t="s">
        <v>1076</v>
      </c>
      <c r="G456" t="s">
        <v>1061</v>
      </c>
      <c r="H456" s="18">
        <v>45054</v>
      </c>
      <c r="I456" t="s">
        <v>477</v>
      </c>
      <c r="J456" t="s">
        <v>23</v>
      </c>
      <c r="K456" t="s">
        <v>1030</v>
      </c>
      <c r="L456">
        <v>48</v>
      </c>
      <c r="M456" t="s">
        <v>21</v>
      </c>
      <c r="N456">
        <v>3</v>
      </c>
      <c r="O456">
        <v>500</v>
      </c>
      <c r="P456">
        <v>1500</v>
      </c>
      <c r="Q456">
        <v>22.5</v>
      </c>
      <c r="R456">
        <v>30</v>
      </c>
    </row>
    <row r="457" spans="1:18" x14ac:dyDescent="0.35">
      <c r="A457">
        <v>453</v>
      </c>
      <c r="B457">
        <v>8</v>
      </c>
      <c r="C457">
        <v>12</v>
      </c>
      <c r="D457">
        <v>2023</v>
      </c>
      <c r="E457" t="s">
        <v>1070</v>
      </c>
      <c r="F457" t="s">
        <v>1062</v>
      </c>
      <c r="G457" t="s">
        <v>1061</v>
      </c>
      <c r="H457" s="18">
        <v>45268</v>
      </c>
      <c r="I457" t="s">
        <v>478</v>
      </c>
      <c r="J457" t="s">
        <v>23</v>
      </c>
      <c r="K457" t="s">
        <v>1034</v>
      </c>
      <c r="L457">
        <v>26</v>
      </c>
      <c r="M457" t="s">
        <v>21</v>
      </c>
      <c r="N457">
        <v>2</v>
      </c>
      <c r="O457">
        <v>500</v>
      </c>
      <c r="P457">
        <v>1000</v>
      </c>
      <c r="Q457">
        <v>15</v>
      </c>
      <c r="R457">
        <v>20</v>
      </c>
    </row>
    <row r="458" spans="1:18" x14ac:dyDescent="0.35">
      <c r="A458">
        <v>454</v>
      </c>
      <c r="B458">
        <v>22</v>
      </c>
      <c r="C458">
        <v>2</v>
      </c>
      <c r="D458">
        <v>2023</v>
      </c>
      <c r="E458" t="s">
        <v>1065</v>
      </c>
      <c r="F458" t="s">
        <v>1073</v>
      </c>
      <c r="G458" t="s">
        <v>1061</v>
      </c>
      <c r="H458" s="18">
        <v>44979</v>
      </c>
      <c r="I458" t="s">
        <v>479</v>
      </c>
      <c r="J458" t="s">
        <v>23</v>
      </c>
      <c r="K458" t="s">
        <v>1030</v>
      </c>
      <c r="L458">
        <v>46</v>
      </c>
      <c r="M458" t="s">
        <v>21</v>
      </c>
      <c r="N458">
        <v>1</v>
      </c>
      <c r="O458">
        <v>25</v>
      </c>
      <c r="P458">
        <v>25</v>
      </c>
      <c r="Q458">
        <v>0.375</v>
      </c>
      <c r="R458">
        <v>0.5</v>
      </c>
    </row>
    <row r="459" spans="1:18" x14ac:dyDescent="0.35">
      <c r="A459">
        <v>455</v>
      </c>
      <c r="B459">
        <v>1</v>
      </c>
      <c r="C459">
        <v>7</v>
      </c>
      <c r="D459">
        <v>2023</v>
      </c>
      <c r="E459" t="s">
        <v>1075</v>
      </c>
      <c r="F459" t="s">
        <v>1078</v>
      </c>
      <c r="G459" t="s">
        <v>1061</v>
      </c>
      <c r="H459" s="18">
        <v>45108</v>
      </c>
      <c r="I459" t="s">
        <v>480</v>
      </c>
      <c r="J459" t="s">
        <v>20</v>
      </c>
      <c r="K459" t="s">
        <v>1030</v>
      </c>
      <c r="L459">
        <v>31</v>
      </c>
      <c r="M459" t="s">
        <v>21</v>
      </c>
      <c r="N459">
        <v>4</v>
      </c>
      <c r="O459">
        <v>25</v>
      </c>
      <c r="P459">
        <v>100</v>
      </c>
      <c r="Q459">
        <v>1.5</v>
      </c>
      <c r="R459">
        <v>2</v>
      </c>
    </row>
    <row r="460" spans="1:18" x14ac:dyDescent="0.35">
      <c r="A460">
        <v>456</v>
      </c>
      <c r="B460">
        <v>14</v>
      </c>
      <c r="C460">
        <v>10</v>
      </c>
      <c r="D460">
        <v>2023</v>
      </c>
      <c r="E460" t="s">
        <v>1075</v>
      </c>
      <c r="F460" t="s">
        <v>1064</v>
      </c>
      <c r="G460" t="s">
        <v>1061</v>
      </c>
      <c r="H460" s="18">
        <v>45213</v>
      </c>
      <c r="I460" t="s">
        <v>481</v>
      </c>
      <c r="J460" t="s">
        <v>20</v>
      </c>
      <c r="K460" t="s">
        <v>1032</v>
      </c>
      <c r="L460">
        <v>57</v>
      </c>
      <c r="M460" t="s">
        <v>21</v>
      </c>
      <c r="N460">
        <v>2</v>
      </c>
      <c r="O460">
        <v>30</v>
      </c>
      <c r="P460">
        <v>60</v>
      </c>
      <c r="Q460">
        <v>0.89999999999999991</v>
      </c>
      <c r="R460">
        <v>1.2</v>
      </c>
    </row>
    <row r="461" spans="1:18" x14ac:dyDescent="0.35">
      <c r="A461">
        <v>457</v>
      </c>
      <c r="B461">
        <v>28</v>
      </c>
      <c r="C461">
        <v>7</v>
      </c>
      <c r="D461">
        <v>2023</v>
      </c>
      <c r="E461" t="s">
        <v>1070</v>
      </c>
      <c r="F461" t="s">
        <v>1078</v>
      </c>
      <c r="G461" t="s">
        <v>1061</v>
      </c>
      <c r="H461" s="18">
        <v>45135</v>
      </c>
      <c r="I461" t="s">
        <v>482</v>
      </c>
      <c r="J461" t="s">
        <v>23</v>
      </c>
      <c r="K461" t="s">
        <v>1032</v>
      </c>
      <c r="L461">
        <v>58</v>
      </c>
      <c r="M461" t="s">
        <v>21</v>
      </c>
      <c r="N461">
        <v>3</v>
      </c>
      <c r="O461">
        <v>300</v>
      </c>
      <c r="P461">
        <v>900</v>
      </c>
      <c r="Q461">
        <v>13.5</v>
      </c>
      <c r="R461">
        <v>18</v>
      </c>
    </row>
    <row r="462" spans="1:18" x14ac:dyDescent="0.35">
      <c r="A462">
        <v>458</v>
      </c>
      <c r="B462">
        <v>14</v>
      </c>
      <c r="C462">
        <v>11</v>
      </c>
      <c r="D462">
        <v>2023</v>
      </c>
      <c r="E462" t="s">
        <v>1059</v>
      </c>
      <c r="F462" t="s">
        <v>1068</v>
      </c>
      <c r="G462" t="s">
        <v>1061</v>
      </c>
      <c r="H462" s="18">
        <v>45244</v>
      </c>
      <c r="I462" t="s">
        <v>483</v>
      </c>
      <c r="J462" t="s">
        <v>23</v>
      </c>
      <c r="K462" t="s">
        <v>1030</v>
      </c>
      <c r="L462">
        <v>39</v>
      </c>
      <c r="M462" t="s">
        <v>21</v>
      </c>
      <c r="N462">
        <v>4</v>
      </c>
      <c r="O462">
        <v>25</v>
      </c>
      <c r="P462">
        <v>100</v>
      </c>
      <c r="Q462">
        <v>1.5</v>
      </c>
      <c r="R462">
        <v>2</v>
      </c>
    </row>
    <row r="463" spans="1:18" x14ac:dyDescent="0.35">
      <c r="A463">
        <v>459</v>
      </c>
      <c r="B463">
        <v>21</v>
      </c>
      <c r="C463">
        <v>3</v>
      </c>
      <c r="D463">
        <v>2023</v>
      </c>
      <c r="E463" t="s">
        <v>1059</v>
      </c>
      <c r="F463" t="s">
        <v>1066</v>
      </c>
      <c r="G463" t="s">
        <v>1061</v>
      </c>
      <c r="H463" s="18">
        <v>45006</v>
      </c>
      <c r="I463" t="s">
        <v>484</v>
      </c>
      <c r="J463" t="s">
        <v>20</v>
      </c>
      <c r="K463" t="s">
        <v>1034</v>
      </c>
      <c r="L463">
        <v>28</v>
      </c>
      <c r="M463" t="s">
        <v>21</v>
      </c>
      <c r="N463">
        <v>4</v>
      </c>
      <c r="O463">
        <v>300</v>
      </c>
      <c r="P463">
        <v>1200</v>
      </c>
      <c r="Q463">
        <v>18</v>
      </c>
      <c r="R463">
        <v>24</v>
      </c>
    </row>
    <row r="464" spans="1:18" x14ac:dyDescent="0.35">
      <c r="A464">
        <v>460</v>
      </c>
      <c r="B464">
        <v>2</v>
      </c>
      <c r="C464">
        <v>5</v>
      </c>
      <c r="D464">
        <v>2023</v>
      </c>
      <c r="E464" t="s">
        <v>1059</v>
      </c>
      <c r="F464" t="s">
        <v>1076</v>
      </c>
      <c r="G464" t="s">
        <v>1061</v>
      </c>
      <c r="H464" s="18">
        <v>45048</v>
      </c>
      <c r="I464" t="s">
        <v>485</v>
      </c>
      <c r="J464" t="s">
        <v>20</v>
      </c>
      <c r="K464" t="s">
        <v>1030</v>
      </c>
      <c r="L464">
        <v>40</v>
      </c>
      <c r="M464" t="s">
        <v>21</v>
      </c>
      <c r="N464">
        <v>1</v>
      </c>
      <c r="O464">
        <v>50</v>
      </c>
      <c r="P464">
        <v>50</v>
      </c>
      <c r="Q464">
        <v>0.75</v>
      </c>
      <c r="R464">
        <v>1</v>
      </c>
    </row>
    <row r="465" spans="1:18" x14ac:dyDescent="0.35">
      <c r="A465">
        <v>461</v>
      </c>
      <c r="B465">
        <v>25</v>
      </c>
      <c r="C465">
        <v>3</v>
      </c>
      <c r="D465">
        <v>2023</v>
      </c>
      <c r="E465" t="s">
        <v>1075</v>
      </c>
      <c r="F465" t="s">
        <v>1066</v>
      </c>
      <c r="G465" t="s">
        <v>1061</v>
      </c>
      <c r="H465" s="18">
        <v>45010</v>
      </c>
      <c r="I465" t="s">
        <v>486</v>
      </c>
      <c r="J465" t="s">
        <v>23</v>
      </c>
      <c r="K465" t="s">
        <v>1034</v>
      </c>
      <c r="L465">
        <v>18</v>
      </c>
      <c r="M465" t="s">
        <v>21</v>
      </c>
      <c r="N465">
        <v>2</v>
      </c>
      <c r="O465">
        <v>500</v>
      </c>
      <c r="P465">
        <v>1000</v>
      </c>
      <c r="Q465">
        <v>15</v>
      </c>
      <c r="R465">
        <v>20</v>
      </c>
    </row>
    <row r="466" spans="1:18" x14ac:dyDescent="0.35">
      <c r="A466">
        <v>462</v>
      </c>
      <c r="B466">
        <v>1</v>
      </c>
      <c r="C466">
        <v>4</v>
      </c>
      <c r="D466">
        <v>2023</v>
      </c>
      <c r="E466" t="s">
        <v>1075</v>
      </c>
      <c r="F466" t="s">
        <v>1077</v>
      </c>
      <c r="G466" t="s">
        <v>1061</v>
      </c>
      <c r="H466" s="18">
        <v>45017</v>
      </c>
      <c r="I466" t="s">
        <v>487</v>
      </c>
      <c r="J466" t="s">
        <v>20</v>
      </c>
      <c r="K466" t="s">
        <v>1032</v>
      </c>
      <c r="L466">
        <v>63</v>
      </c>
      <c r="M466" t="s">
        <v>21</v>
      </c>
      <c r="N466">
        <v>4</v>
      </c>
      <c r="O466">
        <v>300</v>
      </c>
      <c r="P466">
        <v>1200</v>
      </c>
      <c r="Q466">
        <v>18</v>
      </c>
      <c r="R466">
        <v>24</v>
      </c>
    </row>
    <row r="467" spans="1:18" x14ac:dyDescent="0.35">
      <c r="A467">
        <v>463</v>
      </c>
      <c r="B467">
        <v>31</v>
      </c>
      <c r="C467">
        <v>7</v>
      </c>
      <c r="D467">
        <v>2023</v>
      </c>
      <c r="E467" t="s">
        <v>1067</v>
      </c>
      <c r="F467" t="s">
        <v>1078</v>
      </c>
      <c r="G467" t="s">
        <v>1061</v>
      </c>
      <c r="H467" s="18">
        <v>45138</v>
      </c>
      <c r="I467" t="s">
        <v>488</v>
      </c>
      <c r="J467" t="s">
        <v>23</v>
      </c>
      <c r="K467" t="s">
        <v>1032</v>
      </c>
      <c r="L467">
        <v>54</v>
      </c>
      <c r="M467" t="s">
        <v>21</v>
      </c>
      <c r="N467">
        <v>3</v>
      </c>
      <c r="O467">
        <v>500</v>
      </c>
      <c r="P467">
        <v>1500</v>
      </c>
      <c r="Q467">
        <v>22.5</v>
      </c>
      <c r="R467">
        <v>30</v>
      </c>
    </row>
    <row r="468" spans="1:18" x14ac:dyDescent="0.35">
      <c r="A468">
        <v>464</v>
      </c>
      <c r="B468">
        <v>13</v>
      </c>
      <c r="C468">
        <v>1</v>
      </c>
      <c r="D468">
        <v>2023</v>
      </c>
      <c r="E468" t="s">
        <v>1070</v>
      </c>
      <c r="F468" t="s">
        <v>1060</v>
      </c>
      <c r="G468" t="s">
        <v>1061</v>
      </c>
      <c r="H468" s="18">
        <v>44939</v>
      </c>
      <c r="I468" t="s">
        <v>489</v>
      </c>
      <c r="J468" t="s">
        <v>20</v>
      </c>
      <c r="K468" t="s">
        <v>1030</v>
      </c>
      <c r="L468">
        <v>38</v>
      </c>
      <c r="M468" t="s">
        <v>21</v>
      </c>
      <c r="N468">
        <v>2</v>
      </c>
      <c r="O468">
        <v>300</v>
      </c>
      <c r="P468">
        <v>600</v>
      </c>
      <c r="Q468">
        <v>9</v>
      </c>
      <c r="R468">
        <v>12</v>
      </c>
    </row>
    <row r="469" spans="1:18" x14ac:dyDescent="0.35">
      <c r="A469">
        <v>465</v>
      </c>
      <c r="B469">
        <v>2</v>
      </c>
      <c r="C469">
        <v>4</v>
      </c>
      <c r="D469">
        <v>2023</v>
      </c>
      <c r="E469" t="s">
        <v>1063</v>
      </c>
      <c r="F469" t="s">
        <v>1077</v>
      </c>
      <c r="G469" t="s">
        <v>1061</v>
      </c>
      <c r="H469" s="18">
        <v>45018</v>
      </c>
      <c r="I469" t="s">
        <v>490</v>
      </c>
      <c r="J469" t="s">
        <v>23</v>
      </c>
      <c r="K469" t="s">
        <v>1030</v>
      </c>
      <c r="L469">
        <v>43</v>
      </c>
      <c r="M469" t="s">
        <v>21</v>
      </c>
      <c r="N469">
        <v>3</v>
      </c>
      <c r="O469">
        <v>50</v>
      </c>
      <c r="P469">
        <v>150</v>
      </c>
      <c r="Q469">
        <v>2.25</v>
      </c>
      <c r="R469">
        <v>3</v>
      </c>
    </row>
    <row r="470" spans="1:18" x14ac:dyDescent="0.35">
      <c r="A470">
        <v>466</v>
      </c>
      <c r="B470">
        <v>20</v>
      </c>
      <c r="C470">
        <v>6</v>
      </c>
      <c r="D470">
        <v>2023</v>
      </c>
      <c r="E470" t="s">
        <v>1059</v>
      </c>
      <c r="F470" t="s">
        <v>1069</v>
      </c>
      <c r="G470" t="s">
        <v>1061</v>
      </c>
      <c r="H470" s="18">
        <v>45097</v>
      </c>
      <c r="I470" t="s">
        <v>491</v>
      </c>
      <c r="J470" t="s">
        <v>20</v>
      </c>
      <c r="K470" t="s">
        <v>1032</v>
      </c>
      <c r="L470">
        <v>63</v>
      </c>
      <c r="M470" t="s">
        <v>21</v>
      </c>
      <c r="N470">
        <v>4</v>
      </c>
      <c r="O470">
        <v>25</v>
      </c>
      <c r="P470">
        <v>100</v>
      </c>
      <c r="Q470">
        <v>1.5</v>
      </c>
      <c r="R470">
        <v>2</v>
      </c>
    </row>
    <row r="471" spans="1:18" x14ac:dyDescent="0.35">
      <c r="A471">
        <v>467</v>
      </c>
      <c r="B471">
        <v>30</v>
      </c>
      <c r="C471">
        <v>7</v>
      </c>
      <c r="D471">
        <v>2023</v>
      </c>
      <c r="E471" t="s">
        <v>1063</v>
      </c>
      <c r="F471" t="s">
        <v>1078</v>
      </c>
      <c r="G471" t="s">
        <v>1061</v>
      </c>
      <c r="H471" s="18">
        <v>45137</v>
      </c>
      <c r="I471" t="s">
        <v>492</v>
      </c>
      <c r="J471" t="s">
        <v>23</v>
      </c>
      <c r="K471" t="s">
        <v>1032</v>
      </c>
      <c r="L471">
        <v>53</v>
      </c>
      <c r="M471" t="s">
        <v>21</v>
      </c>
      <c r="N471">
        <v>3</v>
      </c>
      <c r="O471">
        <v>50</v>
      </c>
      <c r="P471">
        <v>150</v>
      </c>
      <c r="Q471">
        <v>2.25</v>
      </c>
      <c r="R471">
        <v>3</v>
      </c>
    </row>
    <row r="472" spans="1:18" x14ac:dyDescent="0.35">
      <c r="A472">
        <v>468</v>
      </c>
      <c r="B472">
        <v>9</v>
      </c>
      <c r="C472">
        <v>12</v>
      </c>
      <c r="D472">
        <v>2023</v>
      </c>
      <c r="E472" t="s">
        <v>1075</v>
      </c>
      <c r="F472" t="s">
        <v>1062</v>
      </c>
      <c r="G472" t="s">
        <v>1061</v>
      </c>
      <c r="H472" s="18">
        <v>45269</v>
      </c>
      <c r="I472" t="s">
        <v>493</v>
      </c>
      <c r="J472" t="s">
        <v>20</v>
      </c>
      <c r="K472" t="s">
        <v>1030</v>
      </c>
      <c r="L472">
        <v>40</v>
      </c>
      <c r="M472" t="s">
        <v>21</v>
      </c>
      <c r="N472">
        <v>1</v>
      </c>
      <c r="O472">
        <v>25</v>
      </c>
      <c r="P472">
        <v>25</v>
      </c>
      <c r="Q472">
        <v>0.375</v>
      </c>
      <c r="R472">
        <v>0.5</v>
      </c>
    </row>
    <row r="473" spans="1:18" x14ac:dyDescent="0.35">
      <c r="A473">
        <v>469</v>
      </c>
      <c r="B473">
        <v>8</v>
      </c>
      <c r="C473">
        <v>5</v>
      </c>
      <c r="D473">
        <v>2023</v>
      </c>
      <c r="E473" t="s">
        <v>1067</v>
      </c>
      <c r="F473" t="s">
        <v>1076</v>
      </c>
      <c r="G473" t="s">
        <v>1061</v>
      </c>
      <c r="H473" s="18">
        <v>45054</v>
      </c>
      <c r="I473" t="s">
        <v>494</v>
      </c>
      <c r="J473" t="s">
        <v>20</v>
      </c>
      <c r="K473" t="s">
        <v>1034</v>
      </c>
      <c r="L473">
        <v>18</v>
      </c>
      <c r="M473" t="s">
        <v>21</v>
      </c>
      <c r="N473">
        <v>3</v>
      </c>
      <c r="O473">
        <v>25</v>
      </c>
      <c r="P473">
        <v>75</v>
      </c>
      <c r="Q473">
        <v>1.125</v>
      </c>
      <c r="R473">
        <v>1.5</v>
      </c>
    </row>
    <row r="474" spans="1:18" x14ac:dyDescent="0.35">
      <c r="A474">
        <v>470</v>
      </c>
      <c r="B474">
        <v>17</v>
      </c>
      <c r="C474">
        <v>5</v>
      </c>
      <c r="D474">
        <v>2023</v>
      </c>
      <c r="E474" t="s">
        <v>1065</v>
      </c>
      <c r="F474" t="s">
        <v>1076</v>
      </c>
      <c r="G474" t="s">
        <v>1061</v>
      </c>
      <c r="H474" s="18">
        <v>45063</v>
      </c>
      <c r="I474" t="s">
        <v>495</v>
      </c>
      <c r="J474" t="s">
        <v>23</v>
      </c>
      <c r="K474" t="s">
        <v>1032</v>
      </c>
      <c r="L474">
        <v>57</v>
      </c>
      <c r="M474" t="s">
        <v>21</v>
      </c>
      <c r="N474">
        <v>2</v>
      </c>
      <c r="O474">
        <v>500</v>
      </c>
      <c r="P474">
        <v>1000</v>
      </c>
      <c r="Q474">
        <v>15</v>
      </c>
      <c r="R474">
        <v>20</v>
      </c>
    </row>
    <row r="475" spans="1:18" x14ac:dyDescent="0.35">
      <c r="A475">
        <v>471</v>
      </c>
      <c r="B475">
        <v>23</v>
      </c>
      <c r="C475">
        <v>3</v>
      </c>
      <c r="D475">
        <v>2023</v>
      </c>
      <c r="E475" t="s">
        <v>1072</v>
      </c>
      <c r="F475" t="s">
        <v>1066</v>
      </c>
      <c r="G475" t="s">
        <v>1061</v>
      </c>
      <c r="H475" s="18">
        <v>45008</v>
      </c>
      <c r="I475" t="s">
        <v>496</v>
      </c>
      <c r="J475" t="s">
        <v>20</v>
      </c>
      <c r="K475" t="s">
        <v>1030</v>
      </c>
      <c r="L475">
        <v>32</v>
      </c>
      <c r="M475" t="s">
        <v>21</v>
      </c>
      <c r="N475">
        <v>3</v>
      </c>
      <c r="O475">
        <v>50</v>
      </c>
      <c r="P475">
        <v>150</v>
      </c>
      <c r="Q475">
        <v>2.25</v>
      </c>
      <c r="R475">
        <v>3</v>
      </c>
    </row>
    <row r="476" spans="1:18" x14ac:dyDescent="0.35">
      <c r="A476">
        <v>472</v>
      </c>
      <c r="B476">
        <v>26</v>
      </c>
      <c r="C476">
        <v>12</v>
      </c>
      <c r="D476">
        <v>2023</v>
      </c>
      <c r="E476" t="s">
        <v>1059</v>
      </c>
      <c r="F476" t="s">
        <v>1062</v>
      </c>
      <c r="G476" t="s">
        <v>1061</v>
      </c>
      <c r="H476" s="18">
        <v>45286</v>
      </c>
      <c r="I476" t="s">
        <v>497</v>
      </c>
      <c r="J476" t="s">
        <v>23</v>
      </c>
      <c r="K476" t="s">
        <v>1030</v>
      </c>
      <c r="L476">
        <v>38</v>
      </c>
      <c r="M476" t="s">
        <v>21</v>
      </c>
      <c r="N476">
        <v>3</v>
      </c>
      <c r="O476">
        <v>300</v>
      </c>
      <c r="P476">
        <v>900</v>
      </c>
      <c r="Q476">
        <v>13.5</v>
      </c>
      <c r="R476">
        <v>18</v>
      </c>
    </row>
    <row r="477" spans="1:18" x14ac:dyDescent="0.35">
      <c r="A477">
        <v>473</v>
      </c>
      <c r="B477">
        <v>25</v>
      </c>
      <c r="C477">
        <v>2</v>
      </c>
      <c r="D477">
        <v>2023</v>
      </c>
      <c r="E477" t="s">
        <v>1075</v>
      </c>
      <c r="F477" t="s">
        <v>1073</v>
      </c>
      <c r="G477" t="s">
        <v>1061</v>
      </c>
      <c r="H477" s="18">
        <v>44982</v>
      </c>
      <c r="I477" t="s">
        <v>498</v>
      </c>
      <c r="J477" t="s">
        <v>20</v>
      </c>
      <c r="K477" t="s">
        <v>1032</v>
      </c>
      <c r="L477">
        <v>64</v>
      </c>
      <c r="M477" t="s">
        <v>21</v>
      </c>
      <c r="N477">
        <v>1</v>
      </c>
      <c r="O477">
        <v>50</v>
      </c>
      <c r="P477">
        <v>50</v>
      </c>
      <c r="Q477">
        <v>0.75</v>
      </c>
      <c r="R477">
        <v>1</v>
      </c>
    </row>
    <row r="478" spans="1:18" x14ac:dyDescent="0.35">
      <c r="A478">
        <v>474</v>
      </c>
      <c r="B478">
        <v>15</v>
      </c>
      <c r="C478">
        <v>7</v>
      </c>
      <c r="D478">
        <v>2023</v>
      </c>
      <c r="E478" t="s">
        <v>1075</v>
      </c>
      <c r="F478" t="s">
        <v>1078</v>
      </c>
      <c r="G478" t="s">
        <v>1061</v>
      </c>
      <c r="H478" s="18">
        <v>45122</v>
      </c>
      <c r="I478" t="s">
        <v>499</v>
      </c>
      <c r="J478" t="s">
        <v>23</v>
      </c>
      <c r="K478" t="s">
        <v>1034</v>
      </c>
      <c r="L478">
        <v>26</v>
      </c>
      <c r="M478" t="s">
        <v>21</v>
      </c>
      <c r="N478">
        <v>3</v>
      </c>
      <c r="O478">
        <v>500</v>
      </c>
      <c r="P478">
        <v>1500</v>
      </c>
      <c r="Q478">
        <v>22.5</v>
      </c>
      <c r="R478">
        <v>30</v>
      </c>
    </row>
    <row r="479" spans="1:18" x14ac:dyDescent="0.35">
      <c r="A479">
        <v>475</v>
      </c>
      <c r="B479">
        <v>20</v>
      </c>
      <c r="C479">
        <v>1</v>
      </c>
      <c r="D479">
        <v>2023</v>
      </c>
      <c r="E479" t="s">
        <v>1070</v>
      </c>
      <c r="F479" t="s">
        <v>1060</v>
      </c>
      <c r="G479" t="s">
        <v>1061</v>
      </c>
      <c r="H479" s="18">
        <v>44946</v>
      </c>
      <c r="I479" t="s">
        <v>500</v>
      </c>
      <c r="J479" t="s">
        <v>20</v>
      </c>
      <c r="K479" t="s">
        <v>1034</v>
      </c>
      <c r="L479">
        <v>26</v>
      </c>
      <c r="M479" t="s">
        <v>21</v>
      </c>
      <c r="N479">
        <v>3</v>
      </c>
      <c r="O479">
        <v>25</v>
      </c>
      <c r="P479">
        <v>75</v>
      </c>
      <c r="Q479">
        <v>1.125</v>
      </c>
      <c r="R479">
        <v>1.5</v>
      </c>
    </row>
    <row r="480" spans="1:18" x14ac:dyDescent="0.35">
      <c r="A480">
        <v>476</v>
      </c>
      <c r="B480">
        <v>29</v>
      </c>
      <c r="C480">
        <v>8</v>
      </c>
      <c r="D480">
        <v>2023</v>
      </c>
      <c r="E480" t="s">
        <v>1059</v>
      </c>
      <c r="F480" t="s">
        <v>1074</v>
      </c>
      <c r="G480" t="s">
        <v>1061</v>
      </c>
      <c r="H480" s="18">
        <v>45167</v>
      </c>
      <c r="I480" t="s">
        <v>501</v>
      </c>
      <c r="J480" t="s">
        <v>23</v>
      </c>
      <c r="K480" t="s">
        <v>1034</v>
      </c>
      <c r="L480">
        <v>27</v>
      </c>
      <c r="M480" t="s">
        <v>21</v>
      </c>
      <c r="N480">
        <v>4</v>
      </c>
      <c r="O480">
        <v>500</v>
      </c>
      <c r="P480">
        <v>2000</v>
      </c>
      <c r="Q480">
        <v>30</v>
      </c>
      <c r="R480">
        <v>40</v>
      </c>
    </row>
    <row r="481" spans="1:18" x14ac:dyDescent="0.35">
      <c r="A481">
        <v>477</v>
      </c>
      <c r="B481">
        <v>24</v>
      </c>
      <c r="C481">
        <v>4</v>
      </c>
      <c r="D481">
        <v>2023</v>
      </c>
      <c r="E481" t="s">
        <v>1067</v>
      </c>
      <c r="F481" t="s">
        <v>1077</v>
      </c>
      <c r="G481" t="s">
        <v>1061</v>
      </c>
      <c r="H481" s="18">
        <v>45040</v>
      </c>
      <c r="I481" t="s">
        <v>502</v>
      </c>
      <c r="J481" t="s">
        <v>20</v>
      </c>
      <c r="K481" t="s">
        <v>1030</v>
      </c>
      <c r="L481">
        <v>43</v>
      </c>
      <c r="M481" t="s">
        <v>21</v>
      </c>
      <c r="N481">
        <v>4</v>
      </c>
      <c r="O481">
        <v>30</v>
      </c>
      <c r="P481">
        <v>120</v>
      </c>
      <c r="Q481">
        <v>1.7999999999999998</v>
      </c>
      <c r="R481">
        <v>2.4</v>
      </c>
    </row>
    <row r="482" spans="1:18" x14ac:dyDescent="0.35">
      <c r="A482">
        <v>478</v>
      </c>
      <c r="B482">
        <v>13</v>
      </c>
      <c r="C482">
        <v>4</v>
      </c>
      <c r="D482">
        <v>2023</v>
      </c>
      <c r="E482" t="s">
        <v>1072</v>
      </c>
      <c r="F482" t="s">
        <v>1077</v>
      </c>
      <c r="G482" t="s">
        <v>1061</v>
      </c>
      <c r="H482" s="18">
        <v>45029</v>
      </c>
      <c r="I482" t="s">
        <v>503</v>
      </c>
      <c r="J482" t="s">
        <v>23</v>
      </c>
      <c r="K482" t="s">
        <v>1032</v>
      </c>
      <c r="L482">
        <v>58</v>
      </c>
      <c r="M482" t="s">
        <v>21</v>
      </c>
      <c r="N482">
        <v>2</v>
      </c>
      <c r="O482">
        <v>30</v>
      </c>
      <c r="P482">
        <v>60</v>
      </c>
      <c r="Q482">
        <v>0.89999999999999991</v>
      </c>
      <c r="R482">
        <v>1.2</v>
      </c>
    </row>
    <row r="483" spans="1:18" x14ac:dyDescent="0.35">
      <c r="A483">
        <v>479</v>
      </c>
      <c r="B483">
        <v>24</v>
      </c>
      <c r="C483">
        <v>8</v>
      </c>
      <c r="D483">
        <v>2023</v>
      </c>
      <c r="E483" t="s">
        <v>1072</v>
      </c>
      <c r="F483" t="s">
        <v>1074</v>
      </c>
      <c r="G483" t="s">
        <v>1061</v>
      </c>
      <c r="H483" s="18">
        <v>45162</v>
      </c>
      <c r="I483" t="s">
        <v>504</v>
      </c>
      <c r="J483" t="s">
        <v>20</v>
      </c>
      <c r="K483" t="s">
        <v>1032</v>
      </c>
      <c r="L483">
        <v>52</v>
      </c>
      <c r="M483" t="s">
        <v>21</v>
      </c>
      <c r="N483">
        <v>4</v>
      </c>
      <c r="O483">
        <v>300</v>
      </c>
      <c r="P483">
        <v>1200</v>
      </c>
      <c r="Q483">
        <v>18</v>
      </c>
      <c r="R483">
        <v>24</v>
      </c>
    </row>
    <row r="484" spans="1:18" x14ac:dyDescent="0.35">
      <c r="A484">
        <v>480</v>
      </c>
      <c r="B484">
        <v>29</v>
      </c>
      <c r="C484">
        <v>6</v>
      </c>
      <c r="D484">
        <v>2023</v>
      </c>
      <c r="E484" t="s">
        <v>1072</v>
      </c>
      <c r="F484" t="s">
        <v>1069</v>
      </c>
      <c r="G484" t="s">
        <v>1061</v>
      </c>
      <c r="H484" s="18">
        <v>45106</v>
      </c>
      <c r="I484" t="s">
        <v>505</v>
      </c>
      <c r="J484" t="s">
        <v>23</v>
      </c>
      <c r="K484" t="s">
        <v>1030</v>
      </c>
      <c r="L484">
        <v>42</v>
      </c>
      <c r="M484" t="s">
        <v>21</v>
      </c>
      <c r="N484">
        <v>4</v>
      </c>
      <c r="O484">
        <v>500</v>
      </c>
      <c r="P484">
        <v>2000</v>
      </c>
      <c r="Q484">
        <v>30</v>
      </c>
      <c r="R484">
        <v>40</v>
      </c>
    </row>
    <row r="485" spans="1:18" x14ac:dyDescent="0.35">
      <c r="A485">
        <v>481</v>
      </c>
      <c r="B485">
        <v>6</v>
      </c>
      <c r="C485">
        <v>6</v>
      </c>
      <c r="D485">
        <v>2023</v>
      </c>
      <c r="E485" t="s">
        <v>1059</v>
      </c>
      <c r="F485" t="s">
        <v>1069</v>
      </c>
      <c r="G485" t="s">
        <v>1061</v>
      </c>
      <c r="H485" s="18">
        <v>45083</v>
      </c>
      <c r="I485" t="s">
        <v>506</v>
      </c>
      <c r="J485" t="s">
        <v>23</v>
      </c>
      <c r="K485" t="s">
        <v>1030</v>
      </c>
      <c r="L485">
        <v>43</v>
      </c>
      <c r="M485" t="s">
        <v>21</v>
      </c>
      <c r="N485">
        <v>4</v>
      </c>
      <c r="O485">
        <v>300</v>
      </c>
      <c r="P485">
        <v>1200</v>
      </c>
      <c r="Q485">
        <v>18</v>
      </c>
      <c r="R485">
        <v>24</v>
      </c>
    </row>
    <row r="486" spans="1:18" x14ac:dyDescent="0.35">
      <c r="A486">
        <v>482</v>
      </c>
      <c r="B486">
        <v>27</v>
      </c>
      <c r="C486">
        <v>4</v>
      </c>
      <c r="D486">
        <v>2023</v>
      </c>
      <c r="E486" t="s">
        <v>1072</v>
      </c>
      <c r="F486" t="s">
        <v>1077</v>
      </c>
      <c r="G486" t="s">
        <v>1061</v>
      </c>
      <c r="H486" s="18">
        <v>45043</v>
      </c>
      <c r="I486" t="s">
        <v>507</v>
      </c>
      <c r="J486" t="s">
        <v>23</v>
      </c>
      <c r="K486" t="s">
        <v>1034</v>
      </c>
      <c r="L486">
        <v>28</v>
      </c>
      <c r="M486" t="s">
        <v>21</v>
      </c>
      <c r="N486">
        <v>4</v>
      </c>
      <c r="O486">
        <v>300</v>
      </c>
      <c r="P486">
        <v>1200</v>
      </c>
      <c r="Q486">
        <v>18</v>
      </c>
      <c r="R486">
        <v>24</v>
      </c>
    </row>
    <row r="487" spans="1:18" x14ac:dyDescent="0.35">
      <c r="A487">
        <v>483</v>
      </c>
      <c r="B487">
        <v>25</v>
      </c>
      <c r="C487">
        <v>4</v>
      </c>
      <c r="D487">
        <v>2023</v>
      </c>
      <c r="E487" t="s">
        <v>1059</v>
      </c>
      <c r="F487" t="s">
        <v>1077</v>
      </c>
      <c r="G487" t="s">
        <v>1061</v>
      </c>
      <c r="H487" s="18">
        <v>45041</v>
      </c>
      <c r="I487" t="s">
        <v>508</v>
      </c>
      <c r="J487" t="s">
        <v>20</v>
      </c>
      <c r="K487" t="s">
        <v>1032</v>
      </c>
      <c r="L487">
        <v>55</v>
      </c>
      <c r="M487" t="s">
        <v>21</v>
      </c>
      <c r="N487">
        <v>1</v>
      </c>
      <c r="O487">
        <v>30</v>
      </c>
      <c r="P487">
        <v>30</v>
      </c>
      <c r="Q487">
        <v>0.44999999999999996</v>
      </c>
      <c r="R487">
        <v>0.6</v>
      </c>
    </row>
    <row r="488" spans="1:18" x14ac:dyDescent="0.35">
      <c r="A488">
        <v>484</v>
      </c>
      <c r="B488">
        <v>13</v>
      </c>
      <c r="C488">
        <v>1</v>
      </c>
      <c r="D488">
        <v>2023</v>
      </c>
      <c r="E488" t="s">
        <v>1070</v>
      </c>
      <c r="F488" t="s">
        <v>1060</v>
      </c>
      <c r="G488" t="s">
        <v>1061</v>
      </c>
      <c r="H488" s="18">
        <v>44939</v>
      </c>
      <c r="I488" t="s">
        <v>509</v>
      </c>
      <c r="J488" t="s">
        <v>23</v>
      </c>
      <c r="K488" t="s">
        <v>1034</v>
      </c>
      <c r="L488">
        <v>19</v>
      </c>
      <c r="M488" t="s">
        <v>21</v>
      </c>
      <c r="N488">
        <v>4</v>
      </c>
      <c r="O488">
        <v>300</v>
      </c>
      <c r="P488">
        <v>1200</v>
      </c>
      <c r="Q488">
        <v>18</v>
      </c>
      <c r="R488">
        <v>24</v>
      </c>
    </row>
    <row r="489" spans="1:18" x14ac:dyDescent="0.35">
      <c r="A489">
        <v>485</v>
      </c>
      <c r="B489">
        <v>4</v>
      </c>
      <c r="C489">
        <v>12</v>
      </c>
      <c r="D489">
        <v>2023</v>
      </c>
      <c r="E489" t="s">
        <v>1067</v>
      </c>
      <c r="F489" t="s">
        <v>1062</v>
      </c>
      <c r="G489" t="s">
        <v>1061</v>
      </c>
      <c r="H489" s="18">
        <v>45264</v>
      </c>
      <c r="I489" t="s">
        <v>510</v>
      </c>
      <c r="J489" t="s">
        <v>20</v>
      </c>
      <c r="K489" t="s">
        <v>1034</v>
      </c>
      <c r="L489">
        <v>24</v>
      </c>
      <c r="M489" t="s">
        <v>21</v>
      </c>
      <c r="N489">
        <v>1</v>
      </c>
      <c r="O489">
        <v>30</v>
      </c>
      <c r="P489">
        <v>30</v>
      </c>
      <c r="Q489">
        <v>0.44999999999999996</v>
      </c>
      <c r="R489">
        <v>0.6</v>
      </c>
    </row>
    <row r="490" spans="1:18" x14ac:dyDescent="0.35">
      <c r="A490">
        <v>486</v>
      </c>
      <c r="B490">
        <v>9</v>
      </c>
      <c r="C490">
        <v>4</v>
      </c>
      <c r="D490">
        <v>2023</v>
      </c>
      <c r="E490" t="s">
        <v>1063</v>
      </c>
      <c r="F490" t="s">
        <v>1077</v>
      </c>
      <c r="G490" t="s">
        <v>1061</v>
      </c>
      <c r="H490" s="18">
        <v>45025</v>
      </c>
      <c r="I490" t="s">
        <v>511</v>
      </c>
      <c r="J490" t="s">
        <v>23</v>
      </c>
      <c r="K490" t="s">
        <v>1030</v>
      </c>
      <c r="L490">
        <v>35</v>
      </c>
      <c r="M490" t="s">
        <v>21</v>
      </c>
      <c r="N490">
        <v>1</v>
      </c>
      <c r="O490">
        <v>25</v>
      </c>
      <c r="P490">
        <v>25</v>
      </c>
      <c r="Q490">
        <v>0.375</v>
      </c>
      <c r="R490">
        <v>0.5</v>
      </c>
    </row>
    <row r="491" spans="1:18" x14ac:dyDescent="0.35">
      <c r="A491">
        <v>487</v>
      </c>
      <c r="B491">
        <v>24</v>
      </c>
      <c r="C491">
        <v>7</v>
      </c>
      <c r="D491">
        <v>2023</v>
      </c>
      <c r="E491" t="s">
        <v>1067</v>
      </c>
      <c r="F491" t="s">
        <v>1078</v>
      </c>
      <c r="G491" t="s">
        <v>1061</v>
      </c>
      <c r="H491" s="18">
        <v>45131</v>
      </c>
      <c r="I491" t="s">
        <v>512</v>
      </c>
      <c r="J491" t="s">
        <v>20</v>
      </c>
      <c r="K491" t="s">
        <v>1030</v>
      </c>
      <c r="L491">
        <v>44</v>
      </c>
      <c r="M491" t="s">
        <v>21</v>
      </c>
      <c r="N491">
        <v>4</v>
      </c>
      <c r="O491">
        <v>500</v>
      </c>
      <c r="P491">
        <v>2000</v>
      </c>
      <c r="Q491">
        <v>30</v>
      </c>
      <c r="R491">
        <v>40</v>
      </c>
    </row>
    <row r="492" spans="1:18" x14ac:dyDescent="0.35">
      <c r="A492">
        <v>488</v>
      </c>
      <c r="B492">
        <v>18</v>
      </c>
      <c r="C492">
        <v>6</v>
      </c>
      <c r="D492">
        <v>2023</v>
      </c>
      <c r="E492" t="s">
        <v>1063</v>
      </c>
      <c r="F492" t="s">
        <v>1069</v>
      </c>
      <c r="G492" t="s">
        <v>1061</v>
      </c>
      <c r="H492" s="18">
        <v>45095</v>
      </c>
      <c r="I492" t="s">
        <v>513</v>
      </c>
      <c r="J492" t="s">
        <v>23</v>
      </c>
      <c r="K492" t="s">
        <v>1032</v>
      </c>
      <c r="L492">
        <v>51</v>
      </c>
      <c r="M492" t="s">
        <v>21</v>
      </c>
      <c r="N492">
        <v>3</v>
      </c>
      <c r="O492">
        <v>300</v>
      </c>
      <c r="P492">
        <v>900</v>
      </c>
      <c r="Q492">
        <v>13.5</v>
      </c>
      <c r="R492">
        <v>18</v>
      </c>
    </row>
    <row r="493" spans="1:18" x14ac:dyDescent="0.35">
      <c r="A493">
        <v>489</v>
      </c>
      <c r="B493">
        <v>23</v>
      </c>
      <c r="C493">
        <v>5</v>
      </c>
      <c r="D493">
        <v>2023</v>
      </c>
      <c r="E493" t="s">
        <v>1059</v>
      </c>
      <c r="F493" t="s">
        <v>1076</v>
      </c>
      <c r="G493" t="s">
        <v>1061</v>
      </c>
      <c r="H493" s="18">
        <v>45069</v>
      </c>
      <c r="I493" t="s">
        <v>514</v>
      </c>
      <c r="J493" t="s">
        <v>20</v>
      </c>
      <c r="K493" t="s">
        <v>1030</v>
      </c>
      <c r="L493">
        <v>44</v>
      </c>
      <c r="M493" t="s">
        <v>21</v>
      </c>
      <c r="N493">
        <v>1</v>
      </c>
      <c r="O493">
        <v>30</v>
      </c>
      <c r="P493">
        <v>30</v>
      </c>
      <c r="Q493">
        <v>0.44999999999999996</v>
      </c>
      <c r="R493">
        <v>0.6</v>
      </c>
    </row>
    <row r="494" spans="1:18" x14ac:dyDescent="0.35">
      <c r="A494">
        <v>490</v>
      </c>
      <c r="B494">
        <v>5</v>
      </c>
      <c r="C494">
        <v>2</v>
      </c>
      <c r="D494">
        <v>2023</v>
      </c>
      <c r="E494" t="s">
        <v>1063</v>
      </c>
      <c r="F494" t="s">
        <v>1073</v>
      </c>
      <c r="G494" t="s">
        <v>1061</v>
      </c>
      <c r="H494" s="18">
        <v>44962</v>
      </c>
      <c r="I494" t="s">
        <v>515</v>
      </c>
      <c r="J494" t="s">
        <v>20</v>
      </c>
      <c r="K494" t="s">
        <v>1030</v>
      </c>
      <c r="L494">
        <v>34</v>
      </c>
      <c r="M494" t="s">
        <v>21</v>
      </c>
      <c r="N494">
        <v>3</v>
      </c>
      <c r="O494">
        <v>50</v>
      </c>
      <c r="P494">
        <v>150</v>
      </c>
      <c r="Q494">
        <v>2.25</v>
      </c>
      <c r="R494">
        <v>3</v>
      </c>
    </row>
    <row r="495" spans="1:18" x14ac:dyDescent="0.35">
      <c r="A495">
        <v>491</v>
      </c>
      <c r="B495">
        <v>23</v>
      </c>
      <c r="C495">
        <v>5</v>
      </c>
      <c r="D495">
        <v>2023</v>
      </c>
      <c r="E495" t="s">
        <v>1059</v>
      </c>
      <c r="F495" t="s">
        <v>1076</v>
      </c>
      <c r="G495" t="s">
        <v>1061</v>
      </c>
      <c r="H495" s="18">
        <v>45069</v>
      </c>
      <c r="I495" t="s">
        <v>516</v>
      </c>
      <c r="J495" t="s">
        <v>23</v>
      </c>
      <c r="K495" t="s">
        <v>1032</v>
      </c>
      <c r="L495">
        <v>60</v>
      </c>
      <c r="M495" t="s">
        <v>21</v>
      </c>
      <c r="N495">
        <v>3</v>
      </c>
      <c r="O495">
        <v>300</v>
      </c>
      <c r="P495">
        <v>900</v>
      </c>
      <c r="Q495">
        <v>13.5</v>
      </c>
      <c r="R495">
        <v>18</v>
      </c>
    </row>
    <row r="496" spans="1:18" x14ac:dyDescent="0.35">
      <c r="A496">
        <v>492</v>
      </c>
      <c r="B496">
        <v>29</v>
      </c>
      <c r="C496">
        <v>6</v>
      </c>
      <c r="D496">
        <v>2023</v>
      </c>
      <c r="E496" t="s">
        <v>1072</v>
      </c>
      <c r="F496" t="s">
        <v>1069</v>
      </c>
      <c r="G496" t="s">
        <v>1061</v>
      </c>
      <c r="H496" s="18">
        <v>45106</v>
      </c>
      <c r="I496" t="s">
        <v>517</v>
      </c>
      <c r="J496" t="s">
        <v>20</v>
      </c>
      <c r="K496" t="s">
        <v>1032</v>
      </c>
      <c r="L496">
        <v>61</v>
      </c>
      <c r="M496" t="s">
        <v>21</v>
      </c>
      <c r="N496">
        <v>4</v>
      </c>
      <c r="O496">
        <v>25</v>
      </c>
      <c r="P496">
        <v>100</v>
      </c>
      <c r="Q496">
        <v>1.5</v>
      </c>
      <c r="R496">
        <v>2</v>
      </c>
    </row>
    <row r="497" spans="1:18" x14ac:dyDescent="0.35">
      <c r="A497">
        <v>493</v>
      </c>
      <c r="B497">
        <v>25</v>
      </c>
      <c r="C497">
        <v>11</v>
      </c>
      <c r="D497">
        <v>2023</v>
      </c>
      <c r="E497" t="s">
        <v>1075</v>
      </c>
      <c r="F497" t="s">
        <v>1068</v>
      </c>
      <c r="G497" t="s">
        <v>1061</v>
      </c>
      <c r="H497" s="18">
        <v>45255</v>
      </c>
      <c r="I497" t="s">
        <v>518</v>
      </c>
      <c r="J497" t="s">
        <v>20</v>
      </c>
      <c r="K497" t="s">
        <v>1030</v>
      </c>
      <c r="L497">
        <v>41</v>
      </c>
      <c r="M497" t="s">
        <v>21</v>
      </c>
      <c r="N497">
        <v>2</v>
      </c>
      <c r="O497">
        <v>25</v>
      </c>
      <c r="P497">
        <v>50</v>
      </c>
      <c r="Q497">
        <v>0.75</v>
      </c>
      <c r="R497">
        <v>1</v>
      </c>
    </row>
    <row r="498" spans="1:18" x14ac:dyDescent="0.35">
      <c r="A498">
        <v>494</v>
      </c>
      <c r="B498">
        <v>18</v>
      </c>
      <c r="C498">
        <v>9</v>
      </c>
      <c r="D498">
        <v>2023</v>
      </c>
      <c r="E498" t="s">
        <v>1067</v>
      </c>
      <c r="F498" t="s">
        <v>1071</v>
      </c>
      <c r="G498" t="s">
        <v>1061</v>
      </c>
      <c r="H498" s="18">
        <v>45187</v>
      </c>
      <c r="I498" t="s">
        <v>519</v>
      </c>
      <c r="J498" t="s">
        <v>23</v>
      </c>
      <c r="K498" t="s">
        <v>1030</v>
      </c>
      <c r="L498">
        <v>42</v>
      </c>
      <c r="M498" t="s">
        <v>21</v>
      </c>
      <c r="N498">
        <v>4</v>
      </c>
      <c r="O498">
        <v>50</v>
      </c>
      <c r="P498">
        <v>200</v>
      </c>
      <c r="Q498">
        <v>3</v>
      </c>
      <c r="R498">
        <v>4</v>
      </c>
    </row>
    <row r="499" spans="1:18" x14ac:dyDescent="0.35">
      <c r="A499">
        <v>495</v>
      </c>
      <c r="B499">
        <v>24</v>
      </c>
      <c r="C499">
        <v>7</v>
      </c>
      <c r="D499">
        <v>2023</v>
      </c>
      <c r="E499" t="s">
        <v>1067</v>
      </c>
      <c r="F499" t="s">
        <v>1078</v>
      </c>
      <c r="G499" t="s">
        <v>1061</v>
      </c>
      <c r="H499" s="18">
        <v>45131</v>
      </c>
      <c r="I499" t="s">
        <v>520</v>
      </c>
      <c r="J499" t="s">
        <v>20</v>
      </c>
      <c r="K499" t="s">
        <v>1034</v>
      </c>
      <c r="L499">
        <v>24</v>
      </c>
      <c r="M499" t="s">
        <v>21</v>
      </c>
      <c r="N499">
        <v>2</v>
      </c>
      <c r="O499">
        <v>30</v>
      </c>
      <c r="P499">
        <v>60</v>
      </c>
      <c r="Q499">
        <v>0.89999999999999991</v>
      </c>
      <c r="R499">
        <v>1.2</v>
      </c>
    </row>
    <row r="500" spans="1:18" x14ac:dyDescent="0.35">
      <c r="A500">
        <v>496</v>
      </c>
      <c r="B500">
        <v>14</v>
      </c>
      <c r="C500">
        <v>12</v>
      </c>
      <c r="D500">
        <v>2023</v>
      </c>
      <c r="E500" t="s">
        <v>1072</v>
      </c>
      <c r="F500" t="s">
        <v>1062</v>
      </c>
      <c r="G500" t="s">
        <v>1061</v>
      </c>
      <c r="H500" s="18">
        <v>45274</v>
      </c>
      <c r="I500" t="s">
        <v>521</v>
      </c>
      <c r="J500" t="s">
        <v>20</v>
      </c>
      <c r="K500" t="s">
        <v>1034</v>
      </c>
      <c r="L500">
        <v>23</v>
      </c>
      <c r="M500" t="s">
        <v>21</v>
      </c>
      <c r="N500">
        <v>2</v>
      </c>
      <c r="O500">
        <v>300</v>
      </c>
      <c r="P500">
        <v>600</v>
      </c>
      <c r="Q500">
        <v>9</v>
      </c>
      <c r="R500">
        <v>12</v>
      </c>
    </row>
    <row r="501" spans="1:18" x14ac:dyDescent="0.35">
      <c r="A501">
        <v>497</v>
      </c>
      <c r="B501">
        <v>2</v>
      </c>
      <c r="C501">
        <v>10</v>
      </c>
      <c r="D501">
        <v>2023</v>
      </c>
      <c r="E501" t="s">
        <v>1067</v>
      </c>
      <c r="F501" t="s">
        <v>1064</v>
      </c>
      <c r="G501" t="s">
        <v>1061</v>
      </c>
      <c r="H501" s="18">
        <v>45201</v>
      </c>
      <c r="I501" t="s">
        <v>522</v>
      </c>
      <c r="J501" t="s">
        <v>20</v>
      </c>
      <c r="K501" t="s">
        <v>1030</v>
      </c>
      <c r="L501">
        <v>41</v>
      </c>
      <c r="M501" t="s">
        <v>21</v>
      </c>
      <c r="N501">
        <v>4</v>
      </c>
      <c r="O501">
        <v>30</v>
      </c>
      <c r="P501">
        <v>120</v>
      </c>
      <c r="Q501">
        <v>1.7999999999999998</v>
      </c>
      <c r="R501">
        <v>2.4</v>
      </c>
    </row>
    <row r="502" spans="1:18" x14ac:dyDescent="0.35">
      <c r="A502">
        <v>498</v>
      </c>
      <c r="B502">
        <v>19</v>
      </c>
      <c r="C502">
        <v>6</v>
      </c>
      <c r="D502">
        <v>2023</v>
      </c>
      <c r="E502" t="s">
        <v>1067</v>
      </c>
      <c r="F502" t="s">
        <v>1069</v>
      </c>
      <c r="G502" t="s">
        <v>1061</v>
      </c>
      <c r="H502" s="18">
        <v>45096</v>
      </c>
      <c r="I502" t="s">
        <v>523</v>
      </c>
      <c r="J502" t="s">
        <v>23</v>
      </c>
      <c r="K502" t="s">
        <v>1030</v>
      </c>
      <c r="L502">
        <v>50</v>
      </c>
      <c r="M502" t="s">
        <v>21</v>
      </c>
      <c r="N502">
        <v>4</v>
      </c>
      <c r="O502">
        <v>25</v>
      </c>
      <c r="P502">
        <v>100</v>
      </c>
      <c r="Q502">
        <v>1.5</v>
      </c>
      <c r="R502">
        <v>2</v>
      </c>
    </row>
    <row r="503" spans="1:18" x14ac:dyDescent="0.35">
      <c r="A503">
        <v>499</v>
      </c>
      <c r="B503">
        <v>15</v>
      </c>
      <c r="C503">
        <v>1</v>
      </c>
      <c r="D503">
        <v>2023</v>
      </c>
      <c r="E503" t="s">
        <v>1063</v>
      </c>
      <c r="F503" t="s">
        <v>1060</v>
      </c>
      <c r="G503" t="s">
        <v>1061</v>
      </c>
      <c r="H503" s="18">
        <v>44941</v>
      </c>
      <c r="I503" t="s">
        <v>524</v>
      </c>
      <c r="J503" t="s">
        <v>20</v>
      </c>
      <c r="K503" t="s">
        <v>1030</v>
      </c>
      <c r="L503">
        <v>46</v>
      </c>
      <c r="M503" t="s">
        <v>21</v>
      </c>
      <c r="N503">
        <v>2</v>
      </c>
      <c r="O503">
        <v>30</v>
      </c>
      <c r="P503">
        <v>60</v>
      </c>
      <c r="Q503">
        <v>0.89999999999999991</v>
      </c>
      <c r="R503">
        <v>1.2</v>
      </c>
    </row>
    <row r="504" spans="1:18" x14ac:dyDescent="0.35">
      <c r="A504">
        <v>500</v>
      </c>
      <c r="B504">
        <v>1</v>
      </c>
      <c r="C504">
        <v>3</v>
      </c>
      <c r="D504">
        <v>2023</v>
      </c>
      <c r="E504" t="s">
        <v>1065</v>
      </c>
      <c r="F504" t="s">
        <v>1066</v>
      </c>
      <c r="G504" t="s">
        <v>1061</v>
      </c>
      <c r="H504" s="18">
        <v>44986</v>
      </c>
      <c r="I504" t="s">
        <v>525</v>
      </c>
      <c r="J504" t="s">
        <v>23</v>
      </c>
      <c r="K504" t="s">
        <v>1032</v>
      </c>
      <c r="L504">
        <v>60</v>
      </c>
      <c r="M504" t="s">
        <v>21</v>
      </c>
      <c r="N504">
        <v>4</v>
      </c>
      <c r="O504">
        <v>25</v>
      </c>
      <c r="P504">
        <v>100</v>
      </c>
      <c r="Q504">
        <v>1.5</v>
      </c>
      <c r="R504">
        <v>2</v>
      </c>
    </row>
    <row r="505" spans="1:18" x14ac:dyDescent="0.35">
      <c r="A505">
        <v>501</v>
      </c>
      <c r="B505">
        <v>14</v>
      </c>
      <c r="C505">
        <v>5</v>
      </c>
      <c r="D505">
        <v>2023</v>
      </c>
      <c r="E505" t="s">
        <v>1063</v>
      </c>
      <c r="F505" t="s">
        <v>1076</v>
      </c>
      <c r="G505" t="s">
        <v>1061</v>
      </c>
      <c r="H505" s="18">
        <v>45060</v>
      </c>
      <c r="I505" t="s">
        <v>526</v>
      </c>
      <c r="J505" t="s">
        <v>20</v>
      </c>
      <c r="K505" t="s">
        <v>1030</v>
      </c>
      <c r="L505">
        <v>39</v>
      </c>
      <c r="M505" t="s">
        <v>21</v>
      </c>
      <c r="N505">
        <v>2</v>
      </c>
      <c r="O505">
        <v>30</v>
      </c>
      <c r="P505">
        <v>60</v>
      </c>
      <c r="Q505">
        <v>0.89999999999999991</v>
      </c>
      <c r="R505">
        <v>1.2</v>
      </c>
    </row>
    <row r="506" spans="1:18" x14ac:dyDescent="0.35">
      <c r="A506">
        <v>502</v>
      </c>
      <c r="B506">
        <v>2</v>
      </c>
      <c r="C506">
        <v>4</v>
      </c>
      <c r="D506">
        <v>2023</v>
      </c>
      <c r="E506" t="s">
        <v>1063</v>
      </c>
      <c r="F506" t="s">
        <v>1077</v>
      </c>
      <c r="G506" t="s">
        <v>1061</v>
      </c>
      <c r="H506" s="18">
        <v>45018</v>
      </c>
      <c r="I506" t="s">
        <v>527</v>
      </c>
      <c r="J506" t="s">
        <v>20</v>
      </c>
      <c r="K506" t="s">
        <v>1030</v>
      </c>
      <c r="L506">
        <v>43</v>
      </c>
      <c r="M506" t="s">
        <v>21</v>
      </c>
      <c r="N506">
        <v>3</v>
      </c>
      <c r="O506">
        <v>50</v>
      </c>
      <c r="P506">
        <v>150</v>
      </c>
      <c r="Q506">
        <v>2.25</v>
      </c>
      <c r="R506">
        <v>3</v>
      </c>
    </row>
    <row r="507" spans="1:18" x14ac:dyDescent="0.35">
      <c r="A507">
        <v>503</v>
      </c>
      <c r="B507">
        <v>25</v>
      </c>
      <c r="C507">
        <v>10</v>
      </c>
      <c r="D507">
        <v>2023</v>
      </c>
      <c r="E507" t="s">
        <v>1065</v>
      </c>
      <c r="F507" t="s">
        <v>1064</v>
      </c>
      <c r="G507" t="s">
        <v>1061</v>
      </c>
      <c r="H507" s="18">
        <v>45224</v>
      </c>
      <c r="I507" t="s">
        <v>528</v>
      </c>
      <c r="J507" t="s">
        <v>20</v>
      </c>
      <c r="K507" t="s">
        <v>1030</v>
      </c>
      <c r="L507">
        <v>45</v>
      </c>
      <c r="M507" t="s">
        <v>21</v>
      </c>
      <c r="N507">
        <v>4</v>
      </c>
      <c r="O507">
        <v>500</v>
      </c>
      <c r="P507">
        <v>2000</v>
      </c>
      <c r="Q507">
        <v>30</v>
      </c>
      <c r="R507">
        <v>40</v>
      </c>
    </row>
    <row r="508" spans="1:18" x14ac:dyDescent="0.35">
      <c r="A508">
        <v>504</v>
      </c>
      <c r="B508">
        <v>16</v>
      </c>
      <c r="C508">
        <v>5</v>
      </c>
      <c r="D508">
        <v>2023</v>
      </c>
      <c r="E508" t="s">
        <v>1059</v>
      </c>
      <c r="F508" t="s">
        <v>1076</v>
      </c>
      <c r="G508" t="s">
        <v>1061</v>
      </c>
      <c r="H508" s="18">
        <v>45062</v>
      </c>
      <c r="I508" t="s">
        <v>529</v>
      </c>
      <c r="J508" t="s">
        <v>23</v>
      </c>
      <c r="K508" t="s">
        <v>1030</v>
      </c>
      <c r="L508">
        <v>38</v>
      </c>
      <c r="M508" t="s">
        <v>21</v>
      </c>
      <c r="N508">
        <v>3</v>
      </c>
      <c r="O508">
        <v>50</v>
      </c>
      <c r="P508">
        <v>150</v>
      </c>
      <c r="Q508">
        <v>2.25</v>
      </c>
      <c r="R508">
        <v>3</v>
      </c>
    </row>
    <row r="509" spans="1:18" x14ac:dyDescent="0.35">
      <c r="A509">
        <v>505</v>
      </c>
      <c r="B509">
        <v>20</v>
      </c>
      <c r="C509">
        <v>1</v>
      </c>
      <c r="D509">
        <v>2023</v>
      </c>
      <c r="E509" t="s">
        <v>1070</v>
      </c>
      <c r="F509" t="s">
        <v>1060</v>
      </c>
      <c r="G509" t="s">
        <v>1061</v>
      </c>
      <c r="H509" s="18">
        <v>44946</v>
      </c>
      <c r="I509" t="s">
        <v>530</v>
      </c>
      <c r="J509" t="s">
        <v>20</v>
      </c>
      <c r="K509" t="s">
        <v>1034</v>
      </c>
      <c r="L509">
        <v>24</v>
      </c>
      <c r="M509" t="s">
        <v>21</v>
      </c>
      <c r="N509">
        <v>1</v>
      </c>
      <c r="O509">
        <v>50</v>
      </c>
      <c r="P509">
        <v>50</v>
      </c>
      <c r="Q509">
        <v>0.75</v>
      </c>
      <c r="R509">
        <v>1</v>
      </c>
    </row>
    <row r="510" spans="1:18" x14ac:dyDescent="0.35">
      <c r="A510">
        <v>506</v>
      </c>
      <c r="B510">
        <v>25</v>
      </c>
      <c r="C510">
        <v>2</v>
      </c>
      <c r="D510">
        <v>2023</v>
      </c>
      <c r="E510" t="s">
        <v>1075</v>
      </c>
      <c r="F510" t="s">
        <v>1073</v>
      </c>
      <c r="G510" t="s">
        <v>1061</v>
      </c>
      <c r="H510" s="18">
        <v>44982</v>
      </c>
      <c r="I510" t="s">
        <v>531</v>
      </c>
      <c r="J510" t="s">
        <v>20</v>
      </c>
      <c r="K510" t="s">
        <v>1030</v>
      </c>
      <c r="L510">
        <v>34</v>
      </c>
      <c r="M510" t="s">
        <v>21</v>
      </c>
      <c r="N510">
        <v>3</v>
      </c>
      <c r="O510">
        <v>500</v>
      </c>
      <c r="P510">
        <v>1500</v>
      </c>
      <c r="Q510">
        <v>22.5</v>
      </c>
      <c r="R510">
        <v>30</v>
      </c>
    </row>
    <row r="511" spans="1:18" x14ac:dyDescent="0.35">
      <c r="A511">
        <v>507</v>
      </c>
      <c r="B511">
        <v>2</v>
      </c>
      <c r="C511">
        <v>11</v>
      </c>
      <c r="D511">
        <v>2023</v>
      </c>
      <c r="E511" t="s">
        <v>1072</v>
      </c>
      <c r="F511" t="s">
        <v>1068</v>
      </c>
      <c r="G511" t="s">
        <v>1061</v>
      </c>
      <c r="H511" s="18">
        <v>45232</v>
      </c>
      <c r="I511" t="s">
        <v>532</v>
      </c>
      <c r="J511" t="s">
        <v>23</v>
      </c>
      <c r="K511" t="s">
        <v>1030</v>
      </c>
      <c r="L511">
        <v>37</v>
      </c>
      <c r="M511" t="s">
        <v>21</v>
      </c>
      <c r="N511">
        <v>3</v>
      </c>
      <c r="O511">
        <v>500</v>
      </c>
      <c r="P511">
        <v>1500</v>
      </c>
      <c r="Q511">
        <v>22.5</v>
      </c>
      <c r="R511">
        <v>30</v>
      </c>
    </row>
    <row r="512" spans="1:18" x14ac:dyDescent="0.35">
      <c r="A512">
        <v>508</v>
      </c>
      <c r="B512">
        <v>11</v>
      </c>
      <c r="C512">
        <v>8</v>
      </c>
      <c r="D512">
        <v>2023</v>
      </c>
      <c r="E512" t="s">
        <v>1070</v>
      </c>
      <c r="F512" t="s">
        <v>1074</v>
      </c>
      <c r="G512" t="s">
        <v>1061</v>
      </c>
      <c r="H512" s="18">
        <v>45149</v>
      </c>
      <c r="I512" t="s">
        <v>533</v>
      </c>
      <c r="J512" t="s">
        <v>20</v>
      </c>
      <c r="K512" t="s">
        <v>1032</v>
      </c>
      <c r="L512">
        <v>58</v>
      </c>
      <c r="M512" t="s">
        <v>21</v>
      </c>
      <c r="N512">
        <v>2</v>
      </c>
      <c r="O512">
        <v>300</v>
      </c>
      <c r="P512">
        <v>600</v>
      </c>
      <c r="Q512">
        <v>9</v>
      </c>
      <c r="R512">
        <v>12</v>
      </c>
    </row>
    <row r="513" spans="1:18" x14ac:dyDescent="0.35">
      <c r="A513">
        <v>509</v>
      </c>
      <c r="B513">
        <v>26</v>
      </c>
      <c r="C513">
        <v>6</v>
      </c>
      <c r="D513">
        <v>2023</v>
      </c>
      <c r="E513" t="s">
        <v>1067</v>
      </c>
      <c r="F513" t="s">
        <v>1069</v>
      </c>
      <c r="G513" t="s">
        <v>1061</v>
      </c>
      <c r="H513" s="18">
        <v>45103</v>
      </c>
      <c r="I513" t="s">
        <v>534</v>
      </c>
      <c r="J513" t="s">
        <v>23</v>
      </c>
      <c r="K513" t="s">
        <v>1030</v>
      </c>
      <c r="L513">
        <v>37</v>
      </c>
      <c r="M513" t="s">
        <v>21</v>
      </c>
      <c r="N513">
        <v>3</v>
      </c>
      <c r="O513">
        <v>300</v>
      </c>
      <c r="P513">
        <v>900</v>
      </c>
      <c r="Q513">
        <v>13.5</v>
      </c>
      <c r="R513">
        <v>18</v>
      </c>
    </row>
    <row r="514" spans="1:18" x14ac:dyDescent="0.35">
      <c r="A514">
        <v>510</v>
      </c>
      <c r="B514">
        <v>10</v>
      </c>
      <c r="C514">
        <v>6</v>
      </c>
      <c r="D514">
        <v>2023</v>
      </c>
      <c r="E514" t="s">
        <v>1075</v>
      </c>
      <c r="F514" t="s">
        <v>1069</v>
      </c>
      <c r="G514" t="s">
        <v>1061</v>
      </c>
      <c r="H514" s="18">
        <v>45087</v>
      </c>
      <c r="I514" t="s">
        <v>535</v>
      </c>
      <c r="J514" t="s">
        <v>23</v>
      </c>
      <c r="K514" t="s">
        <v>1030</v>
      </c>
      <c r="L514">
        <v>39</v>
      </c>
      <c r="M514" t="s">
        <v>21</v>
      </c>
      <c r="N514">
        <v>4</v>
      </c>
      <c r="O514">
        <v>50</v>
      </c>
      <c r="P514">
        <v>200</v>
      </c>
      <c r="Q514">
        <v>3</v>
      </c>
      <c r="R514">
        <v>4</v>
      </c>
    </row>
    <row r="515" spans="1:18" x14ac:dyDescent="0.35">
      <c r="A515">
        <v>511</v>
      </c>
      <c r="B515">
        <v>12</v>
      </c>
      <c r="C515">
        <v>8</v>
      </c>
      <c r="D515">
        <v>2023</v>
      </c>
      <c r="E515" t="s">
        <v>1075</v>
      </c>
      <c r="F515" t="s">
        <v>1074</v>
      </c>
      <c r="G515" t="s">
        <v>1061</v>
      </c>
      <c r="H515" s="18">
        <v>45150</v>
      </c>
      <c r="I515" t="s">
        <v>536</v>
      </c>
      <c r="J515" t="s">
        <v>20</v>
      </c>
      <c r="K515" t="s">
        <v>1030</v>
      </c>
      <c r="L515">
        <v>45</v>
      </c>
      <c r="M515" t="s">
        <v>21</v>
      </c>
      <c r="N515">
        <v>2</v>
      </c>
      <c r="O515">
        <v>50</v>
      </c>
      <c r="P515">
        <v>100</v>
      </c>
      <c r="Q515">
        <v>1.5</v>
      </c>
      <c r="R515">
        <v>2</v>
      </c>
    </row>
    <row r="516" spans="1:18" x14ac:dyDescent="0.35">
      <c r="A516">
        <v>512</v>
      </c>
      <c r="B516">
        <v>7</v>
      </c>
      <c r="C516">
        <v>11</v>
      </c>
      <c r="D516">
        <v>2023</v>
      </c>
      <c r="E516" t="s">
        <v>1059</v>
      </c>
      <c r="F516" t="s">
        <v>1068</v>
      </c>
      <c r="G516" t="s">
        <v>1061</v>
      </c>
      <c r="H516" s="18">
        <v>45237</v>
      </c>
      <c r="I516" t="s">
        <v>537</v>
      </c>
      <c r="J516" t="s">
        <v>23</v>
      </c>
      <c r="K516" t="s">
        <v>1032</v>
      </c>
      <c r="L516">
        <v>57</v>
      </c>
      <c r="M516" t="s">
        <v>21</v>
      </c>
      <c r="N516">
        <v>1</v>
      </c>
      <c r="O516">
        <v>25</v>
      </c>
      <c r="P516">
        <v>25</v>
      </c>
      <c r="Q516">
        <v>0.375</v>
      </c>
      <c r="R516">
        <v>0.5</v>
      </c>
    </row>
    <row r="517" spans="1:18" x14ac:dyDescent="0.35">
      <c r="A517">
        <v>513</v>
      </c>
      <c r="B517">
        <v>19</v>
      </c>
      <c r="C517">
        <v>9</v>
      </c>
      <c r="D517">
        <v>2023</v>
      </c>
      <c r="E517" t="s">
        <v>1059</v>
      </c>
      <c r="F517" t="s">
        <v>1071</v>
      </c>
      <c r="G517" t="s">
        <v>1061</v>
      </c>
      <c r="H517" s="18">
        <v>45188</v>
      </c>
      <c r="I517" t="s">
        <v>538</v>
      </c>
      <c r="J517" t="s">
        <v>20</v>
      </c>
      <c r="K517" t="s">
        <v>1034</v>
      </c>
      <c r="L517">
        <v>24</v>
      </c>
      <c r="M517" t="s">
        <v>21</v>
      </c>
      <c r="N517">
        <v>4</v>
      </c>
      <c r="O517">
        <v>25</v>
      </c>
      <c r="P517">
        <v>100</v>
      </c>
      <c r="Q517">
        <v>1.5</v>
      </c>
      <c r="R517">
        <v>2</v>
      </c>
    </row>
    <row r="518" spans="1:18" x14ac:dyDescent="0.35">
      <c r="A518">
        <v>514</v>
      </c>
      <c r="B518">
        <v>1</v>
      </c>
      <c r="C518">
        <v>3</v>
      </c>
      <c r="D518">
        <v>2023</v>
      </c>
      <c r="E518" t="s">
        <v>1065</v>
      </c>
      <c r="F518" t="s">
        <v>1066</v>
      </c>
      <c r="G518" t="s">
        <v>1061</v>
      </c>
      <c r="H518" s="18">
        <v>44986</v>
      </c>
      <c r="I518" t="s">
        <v>539</v>
      </c>
      <c r="J518" t="s">
        <v>23</v>
      </c>
      <c r="K518" t="s">
        <v>1034</v>
      </c>
      <c r="L518">
        <v>18</v>
      </c>
      <c r="M518" t="s">
        <v>21</v>
      </c>
      <c r="N518">
        <v>1</v>
      </c>
      <c r="O518">
        <v>300</v>
      </c>
      <c r="P518">
        <v>300</v>
      </c>
      <c r="Q518">
        <v>4.5</v>
      </c>
      <c r="R518">
        <v>6</v>
      </c>
    </row>
    <row r="519" spans="1:18" x14ac:dyDescent="0.35">
      <c r="A519">
        <v>515</v>
      </c>
      <c r="B519">
        <v>17</v>
      </c>
      <c r="C519">
        <v>7</v>
      </c>
      <c r="D519">
        <v>2023</v>
      </c>
      <c r="E519" t="s">
        <v>1067</v>
      </c>
      <c r="F519" t="s">
        <v>1078</v>
      </c>
      <c r="G519" t="s">
        <v>1061</v>
      </c>
      <c r="H519" s="18">
        <v>45124</v>
      </c>
      <c r="I519" t="s">
        <v>540</v>
      </c>
      <c r="J519" t="s">
        <v>23</v>
      </c>
      <c r="K519" t="s">
        <v>1030</v>
      </c>
      <c r="L519">
        <v>49</v>
      </c>
      <c r="M519" t="s">
        <v>21</v>
      </c>
      <c r="N519">
        <v>3</v>
      </c>
      <c r="O519">
        <v>300</v>
      </c>
      <c r="P519">
        <v>900</v>
      </c>
      <c r="Q519">
        <v>13.5</v>
      </c>
      <c r="R519">
        <v>18</v>
      </c>
    </row>
    <row r="520" spans="1:18" x14ac:dyDescent="0.35">
      <c r="A520">
        <v>516</v>
      </c>
      <c r="B520">
        <v>23</v>
      </c>
      <c r="C520">
        <v>10</v>
      </c>
      <c r="D520">
        <v>2023</v>
      </c>
      <c r="E520" t="s">
        <v>1067</v>
      </c>
      <c r="F520" t="s">
        <v>1064</v>
      </c>
      <c r="G520" t="s">
        <v>1061</v>
      </c>
      <c r="H520" s="18">
        <v>45222</v>
      </c>
      <c r="I520" t="s">
        <v>541</v>
      </c>
      <c r="J520" t="s">
        <v>20</v>
      </c>
      <c r="K520" t="s">
        <v>1030</v>
      </c>
      <c r="L520">
        <v>30</v>
      </c>
      <c r="M520" t="s">
        <v>21</v>
      </c>
      <c r="N520">
        <v>4</v>
      </c>
      <c r="O520">
        <v>25</v>
      </c>
      <c r="P520">
        <v>100</v>
      </c>
      <c r="Q520">
        <v>1.5</v>
      </c>
      <c r="R520">
        <v>2</v>
      </c>
    </row>
    <row r="521" spans="1:18" x14ac:dyDescent="0.35">
      <c r="A521">
        <v>517</v>
      </c>
      <c r="B521">
        <v>8</v>
      </c>
      <c r="C521">
        <v>4</v>
      </c>
      <c r="D521">
        <v>2023</v>
      </c>
      <c r="E521" t="s">
        <v>1075</v>
      </c>
      <c r="F521" t="s">
        <v>1077</v>
      </c>
      <c r="G521" t="s">
        <v>1061</v>
      </c>
      <c r="H521" s="18">
        <v>45024</v>
      </c>
      <c r="I521" t="s">
        <v>542</v>
      </c>
      <c r="J521" t="s">
        <v>23</v>
      </c>
      <c r="K521" t="s">
        <v>1030</v>
      </c>
      <c r="L521">
        <v>47</v>
      </c>
      <c r="M521" t="s">
        <v>21</v>
      </c>
      <c r="N521">
        <v>4</v>
      </c>
      <c r="O521">
        <v>25</v>
      </c>
      <c r="P521">
        <v>100</v>
      </c>
      <c r="Q521">
        <v>1.5</v>
      </c>
      <c r="R521">
        <v>2</v>
      </c>
    </row>
    <row r="522" spans="1:18" x14ac:dyDescent="0.35">
      <c r="A522">
        <v>518</v>
      </c>
      <c r="B522">
        <v>11</v>
      </c>
      <c r="C522">
        <v>5</v>
      </c>
      <c r="D522">
        <v>2023</v>
      </c>
      <c r="E522" t="s">
        <v>1072</v>
      </c>
      <c r="F522" t="s">
        <v>1076</v>
      </c>
      <c r="G522" t="s">
        <v>1061</v>
      </c>
      <c r="H522" s="18">
        <v>45057</v>
      </c>
      <c r="I522" t="s">
        <v>543</v>
      </c>
      <c r="J522" t="s">
        <v>23</v>
      </c>
      <c r="K522" t="s">
        <v>1030</v>
      </c>
      <c r="L522">
        <v>40</v>
      </c>
      <c r="M522" t="s">
        <v>21</v>
      </c>
      <c r="N522">
        <v>1</v>
      </c>
      <c r="O522">
        <v>30</v>
      </c>
      <c r="P522">
        <v>30</v>
      </c>
      <c r="Q522">
        <v>0.44999999999999996</v>
      </c>
      <c r="R522">
        <v>0.6</v>
      </c>
    </row>
    <row r="523" spans="1:18" x14ac:dyDescent="0.35">
      <c r="A523">
        <v>519</v>
      </c>
      <c r="B523">
        <v>23</v>
      </c>
      <c r="C523">
        <v>1</v>
      </c>
      <c r="D523">
        <v>2023</v>
      </c>
      <c r="E523" t="s">
        <v>1067</v>
      </c>
      <c r="F523" t="s">
        <v>1060</v>
      </c>
      <c r="G523" t="s">
        <v>1061</v>
      </c>
      <c r="H523" s="18">
        <v>44949</v>
      </c>
      <c r="I523" t="s">
        <v>544</v>
      </c>
      <c r="J523" t="s">
        <v>23</v>
      </c>
      <c r="K523" t="s">
        <v>1030</v>
      </c>
      <c r="L523">
        <v>36</v>
      </c>
      <c r="M523" t="s">
        <v>21</v>
      </c>
      <c r="N523">
        <v>4</v>
      </c>
      <c r="O523">
        <v>30</v>
      </c>
      <c r="P523">
        <v>120</v>
      </c>
      <c r="Q523">
        <v>1.7999999999999998</v>
      </c>
      <c r="R523">
        <v>2.4</v>
      </c>
    </row>
    <row r="524" spans="1:18" x14ac:dyDescent="0.35">
      <c r="A524">
        <v>520</v>
      </c>
      <c r="B524">
        <v>29</v>
      </c>
      <c r="C524">
        <v>12</v>
      </c>
      <c r="D524">
        <v>2023</v>
      </c>
      <c r="E524" t="s">
        <v>1070</v>
      </c>
      <c r="F524" t="s">
        <v>1062</v>
      </c>
      <c r="G524" t="s">
        <v>1061</v>
      </c>
      <c r="H524" s="18">
        <v>45289</v>
      </c>
      <c r="I524" t="s">
        <v>545</v>
      </c>
      <c r="J524" t="s">
        <v>23</v>
      </c>
      <c r="K524" t="s">
        <v>1030</v>
      </c>
      <c r="L524">
        <v>49</v>
      </c>
      <c r="M524" t="s">
        <v>26</v>
      </c>
      <c r="N524">
        <v>4</v>
      </c>
      <c r="O524">
        <v>25</v>
      </c>
      <c r="P524">
        <v>100</v>
      </c>
      <c r="Q524">
        <v>1.5</v>
      </c>
      <c r="R524">
        <v>2</v>
      </c>
    </row>
    <row r="525" spans="1:18" x14ac:dyDescent="0.35">
      <c r="A525">
        <v>521</v>
      </c>
      <c r="B525">
        <v>12</v>
      </c>
      <c r="C525">
        <v>8</v>
      </c>
      <c r="D525">
        <v>2023</v>
      </c>
      <c r="E525" t="s">
        <v>1075</v>
      </c>
      <c r="F525" t="s">
        <v>1074</v>
      </c>
      <c r="G525" t="s">
        <v>1061</v>
      </c>
      <c r="H525" s="18">
        <v>45150</v>
      </c>
      <c r="I525" t="s">
        <v>546</v>
      </c>
      <c r="J525" t="s">
        <v>23</v>
      </c>
      <c r="K525" t="s">
        <v>1030</v>
      </c>
      <c r="L525">
        <v>47</v>
      </c>
      <c r="M525" t="s">
        <v>24</v>
      </c>
      <c r="N525">
        <v>4</v>
      </c>
      <c r="O525">
        <v>30</v>
      </c>
      <c r="P525">
        <v>120</v>
      </c>
      <c r="Q525">
        <v>1.7999999999999998</v>
      </c>
      <c r="R525">
        <v>2.4</v>
      </c>
    </row>
    <row r="526" spans="1:18" x14ac:dyDescent="0.35">
      <c r="A526">
        <v>522</v>
      </c>
      <c r="B526">
        <v>1</v>
      </c>
      <c r="C526">
        <v>1</v>
      </c>
      <c r="D526">
        <v>2023</v>
      </c>
      <c r="E526" t="s">
        <v>1063</v>
      </c>
      <c r="F526" t="s">
        <v>1060</v>
      </c>
      <c r="G526" t="s">
        <v>1061</v>
      </c>
      <c r="H526" s="18">
        <v>44927</v>
      </c>
      <c r="I526" t="s">
        <v>547</v>
      </c>
      <c r="J526" t="s">
        <v>20</v>
      </c>
      <c r="K526" t="s">
        <v>1030</v>
      </c>
      <c r="L526">
        <v>46</v>
      </c>
      <c r="M526" t="s">
        <v>21</v>
      </c>
      <c r="N526">
        <v>3</v>
      </c>
      <c r="O526">
        <v>500</v>
      </c>
      <c r="P526">
        <v>1500</v>
      </c>
      <c r="Q526">
        <v>22.5</v>
      </c>
      <c r="R526">
        <v>30</v>
      </c>
    </row>
    <row r="527" spans="1:18" x14ac:dyDescent="0.35">
      <c r="A527">
        <v>523</v>
      </c>
      <c r="B527">
        <v>24</v>
      </c>
      <c r="C527">
        <v>9</v>
      </c>
      <c r="D527">
        <v>2023</v>
      </c>
      <c r="E527" t="s">
        <v>1063</v>
      </c>
      <c r="F527" t="s">
        <v>1071</v>
      </c>
      <c r="G527" t="s">
        <v>1061</v>
      </c>
      <c r="H527" s="18">
        <v>45193</v>
      </c>
      <c r="I527" t="s">
        <v>548</v>
      </c>
      <c r="J527" t="s">
        <v>23</v>
      </c>
      <c r="K527" t="s">
        <v>1032</v>
      </c>
      <c r="L527">
        <v>62</v>
      </c>
      <c r="M527" t="s">
        <v>26</v>
      </c>
      <c r="N527">
        <v>1</v>
      </c>
      <c r="O527">
        <v>300</v>
      </c>
      <c r="P527">
        <v>300</v>
      </c>
      <c r="Q527">
        <v>4.5</v>
      </c>
      <c r="R527">
        <v>6</v>
      </c>
    </row>
    <row r="528" spans="1:18" x14ac:dyDescent="0.35">
      <c r="A528">
        <v>524</v>
      </c>
      <c r="B528">
        <v>3</v>
      </c>
      <c r="C528">
        <v>10</v>
      </c>
      <c r="D528">
        <v>2023</v>
      </c>
      <c r="E528" t="s">
        <v>1059</v>
      </c>
      <c r="F528" t="s">
        <v>1064</v>
      </c>
      <c r="G528" t="s">
        <v>1061</v>
      </c>
      <c r="H528" s="18">
        <v>45202</v>
      </c>
      <c r="I528" t="s">
        <v>549</v>
      </c>
      <c r="J528" t="s">
        <v>20</v>
      </c>
      <c r="K528" t="s">
        <v>1030</v>
      </c>
      <c r="L528">
        <v>46</v>
      </c>
      <c r="M528" t="s">
        <v>21</v>
      </c>
      <c r="N528">
        <v>4</v>
      </c>
      <c r="O528">
        <v>300</v>
      </c>
      <c r="P528">
        <v>1200</v>
      </c>
      <c r="Q528">
        <v>18</v>
      </c>
      <c r="R528">
        <v>24</v>
      </c>
    </row>
    <row r="529" spans="1:18" x14ac:dyDescent="0.35">
      <c r="A529">
        <v>525</v>
      </c>
      <c r="B529">
        <v>18</v>
      </c>
      <c r="C529">
        <v>12</v>
      </c>
      <c r="D529">
        <v>2023</v>
      </c>
      <c r="E529" t="s">
        <v>1067</v>
      </c>
      <c r="F529" t="s">
        <v>1062</v>
      </c>
      <c r="G529" t="s">
        <v>1061</v>
      </c>
      <c r="H529" s="18">
        <v>45278</v>
      </c>
      <c r="I529" t="s">
        <v>550</v>
      </c>
      <c r="J529" t="s">
        <v>23</v>
      </c>
      <c r="K529" t="s">
        <v>1030</v>
      </c>
      <c r="L529">
        <v>47</v>
      </c>
      <c r="M529" t="s">
        <v>21</v>
      </c>
      <c r="N529">
        <v>2</v>
      </c>
      <c r="O529">
        <v>25</v>
      </c>
      <c r="P529">
        <v>50</v>
      </c>
      <c r="Q529">
        <v>0.75</v>
      </c>
      <c r="R529">
        <v>1</v>
      </c>
    </row>
    <row r="530" spans="1:18" x14ac:dyDescent="0.35">
      <c r="A530">
        <v>526</v>
      </c>
      <c r="B530">
        <v>10</v>
      </c>
      <c r="C530">
        <v>12</v>
      </c>
      <c r="D530">
        <v>2023</v>
      </c>
      <c r="E530" t="s">
        <v>1063</v>
      </c>
      <c r="F530" t="s">
        <v>1062</v>
      </c>
      <c r="G530" t="s">
        <v>1061</v>
      </c>
      <c r="H530" s="18">
        <v>45270</v>
      </c>
      <c r="I530" t="s">
        <v>551</v>
      </c>
      <c r="J530" t="s">
        <v>20</v>
      </c>
      <c r="K530" t="s">
        <v>1030</v>
      </c>
      <c r="L530">
        <v>33</v>
      </c>
      <c r="M530" t="s">
        <v>24</v>
      </c>
      <c r="N530">
        <v>2</v>
      </c>
      <c r="O530">
        <v>50</v>
      </c>
      <c r="P530">
        <v>100</v>
      </c>
      <c r="Q530">
        <v>1.5</v>
      </c>
      <c r="R530">
        <v>2</v>
      </c>
    </row>
    <row r="531" spans="1:18" x14ac:dyDescent="0.35">
      <c r="A531">
        <v>527</v>
      </c>
      <c r="B531">
        <v>11</v>
      </c>
      <c r="C531">
        <v>4</v>
      </c>
      <c r="D531">
        <v>2023</v>
      </c>
      <c r="E531" t="s">
        <v>1059</v>
      </c>
      <c r="F531" t="s">
        <v>1077</v>
      </c>
      <c r="G531" t="s">
        <v>1061</v>
      </c>
      <c r="H531" s="18">
        <v>45027</v>
      </c>
      <c r="I531" t="s">
        <v>552</v>
      </c>
      <c r="J531" t="s">
        <v>20</v>
      </c>
      <c r="K531" t="s">
        <v>1032</v>
      </c>
      <c r="L531">
        <v>57</v>
      </c>
      <c r="M531" t="s">
        <v>24</v>
      </c>
      <c r="N531">
        <v>2</v>
      </c>
      <c r="O531">
        <v>25</v>
      </c>
      <c r="P531">
        <v>50</v>
      </c>
      <c r="Q531">
        <v>0.75</v>
      </c>
      <c r="R531">
        <v>1</v>
      </c>
    </row>
    <row r="532" spans="1:18" x14ac:dyDescent="0.35">
      <c r="A532">
        <v>528</v>
      </c>
      <c r="B532">
        <v>6</v>
      </c>
      <c r="C532">
        <v>7</v>
      </c>
      <c r="D532">
        <v>2023</v>
      </c>
      <c r="E532" t="s">
        <v>1072</v>
      </c>
      <c r="F532" t="s">
        <v>1078</v>
      </c>
      <c r="G532" t="s">
        <v>1061</v>
      </c>
      <c r="H532" s="18">
        <v>45113</v>
      </c>
      <c r="I532" t="s">
        <v>553</v>
      </c>
      <c r="J532" t="s">
        <v>23</v>
      </c>
      <c r="K532" t="s">
        <v>1030</v>
      </c>
      <c r="L532">
        <v>36</v>
      </c>
      <c r="M532" t="s">
        <v>24</v>
      </c>
      <c r="N532">
        <v>2</v>
      </c>
      <c r="O532">
        <v>30</v>
      </c>
      <c r="P532">
        <v>60</v>
      </c>
      <c r="Q532">
        <v>0.89999999999999991</v>
      </c>
      <c r="R532">
        <v>1.2</v>
      </c>
    </row>
    <row r="533" spans="1:18" x14ac:dyDescent="0.35">
      <c r="A533">
        <v>529</v>
      </c>
      <c r="B533">
        <v>9</v>
      </c>
      <c r="C533">
        <v>8</v>
      </c>
      <c r="D533">
        <v>2023</v>
      </c>
      <c r="E533" t="s">
        <v>1065</v>
      </c>
      <c r="F533" t="s">
        <v>1074</v>
      </c>
      <c r="G533" t="s">
        <v>1061</v>
      </c>
      <c r="H533" s="18">
        <v>45147</v>
      </c>
      <c r="I533" t="s">
        <v>554</v>
      </c>
      <c r="J533" t="s">
        <v>23</v>
      </c>
      <c r="K533" t="s">
        <v>1030</v>
      </c>
      <c r="L533">
        <v>35</v>
      </c>
      <c r="M533" t="s">
        <v>24</v>
      </c>
      <c r="N533">
        <v>3</v>
      </c>
      <c r="O533">
        <v>50</v>
      </c>
      <c r="P533">
        <v>150</v>
      </c>
      <c r="Q533">
        <v>2.25</v>
      </c>
      <c r="R533">
        <v>3</v>
      </c>
    </row>
    <row r="534" spans="1:18" x14ac:dyDescent="0.35">
      <c r="A534">
        <v>530</v>
      </c>
      <c r="B534">
        <v>5</v>
      </c>
      <c r="C534">
        <v>2</v>
      </c>
      <c r="D534">
        <v>2023</v>
      </c>
      <c r="E534" t="s">
        <v>1063</v>
      </c>
      <c r="F534" t="s">
        <v>1073</v>
      </c>
      <c r="G534" t="s">
        <v>1061</v>
      </c>
      <c r="H534" s="18">
        <v>44962</v>
      </c>
      <c r="I534" t="s">
        <v>555</v>
      </c>
      <c r="J534" t="s">
        <v>23</v>
      </c>
      <c r="K534" t="s">
        <v>1034</v>
      </c>
      <c r="L534">
        <v>18</v>
      </c>
      <c r="M534" t="s">
        <v>26</v>
      </c>
      <c r="N534">
        <v>4</v>
      </c>
      <c r="O534">
        <v>30</v>
      </c>
      <c r="P534">
        <v>120</v>
      </c>
      <c r="Q534">
        <v>1.7999999999999998</v>
      </c>
      <c r="R534">
        <v>2.4</v>
      </c>
    </row>
    <row r="535" spans="1:18" x14ac:dyDescent="0.35">
      <c r="A535">
        <v>531</v>
      </c>
      <c r="B535">
        <v>7</v>
      </c>
      <c r="C535">
        <v>12</v>
      </c>
      <c r="D535">
        <v>2023</v>
      </c>
      <c r="E535" t="s">
        <v>1072</v>
      </c>
      <c r="F535" t="s">
        <v>1062</v>
      </c>
      <c r="G535" t="s">
        <v>1061</v>
      </c>
      <c r="H535" s="18">
        <v>45267</v>
      </c>
      <c r="I535" t="s">
        <v>556</v>
      </c>
      <c r="J535" t="s">
        <v>20</v>
      </c>
      <c r="K535" t="s">
        <v>1030</v>
      </c>
      <c r="L535">
        <v>31</v>
      </c>
      <c r="M535" t="s">
        <v>26</v>
      </c>
      <c r="N535">
        <v>1</v>
      </c>
      <c r="O535">
        <v>500</v>
      </c>
      <c r="P535">
        <v>500</v>
      </c>
      <c r="Q535">
        <v>7.5</v>
      </c>
      <c r="R535">
        <v>10</v>
      </c>
    </row>
    <row r="536" spans="1:18" x14ac:dyDescent="0.35">
      <c r="A536">
        <v>532</v>
      </c>
      <c r="B536">
        <v>19</v>
      </c>
      <c r="C536">
        <v>6</v>
      </c>
      <c r="D536">
        <v>2023</v>
      </c>
      <c r="E536" t="s">
        <v>1067</v>
      </c>
      <c r="F536" t="s">
        <v>1069</v>
      </c>
      <c r="G536" t="s">
        <v>1061</v>
      </c>
      <c r="H536" s="18">
        <v>45096</v>
      </c>
      <c r="I536" t="s">
        <v>557</v>
      </c>
      <c r="J536" t="s">
        <v>23</v>
      </c>
      <c r="K536" t="s">
        <v>1032</v>
      </c>
      <c r="L536">
        <v>64</v>
      </c>
      <c r="M536" t="s">
        <v>24</v>
      </c>
      <c r="N536">
        <v>4</v>
      </c>
      <c r="O536">
        <v>30</v>
      </c>
      <c r="P536">
        <v>120</v>
      </c>
      <c r="Q536">
        <v>1.7999999999999998</v>
      </c>
      <c r="R536">
        <v>2.4</v>
      </c>
    </row>
    <row r="537" spans="1:18" x14ac:dyDescent="0.35">
      <c r="A537">
        <v>533</v>
      </c>
      <c r="B537">
        <v>16</v>
      </c>
      <c r="C537">
        <v>11</v>
      </c>
      <c r="D537">
        <v>2023</v>
      </c>
      <c r="E537" t="s">
        <v>1072</v>
      </c>
      <c r="F537" t="s">
        <v>1068</v>
      </c>
      <c r="G537" t="s">
        <v>1061</v>
      </c>
      <c r="H537" s="18">
        <v>45246</v>
      </c>
      <c r="I537" t="s">
        <v>558</v>
      </c>
      <c r="J537" t="s">
        <v>20</v>
      </c>
      <c r="K537" t="s">
        <v>1034</v>
      </c>
      <c r="L537">
        <v>19</v>
      </c>
      <c r="M537" t="s">
        <v>26</v>
      </c>
      <c r="N537">
        <v>3</v>
      </c>
      <c r="O537">
        <v>500</v>
      </c>
      <c r="P537">
        <v>1500</v>
      </c>
      <c r="Q537">
        <v>22.5</v>
      </c>
      <c r="R537">
        <v>30</v>
      </c>
    </row>
    <row r="538" spans="1:18" x14ac:dyDescent="0.35">
      <c r="A538">
        <v>534</v>
      </c>
      <c r="B538">
        <v>10</v>
      </c>
      <c r="C538">
        <v>6</v>
      </c>
      <c r="D538">
        <v>2023</v>
      </c>
      <c r="E538" t="s">
        <v>1075</v>
      </c>
      <c r="F538" t="s">
        <v>1069</v>
      </c>
      <c r="G538" t="s">
        <v>1061</v>
      </c>
      <c r="H538" s="18">
        <v>45087</v>
      </c>
      <c r="I538" t="s">
        <v>559</v>
      </c>
      <c r="J538" t="s">
        <v>20</v>
      </c>
      <c r="K538" t="s">
        <v>1030</v>
      </c>
      <c r="L538">
        <v>45</v>
      </c>
      <c r="M538" t="s">
        <v>24</v>
      </c>
      <c r="N538">
        <v>2</v>
      </c>
      <c r="O538">
        <v>500</v>
      </c>
      <c r="P538">
        <v>1000</v>
      </c>
      <c r="Q538">
        <v>15</v>
      </c>
      <c r="R538">
        <v>20</v>
      </c>
    </row>
    <row r="539" spans="1:18" x14ac:dyDescent="0.35">
      <c r="A539">
        <v>535</v>
      </c>
      <c r="B539">
        <v>6</v>
      </c>
      <c r="C539">
        <v>12</v>
      </c>
      <c r="D539">
        <v>2023</v>
      </c>
      <c r="E539" t="s">
        <v>1065</v>
      </c>
      <c r="F539" t="s">
        <v>1062</v>
      </c>
      <c r="G539" t="s">
        <v>1061</v>
      </c>
      <c r="H539" s="18">
        <v>45266</v>
      </c>
      <c r="I539" t="s">
        <v>560</v>
      </c>
      <c r="J539" t="s">
        <v>20</v>
      </c>
      <c r="K539" t="s">
        <v>1030</v>
      </c>
      <c r="L539">
        <v>47</v>
      </c>
      <c r="M539" t="s">
        <v>21</v>
      </c>
      <c r="N539">
        <v>3</v>
      </c>
      <c r="O539">
        <v>30</v>
      </c>
      <c r="P539">
        <v>90</v>
      </c>
      <c r="Q539">
        <v>1.3499999999999999</v>
      </c>
      <c r="R539">
        <v>1.8</v>
      </c>
    </row>
    <row r="540" spans="1:18" x14ac:dyDescent="0.35">
      <c r="A540">
        <v>536</v>
      </c>
      <c r="B540">
        <v>5</v>
      </c>
      <c r="C540">
        <v>3</v>
      </c>
      <c r="D540">
        <v>2023</v>
      </c>
      <c r="E540" t="s">
        <v>1063</v>
      </c>
      <c r="F540" t="s">
        <v>1066</v>
      </c>
      <c r="G540" t="s">
        <v>1061</v>
      </c>
      <c r="H540" s="18">
        <v>44990</v>
      </c>
      <c r="I540" t="s">
        <v>561</v>
      </c>
      <c r="J540" t="s">
        <v>23</v>
      </c>
      <c r="K540" t="s">
        <v>1032</v>
      </c>
      <c r="L540">
        <v>55</v>
      </c>
      <c r="M540" t="s">
        <v>21</v>
      </c>
      <c r="N540">
        <v>4</v>
      </c>
      <c r="O540">
        <v>30</v>
      </c>
      <c r="P540">
        <v>120</v>
      </c>
      <c r="Q540">
        <v>1.7999999999999998</v>
      </c>
      <c r="R540">
        <v>2.4</v>
      </c>
    </row>
    <row r="541" spans="1:18" x14ac:dyDescent="0.35">
      <c r="A541">
        <v>537</v>
      </c>
      <c r="B541">
        <v>3</v>
      </c>
      <c r="C541">
        <v>6</v>
      </c>
      <c r="D541">
        <v>2023</v>
      </c>
      <c r="E541" t="s">
        <v>1075</v>
      </c>
      <c r="F541" t="s">
        <v>1069</v>
      </c>
      <c r="G541" t="s">
        <v>1061</v>
      </c>
      <c r="H541" s="18">
        <v>45080</v>
      </c>
      <c r="I541" t="s">
        <v>562</v>
      </c>
      <c r="J541" t="s">
        <v>23</v>
      </c>
      <c r="K541" t="s">
        <v>1034</v>
      </c>
      <c r="L541">
        <v>21</v>
      </c>
      <c r="M541" t="s">
        <v>21</v>
      </c>
      <c r="N541">
        <v>1</v>
      </c>
      <c r="O541">
        <v>500</v>
      </c>
      <c r="P541">
        <v>500</v>
      </c>
      <c r="Q541">
        <v>7.5</v>
      </c>
      <c r="R541">
        <v>10</v>
      </c>
    </row>
    <row r="542" spans="1:18" x14ac:dyDescent="0.35">
      <c r="A542">
        <v>538</v>
      </c>
      <c r="B542">
        <v>17</v>
      </c>
      <c r="C542">
        <v>9</v>
      </c>
      <c r="D542">
        <v>2023</v>
      </c>
      <c r="E542" t="s">
        <v>1063</v>
      </c>
      <c r="F542" t="s">
        <v>1071</v>
      </c>
      <c r="G542" t="s">
        <v>1061</v>
      </c>
      <c r="H542" s="18">
        <v>45186</v>
      </c>
      <c r="I542" t="s">
        <v>563</v>
      </c>
      <c r="J542" t="s">
        <v>20</v>
      </c>
      <c r="K542" t="s">
        <v>1034</v>
      </c>
      <c r="L542">
        <v>18</v>
      </c>
      <c r="M542" t="s">
        <v>24</v>
      </c>
      <c r="N542">
        <v>3</v>
      </c>
      <c r="O542">
        <v>50</v>
      </c>
      <c r="P542">
        <v>150</v>
      </c>
      <c r="Q542">
        <v>2.25</v>
      </c>
      <c r="R542">
        <v>3</v>
      </c>
    </row>
    <row r="543" spans="1:18" x14ac:dyDescent="0.35">
      <c r="A543">
        <v>539</v>
      </c>
      <c r="B543">
        <v>8</v>
      </c>
      <c r="C543">
        <v>6</v>
      </c>
      <c r="D543">
        <v>2023</v>
      </c>
      <c r="E543" t="s">
        <v>1072</v>
      </c>
      <c r="F543" t="s">
        <v>1069</v>
      </c>
      <c r="G543" t="s">
        <v>1061</v>
      </c>
      <c r="H543" s="18">
        <v>45085</v>
      </c>
      <c r="I543" t="s">
        <v>564</v>
      </c>
      <c r="J543" t="s">
        <v>20</v>
      </c>
      <c r="K543" t="s">
        <v>1034</v>
      </c>
      <c r="L543">
        <v>25</v>
      </c>
      <c r="M543" t="s">
        <v>21</v>
      </c>
      <c r="N543">
        <v>1</v>
      </c>
      <c r="O543">
        <v>500</v>
      </c>
      <c r="P543">
        <v>500</v>
      </c>
      <c r="Q543">
        <v>7.5</v>
      </c>
      <c r="R543">
        <v>10</v>
      </c>
    </row>
    <row r="544" spans="1:18" x14ac:dyDescent="0.35">
      <c r="A544">
        <v>540</v>
      </c>
      <c r="B544">
        <v>8</v>
      </c>
      <c r="C544">
        <v>12</v>
      </c>
      <c r="D544">
        <v>2023</v>
      </c>
      <c r="E544" t="s">
        <v>1070</v>
      </c>
      <c r="F544" t="s">
        <v>1062</v>
      </c>
      <c r="G544" t="s">
        <v>1061</v>
      </c>
      <c r="H544" s="18">
        <v>45268</v>
      </c>
      <c r="I544" t="s">
        <v>565</v>
      </c>
      <c r="J544" t="s">
        <v>23</v>
      </c>
      <c r="K544" t="s">
        <v>1030</v>
      </c>
      <c r="L544">
        <v>46</v>
      </c>
      <c r="M544" t="s">
        <v>26</v>
      </c>
      <c r="N544">
        <v>3</v>
      </c>
      <c r="O544">
        <v>300</v>
      </c>
      <c r="P544">
        <v>900</v>
      </c>
      <c r="Q544">
        <v>13.5</v>
      </c>
      <c r="R544">
        <v>18</v>
      </c>
    </row>
    <row r="545" spans="1:18" x14ac:dyDescent="0.35">
      <c r="A545">
        <v>541</v>
      </c>
      <c r="B545">
        <v>29</v>
      </c>
      <c r="C545">
        <v>7</v>
      </c>
      <c r="D545">
        <v>2023</v>
      </c>
      <c r="E545" t="s">
        <v>1075</v>
      </c>
      <c r="F545" t="s">
        <v>1078</v>
      </c>
      <c r="G545" t="s">
        <v>1061</v>
      </c>
      <c r="H545" s="18">
        <v>45136</v>
      </c>
      <c r="I545" t="s">
        <v>566</v>
      </c>
      <c r="J545" t="s">
        <v>20</v>
      </c>
      <c r="K545" t="s">
        <v>1032</v>
      </c>
      <c r="L545">
        <v>56</v>
      </c>
      <c r="M545" t="s">
        <v>21</v>
      </c>
      <c r="N545">
        <v>1</v>
      </c>
      <c r="O545">
        <v>500</v>
      </c>
      <c r="P545">
        <v>500</v>
      </c>
      <c r="Q545">
        <v>7.5</v>
      </c>
      <c r="R545">
        <v>10</v>
      </c>
    </row>
    <row r="546" spans="1:18" x14ac:dyDescent="0.35">
      <c r="A546">
        <v>542</v>
      </c>
      <c r="B546">
        <v>17</v>
      </c>
      <c r="C546">
        <v>6</v>
      </c>
      <c r="D546">
        <v>2023</v>
      </c>
      <c r="E546" t="s">
        <v>1075</v>
      </c>
      <c r="F546" t="s">
        <v>1069</v>
      </c>
      <c r="G546" t="s">
        <v>1061</v>
      </c>
      <c r="H546" s="18">
        <v>45094</v>
      </c>
      <c r="I546" t="s">
        <v>567</v>
      </c>
      <c r="J546" t="s">
        <v>23</v>
      </c>
      <c r="K546" t="s">
        <v>1034</v>
      </c>
      <c r="L546">
        <v>20</v>
      </c>
      <c r="M546" t="s">
        <v>21</v>
      </c>
      <c r="N546">
        <v>1</v>
      </c>
      <c r="O546">
        <v>50</v>
      </c>
      <c r="P546">
        <v>50</v>
      </c>
      <c r="Q546">
        <v>0.75</v>
      </c>
      <c r="R546">
        <v>1</v>
      </c>
    </row>
    <row r="547" spans="1:18" x14ac:dyDescent="0.35">
      <c r="A547">
        <v>543</v>
      </c>
      <c r="B547">
        <v>26</v>
      </c>
      <c r="C547">
        <v>7</v>
      </c>
      <c r="D547">
        <v>2023</v>
      </c>
      <c r="E547" t="s">
        <v>1065</v>
      </c>
      <c r="F547" t="s">
        <v>1078</v>
      </c>
      <c r="G547" t="s">
        <v>1061</v>
      </c>
      <c r="H547" s="18">
        <v>45133</v>
      </c>
      <c r="I547" t="s">
        <v>568</v>
      </c>
      <c r="J547" t="s">
        <v>20</v>
      </c>
      <c r="K547" t="s">
        <v>1030</v>
      </c>
      <c r="L547">
        <v>49</v>
      </c>
      <c r="M547" t="s">
        <v>21</v>
      </c>
      <c r="N547">
        <v>2</v>
      </c>
      <c r="O547">
        <v>300</v>
      </c>
      <c r="P547">
        <v>600</v>
      </c>
      <c r="Q547">
        <v>9</v>
      </c>
      <c r="R547">
        <v>12</v>
      </c>
    </row>
    <row r="548" spans="1:18" x14ac:dyDescent="0.35">
      <c r="A548">
        <v>544</v>
      </c>
      <c r="B548">
        <v>23</v>
      </c>
      <c r="C548">
        <v>12</v>
      </c>
      <c r="D548">
        <v>2023</v>
      </c>
      <c r="E548" t="s">
        <v>1075</v>
      </c>
      <c r="F548" t="s">
        <v>1062</v>
      </c>
      <c r="G548" t="s">
        <v>1061</v>
      </c>
      <c r="H548" s="18">
        <v>45283</v>
      </c>
      <c r="I548" t="s">
        <v>569</v>
      </c>
      <c r="J548" t="s">
        <v>23</v>
      </c>
      <c r="K548" t="s">
        <v>1034</v>
      </c>
      <c r="L548">
        <v>27</v>
      </c>
      <c r="M548" t="s">
        <v>26</v>
      </c>
      <c r="N548">
        <v>1</v>
      </c>
      <c r="O548">
        <v>25</v>
      </c>
      <c r="P548">
        <v>25</v>
      </c>
      <c r="Q548">
        <v>0.375</v>
      </c>
      <c r="R548">
        <v>0.5</v>
      </c>
    </row>
    <row r="549" spans="1:18" x14ac:dyDescent="0.35">
      <c r="A549">
        <v>545</v>
      </c>
      <c r="B549">
        <v>1</v>
      </c>
      <c r="C549">
        <v>6</v>
      </c>
      <c r="D549">
        <v>2023</v>
      </c>
      <c r="E549" t="s">
        <v>1072</v>
      </c>
      <c r="F549" t="s">
        <v>1069</v>
      </c>
      <c r="G549" t="s">
        <v>1061</v>
      </c>
      <c r="H549" s="18">
        <v>45078</v>
      </c>
      <c r="I549" t="s">
        <v>570</v>
      </c>
      <c r="J549" t="s">
        <v>20</v>
      </c>
      <c r="K549" t="s">
        <v>1034</v>
      </c>
      <c r="L549">
        <v>27</v>
      </c>
      <c r="M549" t="s">
        <v>24</v>
      </c>
      <c r="N549">
        <v>2</v>
      </c>
      <c r="O549">
        <v>25</v>
      </c>
      <c r="P549">
        <v>50</v>
      </c>
      <c r="Q549">
        <v>0.75</v>
      </c>
      <c r="R549">
        <v>1</v>
      </c>
    </row>
    <row r="550" spans="1:18" x14ac:dyDescent="0.35">
      <c r="A550">
        <v>546</v>
      </c>
      <c r="B550">
        <v>11</v>
      </c>
      <c r="C550">
        <v>10</v>
      </c>
      <c r="D550">
        <v>2023</v>
      </c>
      <c r="E550" t="s">
        <v>1065</v>
      </c>
      <c r="F550" t="s">
        <v>1064</v>
      </c>
      <c r="G550" t="s">
        <v>1061</v>
      </c>
      <c r="H550" s="18">
        <v>45210</v>
      </c>
      <c r="I550" t="s">
        <v>571</v>
      </c>
      <c r="J550" t="s">
        <v>23</v>
      </c>
      <c r="K550" t="s">
        <v>1030</v>
      </c>
      <c r="L550">
        <v>36</v>
      </c>
      <c r="M550" t="s">
        <v>26</v>
      </c>
      <c r="N550">
        <v>4</v>
      </c>
      <c r="O550">
        <v>50</v>
      </c>
      <c r="P550">
        <v>200</v>
      </c>
      <c r="Q550">
        <v>3</v>
      </c>
      <c r="R550">
        <v>4</v>
      </c>
    </row>
    <row r="551" spans="1:18" x14ac:dyDescent="0.35">
      <c r="A551">
        <v>547</v>
      </c>
      <c r="B551">
        <v>7</v>
      </c>
      <c r="C551">
        <v>3</v>
      </c>
      <c r="D551">
        <v>2023</v>
      </c>
      <c r="E551" t="s">
        <v>1059</v>
      </c>
      <c r="F551" t="s">
        <v>1066</v>
      </c>
      <c r="G551" t="s">
        <v>1061</v>
      </c>
      <c r="H551" s="18">
        <v>44992</v>
      </c>
      <c r="I551" t="s">
        <v>572</v>
      </c>
      <c r="J551" t="s">
        <v>20</v>
      </c>
      <c r="K551" t="s">
        <v>1032</v>
      </c>
      <c r="L551">
        <v>63</v>
      </c>
      <c r="M551" t="s">
        <v>24</v>
      </c>
      <c r="N551">
        <v>4</v>
      </c>
      <c r="O551">
        <v>500</v>
      </c>
      <c r="P551">
        <v>2000</v>
      </c>
      <c r="Q551">
        <v>30</v>
      </c>
      <c r="R551">
        <v>40</v>
      </c>
    </row>
    <row r="552" spans="1:18" x14ac:dyDescent="0.35">
      <c r="A552">
        <v>548</v>
      </c>
      <c r="B552">
        <v>9</v>
      </c>
      <c r="C552">
        <v>4</v>
      </c>
      <c r="D552">
        <v>2023</v>
      </c>
      <c r="E552" t="s">
        <v>1063</v>
      </c>
      <c r="F552" t="s">
        <v>1077</v>
      </c>
      <c r="G552" t="s">
        <v>1061</v>
      </c>
      <c r="H552" s="18">
        <v>45025</v>
      </c>
      <c r="I552" t="s">
        <v>573</v>
      </c>
      <c r="J552" t="s">
        <v>23</v>
      </c>
      <c r="K552" t="s">
        <v>1032</v>
      </c>
      <c r="L552">
        <v>51</v>
      </c>
      <c r="M552" t="s">
        <v>24</v>
      </c>
      <c r="N552">
        <v>2</v>
      </c>
      <c r="O552">
        <v>30</v>
      </c>
      <c r="P552">
        <v>60</v>
      </c>
      <c r="Q552">
        <v>0.89999999999999991</v>
      </c>
      <c r="R552">
        <v>1.2</v>
      </c>
    </row>
    <row r="553" spans="1:18" x14ac:dyDescent="0.35">
      <c r="A553">
        <v>549</v>
      </c>
      <c r="B553">
        <v>4</v>
      </c>
      <c r="C553">
        <v>8</v>
      </c>
      <c r="D553">
        <v>2023</v>
      </c>
      <c r="E553" t="s">
        <v>1070</v>
      </c>
      <c r="F553" t="s">
        <v>1074</v>
      </c>
      <c r="G553" t="s">
        <v>1061</v>
      </c>
      <c r="H553" s="18">
        <v>45142</v>
      </c>
      <c r="I553" t="s">
        <v>574</v>
      </c>
      <c r="J553" t="s">
        <v>23</v>
      </c>
      <c r="K553" t="s">
        <v>1030</v>
      </c>
      <c r="L553">
        <v>50</v>
      </c>
      <c r="M553" t="s">
        <v>21</v>
      </c>
      <c r="N553">
        <v>2</v>
      </c>
      <c r="O553">
        <v>50</v>
      </c>
      <c r="P553">
        <v>100</v>
      </c>
      <c r="Q553">
        <v>1.5</v>
      </c>
      <c r="R553">
        <v>2</v>
      </c>
    </row>
    <row r="554" spans="1:18" x14ac:dyDescent="0.35">
      <c r="A554">
        <v>550</v>
      </c>
      <c r="B554">
        <v>7</v>
      </c>
      <c r="C554">
        <v>12</v>
      </c>
      <c r="D554">
        <v>2023</v>
      </c>
      <c r="E554" t="s">
        <v>1072</v>
      </c>
      <c r="F554" t="s">
        <v>1062</v>
      </c>
      <c r="G554" t="s">
        <v>1061</v>
      </c>
      <c r="H554" s="18">
        <v>45267</v>
      </c>
      <c r="I554" t="s">
        <v>575</v>
      </c>
      <c r="J554" t="s">
        <v>20</v>
      </c>
      <c r="K554" t="s">
        <v>1030</v>
      </c>
      <c r="L554">
        <v>40</v>
      </c>
      <c r="M554" t="s">
        <v>24</v>
      </c>
      <c r="N554">
        <v>3</v>
      </c>
      <c r="O554">
        <v>300</v>
      </c>
      <c r="P554">
        <v>900</v>
      </c>
      <c r="Q554">
        <v>13.5</v>
      </c>
      <c r="R554">
        <v>18</v>
      </c>
    </row>
    <row r="555" spans="1:18" x14ac:dyDescent="0.35">
      <c r="A555">
        <v>551</v>
      </c>
      <c r="B555">
        <v>14</v>
      </c>
      <c r="C555">
        <v>7</v>
      </c>
      <c r="D555">
        <v>2023</v>
      </c>
      <c r="E555" t="s">
        <v>1070</v>
      </c>
      <c r="F555" t="s">
        <v>1078</v>
      </c>
      <c r="G555" t="s">
        <v>1061</v>
      </c>
      <c r="H555" s="18">
        <v>45121</v>
      </c>
      <c r="I555" t="s">
        <v>576</v>
      </c>
      <c r="J555" t="s">
        <v>20</v>
      </c>
      <c r="K555" t="s">
        <v>1030</v>
      </c>
      <c r="L555">
        <v>45</v>
      </c>
      <c r="M555" t="s">
        <v>26</v>
      </c>
      <c r="N555">
        <v>3</v>
      </c>
      <c r="O555">
        <v>300</v>
      </c>
      <c r="P555">
        <v>900</v>
      </c>
      <c r="Q555">
        <v>13.5</v>
      </c>
      <c r="R555">
        <v>18</v>
      </c>
    </row>
    <row r="556" spans="1:18" x14ac:dyDescent="0.35">
      <c r="A556">
        <v>552</v>
      </c>
      <c r="B556">
        <v>13</v>
      </c>
      <c r="C556">
        <v>12</v>
      </c>
      <c r="D556">
        <v>2023</v>
      </c>
      <c r="E556" t="s">
        <v>1065</v>
      </c>
      <c r="F556" t="s">
        <v>1062</v>
      </c>
      <c r="G556" t="s">
        <v>1061</v>
      </c>
      <c r="H556" s="18">
        <v>45273</v>
      </c>
      <c r="I556" t="s">
        <v>577</v>
      </c>
      <c r="J556" t="s">
        <v>23</v>
      </c>
      <c r="K556" t="s">
        <v>1030</v>
      </c>
      <c r="L556">
        <v>49</v>
      </c>
      <c r="M556" t="s">
        <v>26</v>
      </c>
      <c r="N556">
        <v>3</v>
      </c>
      <c r="O556">
        <v>25</v>
      </c>
      <c r="P556">
        <v>75</v>
      </c>
      <c r="Q556">
        <v>1.125</v>
      </c>
      <c r="R556">
        <v>1.5</v>
      </c>
    </row>
    <row r="557" spans="1:18" x14ac:dyDescent="0.35">
      <c r="A557">
        <v>553</v>
      </c>
      <c r="B557">
        <v>31</v>
      </c>
      <c r="C557">
        <v>3</v>
      </c>
      <c r="D557">
        <v>2023</v>
      </c>
      <c r="E557" t="s">
        <v>1070</v>
      </c>
      <c r="F557" t="s">
        <v>1066</v>
      </c>
      <c r="G557" t="s">
        <v>1061</v>
      </c>
      <c r="H557" s="18">
        <v>45016</v>
      </c>
      <c r="I557" t="s">
        <v>578</v>
      </c>
      <c r="J557" t="s">
        <v>20</v>
      </c>
      <c r="K557" t="s">
        <v>1034</v>
      </c>
      <c r="L557">
        <v>24</v>
      </c>
      <c r="M557" t="s">
        <v>24</v>
      </c>
      <c r="N557">
        <v>4</v>
      </c>
      <c r="O557">
        <v>300</v>
      </c>
      <c r="P557">
        <v>1200</v>
      </c>
      <c r="Q557">
        <v>18</v>
      </c>
      <c r="R557">
        <v>24</v>
      </c>
    </row>
    <row r="558" spans="1:18" x14ac:dyDescent="0.35">
      <c r="A558">
        <v>554</v>
      </c>
      <c r="B558">
        <v>12</v>
      </c>
      <c r="C558">
        <v>11</v>
      </c>
      <c r="D558">
        <v>2023</v>
      </c>
      <c r="E558" t="s">
        <v>1063</v>
      </c>
      <c r="F558" t="s">
        <v>1068</v>
      </c>
      <c r="G558" t="s">
        <v>1061</v>
      </c>
      <c r="H558" s="18">
        <v>45242</v>
      </c>
      <c r="I558" t="s">
        <v>579</v>
      </c>
      <c r="J558" t="s">
        <v>23</v>
      </c>
      <c r="K558" t="s">
        <v>1030</v>
      </c>
      <c r="L558">
        <v>46</v>
      </c>
      <c r="M558" t="s">
        <v>21</v>
      </c>
      <c r="N558">
        <v>3</v>
      </c>
      <c r="O558">
        <v>50</v>
      </c>
      <c r="P558">
        <v>150</v>
      </c>
      <c r="Q558">
        <v>2.25</v>
      </c>
      <c r="R558">
        <v>3</v>
      </c>
    </row>
    <row r="559" spans="1:18" x14ac:dyDescent="0.35">
      <c r="A559">
        <v>555</v>
      </c>
      <c r="B559">
        <v>19</v>
      </c>
      <c r="C559">
        <v>10</v>
      </c>
      <c r="D559">
        <v>2023</v>
      </c>
      <c r="E559" t="s">
        <v>1072</v>
      </c>
      <c r="F559" t="s">
        <v>1064</v>
      </c>
      <c r="G559" t="s">
        <v>1061</v>
      </c>
      <c r="H559" s="18">
        <v>45218</v>
      </c>
      <c r="I559" t="s">
        <v>580</v>
      </c>
      <c r="J559" t="s">
        <v>20</v>
      </c>
      <c r="K559" t="s">
        <v>1034</v>
      </c>
      <c r="L559">
        <v>25</v>
      </c>
      <c r="M559" t="s">
        <v>21</v>
      </c>
      <c r="N559">
        <v>1</v>
      </c>
      <c r="O559">
        <v>300</v>
      </c>
      <c r="P559">
        <v>300</v>
      </c>
      <c r="Q559">
        <v>4.5</v>
      </c>
      <c r="R559">
        <v>6</v>
      </c>
    </row>
    <row r="560" spans="1:18" x14ac:dyDescent="0.35">
      <c r="A560">
        <v>556</v>
      </c>
      <c r="B560">
        <v>4</v>
      </c>
      <c r="C560">
        <v>6</v>
      </c>
      <c r="D560">
        <v>2023</v>
      </c>
      <c r="E560" t="s">
        <v>1063</v>
      </c>
      <c r="F560" t="s">
        <v>1069</v>
      </c>
      <c r="G560" t="s">
        <v>1061</v>
      </c>
      <c r="H560" s="18">
        <v>45081</v>
      </c>
      <c r="I560" t="s">
        <v>581</v>
      </c>
      <c r="J560" t="s">
        <v>23</v>
      </c>
      <c r="K560" t="s">
        <v>1034</v>
      </c>
      <c r="L560">
        <v>18</v>
      </c>
      <c r="M560" t="s">
        <v>26</v>
      </c>
      <c r="N560">
        <v>1</v>
      </c>
      <c r="O560">
        <v>50</v>
      </c>
      <c r="P560">
        <v>50</v>
      </c>
      <c r="Q560">
        <v>0.75</v>
      </c>
      <c r="R560">
        <v>1</v>
      </c>
    </row>
    <row r="561" spans="1:18" x14ac:dyDescent="0.35">
      <c r="A561">
        <v>557</v>
      </c>
      <c r="B561">
        <v>27</v>
      </c>
      <c r="C561">
        <v>7</v>
      </c>
      <c r="D561">
        <v>2023</v>
      </c>
      <c r="E561" t="s">
        <v>1072</v>
      </c>
      <c r="F561" t="s">
        <v>1078</v>
      </c>
      <c r="G561" t="s">
        <v>1061</v>
      </c>
      <c r="H561" s="18">
        <v>45134</v>
      </c>
      <c r="I561" t="s">
        <v>582</v>
      </c>
      <c r="J561" t="s">
        <v>23</v>
      </c>
      <c r="K561" t="s">
        <v>1034</v>
      </c>
      <c r="L561">
        <v>20</v>
      </c>
      <c r="M561" t="s">
        <v>21</v>
      </c>
      <c r="N561">
        <v>3</v>
      </c>
      <c r="O561">
        <v>30</v>
      </c>
      <c r="P561">
        <v>90</v>
      </c>
      <c r="Q561">
        <v>1.3499999999999999</v>
      </c>
      <c r="R561">
        <v>1.8</v>
      </c>
    </row>
    <row r="562" spans="1:18" x14ac:dyDescent="0.35">
      <c r="A562">
        <v>558</v>
      </c>
      <c r="B562">
        <v>8</v>
      </c>
      <c r="C562">
        <v>10</v>
      </c>
      <c r="D562">
        <v>2023</v>
      </c>
      <c r="E562" t="s">
        <v>1063</v>
      </c>
      <c r="F562" t="s">
        <v>1064</v>
      </c>
      <c r="G562" t="s">
        <v>1061</v>
      </c>
      <c r="H562" s="18">
        <v>45207</v>
      </c>
      <c r="I562" t="s">
        <v>583</v>
      </c>
      <c r="J562" t="s">
        <v>23</v>
      </c>
      <c r="K562" t="s">
        <v>1030</v>
      </c>
      <c r="L562">
        <v>41</v>
      </c>
      <c r="M562" t="s">
        <v>24</v>
      </c>
      <c r="N562">
        <v>1</v>
      </c>
      <c r="O562">
        <v>25</v>
      </c>
      <c r="P562">
        <v>25</v>
      </c>
      <c r="Q562">
        <v>0.375</v>
      </c>
      <c r="R562">
        <v>0.5</v>
      </c>
    </row>
    <row r="563" spans="1:18" x14ac:dyDescent="0.35">
      <c r="A563">
        <v>559</v>
      </c>
      <c r="B563">
        <v>1</v>
      </c>
      <c r="C563">
        <v>1</v>
      </c>
      <c r="D563">
        <v>2023</v>
      </c>
      <c r="E563" t="s">
        <v>1063</v>
      </c>
      <c r="F563" t="s">
        <v>1060</v>
      </c>
      <c r="G563" t="s">
        <v>1061</v>
      </c>
      <c r="H563" s="18">
        <v>44927</v>
      </c>
      <c r="I563" t="s">
        <v>584</v>
      </c>
      <c r="J563" t="s">
        <v>23</v>
      </c>
      <c r="K563" t="s">
        <v>1030</v>
      </c>
      <c r="L563">
        <v>40</v>
      </c>
      <c r="M563" t="s">
        <v>24</v>
      </c>
      <c r="N563">
        <v>4</v>
      </c>
      <c r="O563">
        <v>300</v>
      </c>
      <c r="P563">
        <v>1200</v>
      </c>
      <c r="Q563">
        <v>18</v>
      </c>
      <c r="R563">
        <v>24</v>
      </c>
    </row>
    <row r="564" spans="1:18" x14ac:dyDescent="0.35">
      <c r="A564">
        <v>560</v>
      </c>
      <c r="B564">
        <v>5</v>
      </c>
      <c r="C564">
        <v>6</v>
      </c>
      <c r="D564">
        <v>2023</v>
      </c>
      <c r="E564" t="s">
        <v>1067</v>
      </c>
      <c r="F564" t="s">
        <v>1069</v>
      </c>
      <c r="G564" t="s">
        <v>1061</v>
      </c>
      <c r="H564" s="18">
        <v>45082</v>
      </c>
      <c r="I564" t="s">
        <v>585</v>
      </c>
      <c r="J564" t="s">
        <v>23</v>
      </c>
      <c r="K564" t="s">
        <v>1034</v>
      </c>
      <c r="L564">
        <v>25</v>
      </c>
      <c r="M564" t="s">
        <v>26</v>
      </c>
      <c r="N564">
        <v>1</v>
      </c>
      <c r="O564">
        <v>50</v>
      </c>
      <c r="P564">
        <v>50</v>
      </c>
      <c r="Q564">
        <v>0.75</v>
      </c>
      <c r="R564">
        <v>1</v>
      </c>
    </row>
    <row r="565" spans="1:18" x14ac:dyDescent="0.35">
      <c r="A565">
        <v>561</v>
      </c>
      <c r="B565">
        <v>27</v>
      </c>
      <c r="C565">
        <v>5</v>
      </c>
      <c r="D565">
        <v>2023</v>
      </c>
      <c r="E565" t="s">
        <v>1075</v>
      </c>
      <c r="F565" t="s">
        <v>1076</v>
      </c>
      <c r="G565" t="s">
        <v>1061</v>
      </c>
      <c r="H565" s="18">
        <v>45073</v>
      </c>
      <c r="I565" t="s">
        <v>586</v>
      </c>
      <c r="J565" t="s">
        <v>23</v>
      </c>
      <c r="K565" t="s">
        <v>1032</v>
      </c>
      <c r="L565">
        <v>64</v>
      </c>
      <c r="M565" t="s">
        <v>24</v>
      </c>
      <c r="N565">
        <v>4</v>
      </c>
      <c r="O565">
        <v>500</v>
      </c>
      <c r="P565">
        <v>2000</v>
      </c>
      <c r="Q565">
        <v>30</v>
      </c>
      <c r="R565">
        <v>40</v>
      </c>
    </row>
    <row r="566" spans="1:18" x14ac:dyDescent="0.35">
      <c r="A566">
        <v>562</v>
      </c>
      <c r="B566">
        <v>18</v>
      </c>
      <c r="C566">
        <v>4</v>
      </c>
      <c r="D566">
        <v>2023</v>
      </c>
      <c r="E566" t="s">
        <v>1059</v>
      </c>
      <c r="F566" t="s">
        <v>1077</v>
      </c>
      <c r="G566" t="s">
        <v>1061</v>
      </c>
      <c r="H566" s="18">
        <v>45034</v>
      </c>
      <c r="I566" t="s">
        <v>587</v>
      </c>
      <c r="J566" t="s">
        <v>20</v>
      </c>
      <c r="K566" t="s">
        <v>1032</v>
      </c>
      <c r="L566">
        <v>54</v>
      </c>
      <c r="M566" t="s">
        <v>26</v>
      </c>
      <c r="N566">
        <v>2</v>
      </c>
      <c r="O566">
        <v>25</v>
      </c>
      <c r="P566">
        <v>50</v>
      </c>
      <c r="Q566">
        <v>0.75</v>
      </c>
      <c r="R566">
        <v>1</v>
      </c>
    </row>
    <row r="567" spans="1:18" x14ac:dyDescent="0.35">
      <c r="A567">
        <v>563</v>
      </c>
      <c r="B567">
        <v>9</v>
      </c>
      <c r="C567">
        <v>8</v>
      </c>
      <c r="D567">
        <v>2023</v>
      </c>
      <c r="E567" t="s">
        <v>1065</v>
      </c>
      <c r="F567" t="s">
        <v>1074</v>
      </c>
      <c r="G567" t="s">
        <v>1061</v>
      </c>
      <c r="H567" s="18">
        <v>45147</v>
      </c>
      <c r="I567" t="s">
        <v>588</v>
      </c>
      <c r="J567" t="s">
        <v>20</v>
      </c>
      <c r="K567" t="s">
        <v>1034</v>
      </c>
      <c r="L567">
        <v>20</v>
      </c>
      <c r="M567" t="s">
        <v>24</v>
      </c>
      <c r="N567">
        <v>2</v>
      </c>
      <c r="O567">
        <v>30</v>
      </c>
      <c r="P567">
        <v>60</v>
      </c>
      <c r="Q567">
        <v>0.89999999999999991</v>
      </c>
      <c r="R567">
        <v>1.2</v>
      </c>
    </row>
    <row r="568" spans="1:18" x14ac:dyDescent="0.35">
      <c r="A568">
        <v>564</v>
      </c>
      <c r="B568">
        <v>24</v>
      </c>
      <c r="C568">
        <v>10</v>
      </c>
      <c r="D568">
        <v>2023</v>
      </c>
      <c r="E568" t="s">
        <v>1059</v>
      </c>
      <c r="F568" t="s">
        <v>1064</v>
      </c>
      <c r="G568" t="s">
        <v>1061</v>
      </c>
      <c r="H568" s="18">
        <v>45223</v>
      </c>
      <c r="I568" t="s">
        <v>589</v>
      </c>
      <c r="J568" t="s">
        <v>20</v>
      </c>
      <c r="K568" t="s">
        <v>1030</v>
      </c>
      <c r="L568">
        <v>50</v>
      </c>
      <c r="M568" t="s">
        <v>26</v>
      </c>
      <c r="N568">
        <v>2</v>
      </c>
      <c r="O568">
        <v>50</v>
      </c>
      <c r="P568">
        <v>100</v>
      </c>
      <c r="Q568">
        <v>1.5</v>
      </c>
      <c r="R568">
        <v>2</v>
      </c>
    </row>
    <row r="569" spans="1:18" x14ac:dyDescent="0.35">
      <c r="A569">
        <v>565</v>
      </c>
      <c r="B569">
        <v>7</v>
      </c>
      <c r="C569">
        <v>11</v>
      </c>
      <c r="D569">
        <v>2023</v>
      </c>
      <c r="E569" t="s">
        <v>1059</v>
      </c>
      <c r="F569" t="s">
        <v>1068</v>
      </c>
      <c r="G569" t="s">
        <v>1061</v>
      </c>
      <c r="H569" s="18">
        <v>45237</v>
      </c>
      <c r="I569" t="s">
        <v>590</v>
      </c>
      <c r="J569" t="s">
        <v>23</v>
      </c>
      <c r="K569" t="s">
        <v>1030</v>
      </c>
      <c r="L569">
        <v>45</v>
      </c>
      <c r="M569" t="s">
        <v>21</v>
      </c>
      <c r="N569">
        <v>2</v>
      </c>
      <c r="O569">
        <v>30</v>
      </c>
      <c r="P569">
        <v>60</v>
      </c>
      <c r="Q569">
        <v>0.89999999999999991</v>
      </c>
      <c r="R569">
        <v>1.2</v>
      </c>
    </row>
    <row r="570" spans="1:18" x14ac:dyDescent="0.35">
      <c r="A570">
        <v>566</v>
      </c>
      <c r="B570">
        <v>2</v>
      </c>
      <c r="C570">
        <v>12</v>
      </c>
      <c r="D570">
        <v>2023</v>
      </c>
      <c r="E570" t="s">
        <v>1075</v>
      </c>
      <c r="F570" t="s">
        <v>1062</v>
      </c>
      <c r="G570" t="s">
        <v>1061</v>
      </c>
      <c r="H570" s="18">
        <v>45262</v>
      </c>
      <c r="I570" t="s">
        <v>591</v>
      </c>
      <c r="J570" t="s">
        <v>23</v>
      </c>
      <c r="K570" t="s">
        <v>1032</v>
      </c>
      <c r="L570">
        <v>64</v>
      </c>
      <c r="M570" t="s">
        <v>24</v>
      </c>
      <c r="N570">
        <v>1</v>
      </c>
      <c r="O570">
        <v>30</v>
      </c>
      <c r="P570">
        <v>30</v>
      </c>
      <c r="Q570">
        <v>0.44999999999999996</v>
      </c>
      <c r="R570">
        <v>0.6</v>
      </c>
    </row>
    <row r="571" spans="1:18" x14ac:dyDescent="0.35">
      <c r="A571">
        <v>567</v>
      </c>
      <c r="B571">
        <v>14</v>
      </c>
      <c r="C571">
        <v>6</v>
      </c>
      <c r="D571">
        <v>2023</v>
      </c>
      <c r="E571" t="s">
        <v>1065</v>
      </c>
      <c r="F571" t="s">
        <v>1069</v>
      </c>
      <c r="G571" t="s">
        <v>1061</v>
      </c>
      <c r="H571" s="18">
        <v>45091</v>
      </c>
      <c r="I571" t="s">
        <v>592</v>
      </c>
      <c r="J571" t="s">
        <v>23</v>
      </c>
      <c r="K571" t="s">
        <v>1034</v>
      </c>
      <c r="L571">
        <v>25</v>
      </c>
      <c r="M571" t="s">
        <v>24</v>
      </c>
      <c r="N571">
        <v>3</v>
      </c>
      <c r="O571">
        <v>300</v>
      </c>
      <c r="P571">
        <v>900</v>
      </c>
      <c r="Q571">
        <v>13.5</v>
      </c>
      <c r="R571">
        <v>18</v>
      </c>
    </row>
    <row r="572" spans="1:18" x14ac:dyDescent="0.35">
      <c r="A572">
        <v>568</v>
      </c>
      <c r="B572">
        <v>27</v>
      </c>
      <c r="C572">
        <v>8</v>
      </c>
      <c r="D572">
        <v>2023</v>
      </c>
      <c r="E572" t="s">
        <v>1063</v>
      </c>
      <c r="F572" t="s">
        <v>1074</v>
      </c>
      <c r="G572" t="s">
        <v>1061</v>
      </c>
      <c r="H572" s="18">
        <v>45165</v>
      </c>
      <c r="I572" t="s">
        <v>593</v>
      </c>
      <c r="J572" t="s">
        <v>23</v>
      </c>
      <c r="K572" t="s">
        <v>1032</v>
      </c>
      <c r="L572">
        <v>51</v>
      </c>
      <c r="M572" t="s">
        <v>26</v>
      </c>
      <c r="N572">
        <v>1</v>
      </c>
      <c r="O572">
        <v>300</v>
      </c>
      <c r="P572">
        <v>300</v>
      </c>
      <c r="Q572">
        <v>4.5</v>
      </c>
      <c r="R572">
        <v>6</v>
      </c>
    </row>
    <row r="573" spans="1:18" x14ac:dyDescent="0.35">
      <c r="A573">
        <v>569</v>
      </c>
      <c r="B573">
        <v>15</v>
      </c>
      <c r="C573">
        <v>8</v>
      </c>
      <c r="D573">
        <v>2023</v>
      </c>
      <c r="E573" t="s">
        <v>1059</v>
      </c>
      <c r="F573" t="s">
        <v>1074</v>
      </c>
      <c r="G573" t="s">
        <v>1061</v>
      </c>
      <c r="H573" s="18">
        <v>45153</v>
      </c>
      <c r="I573" t="s">
        <v>594</v>
      </c>
      <c r="J573" t="s">
        <v>20</v>
      </c>
      <c r="K573" t="s">
        <v>1032</v>
      </c>
      <c r="L573">
        <v>52</v>
      </c>
      <c r="M573" t="s">
        <v>26</v>
      </c>
      <c r="N573">
        <v>4</v>
      </c>
      <c r="O573">
        <v>50</v>
      </c>
      <c r="P573">
        <v>200</v>
      </c>
      <c r="Q573">
        <v>3</v>
      </c>
      <c r="R573">
        <v>4</v>
      </c>
    </row>
    <row r="574" spans="1:18" x14ac:dyDescent="0.35">
      <c r="A574">
        <v>570</v>
      </c>
      <c r="B574">
        <v>15</v>
      </c>
      <c r="C574">
        <v>8</v>
      </c>
      <c r="D574">
        <v>2023</v>
      </c>
      <c r="E574" t="s">
        <v>1059</v>
      </c>
      <c r="F574" t="s">
        <v>1074</v>
      </c>
      <c r="G574" t="s">
        <v>1061</v>
      </c>
      <c r="H574" s="18">
        <v>45153</v>
      </c>
      <c r="I574" t="s">
        <v>595</v>
      </c>
      <c r="J574" t="s">
        <v>20</v>
      </c>
      <c r="K574" t="s">
        <v>1030</v>
      </c>
      <c r="L574">
        <v>49</v>
      </c>
      <c r="M574" t="s">
        <v>24</v>
      </c>
      <c r="N574">
        <v>1</v>
      </c>
      <c r="O574">
        <v>500</v>
      </c>
      <c r="P574">
        <v>500</v>
      </c>
      <c r="Q574">
        <v>7.5</v>
      </c>
      <c r="R574">
        <v>10</v>
      </c>
    </row>
    <row r="575" spans="1:18" x14ac:dyDescent="0.35">
      <c r="A575">
        <v>571</v>
      </c>
      <c r="B575">
        <v>12</v>
      </c>
      <c r="C575">
        <v>12</v>
      </c>
      <c r="D575">
        <v>2023</v>
      </c>
      <c r="E575" t="s">
        <v>1059</v>
      </c>
      <c r="F575" t="s">
        <v>1062</v>
      </c>
      <c r="G575" t="s">
        <v>1061</v>
      </c>
      <c r="H575" s="18">
        <v>45272</v>
      </c>
      <c r="I575" t="s">
        <v>596</v>
      </c>
      <c r="J575" t="s">
        <v>23</v>
      </c>
      <c r="K575" t="s">
        <v>1030</v>
      </c>
      <c r="L575">
        <v>41</v>
      </c>
      <c r="M575" t="s">
        <v>26</v>
      </c>
      <c r="N575">
        <v>1</v>
      </c>
      <c r="O575">
        <v>50</v>
      </c>
      <c r="P575">
        <v>50</v>
      </c>
      <c r="Q575">
        <v>0.75</v>
      </c>
      <c r="R575">
        <v>1</v>
      </c>
    </row>
    <row r="576" spans="1:18" x14ac:dyDescent="0.35">
      <c r="A576">
        <v>572</v>
      </c>
      <c r="B576">
        <v>20</v>
      </c>
      <c r="C576">
        <v>4</v>
      </c>
      <c r="D576">
        <v>2023</v>
      </c>
      <c r="E576" t="s">
        <v>1072</v>
      </c>
      <c r="F576" t="s">
        <v>1077</v>
      </c>
      <c r="G576" t="s">
        <v>1061</v>
      </c>
      <c r="H576" s="18">
        <v>45036</v>
      </c>
      <c r="I576" t="s">
        <v>597</v>
      </c>
      <c r="J576" t="s">
        <v>20</v>
      </c>
      <c r="K576" t="s">
        <v>1030</v>
      </c>
      <c r="L576">
        <v>31</v>
      </c>
      <c r="M576" t="s">
        <v>24</v>
      </c>
      <c r="N576">
        <v>4</v>
      </c>
      <c r="O576">
        <v>500</v>
      </c>
      <c r="P576">
        <v>2000</v>
      </c>
      <c r="Q576">
        <v>30</v>
      </c>
      <c r="R576">
        <v>40</v>
      </c>
    </row>
    <row r="577" spans="1:18" x14ac:dyDescent="0.35">
      <c r="A577">
        <v>573</v>
      </c>
      <c r="B577">
        <v>19</v>
      </c>
      <c r="C577">
        <v>9</v>
      </c>
      <c r="D577">
        <v>2023</v>
      </c>
      <c r="E577" t="s">
        <v>1059</v>
      </c>
      <c r="F577" t="s">
        <v>1071</v>
      </c>
      <c r="G577" t="s">
        <v>1061</v>
      </c>
      <c r="H577" s="18">
        <v>45188</v>
      </c>
      <c r="I577" t="s">
        <v>598</v>
      </c>
      <c r="J577" t="s">
        <v>20</v>
      </c>
      <c r="K577" t="s">
        <v>1030</v>
      </c>
      <c r="L577">
        <v>49</v>
      </c>
      <c r="M577" t="s">
        <v>21</v>
      </c>
      <c r="N577">
        <v>2</v>
      </c>
      <c r="O577">
        <v>30</v>
      </c>
      <c r="P577">
        <v>60</v>
      </c>
      <c r="Q577">
        <v>0.89999999999999991</v>
      </c>
      <c r="R577">
        <v>1.2</v>
      </c>
    </row>
    <row r="578" spans="1:18" x14ac:dyDescent="0.35">
      <c r="A578">
        <v>574</v>
      </c>
      <c r="B578">
        <v>31</v>
      </c>
      <c r="C578">
        <v>8</v>
      </c>
      <c r="D578">
        <v>2023</v>
      </c>
      <c r="E578" t="s">
        <v>1072</v>
      </c>
      <c r="F578" t="s">
        <v>1074</v>
      </c>
      <c r="G578" t="s">
        <v>1061</v>
      </c>
      <c r="H578" s="18">
        <v>45169</v>
      </c>
      <c r="I578" t="s">
        <v>599</v>
      </c>
      <c r="J578" t="s">
        <v>23</v>
      </c>
      <c r="K578" t="s">
        <v>1032</v>
      </c>
      <c r="L578">
        <v>63</v>
      </c>
      <c r="M578" t="s">
        <v>26</v>
      </c>
      <c r="N578">
        <v>2</v>
      </c>
      <c r="O578">
        <v>25</v>
      </c>
      <c r="P578">
        <v>50</v>
      </c>
      <c r="Q578">
        <v>0.75</v>
      </c>
      <c r="R578">
        <v>1</v>
      </c>
    </row>
    <row r="579" spans="1:18" x14ac:dyDescent="0.35">
      <c r="A579">
        <v>575</v>
      </c>
      <c r="B579">
        <v>28</v>
      </c>
      <c r="C579">
        <v>3</v>
      </c>
      <c r="D579">
        <v>2023</v>
      </c>
      <c r="E579" t="s">
        <v>1059</v>
      </c>
      <c r="F579" t="s">
        <v>1066</v>
      </c>
      <c r="G579" t="s">
        <v>1061</v>
      </c>
      <c r="H579" s="18">
        <v>45013</v>
      </c>
      <c r="I579" t="s">
        <v>600</v>
      </c>
      <c r="J579" t="s">
        <v>20</v>
      </c>
      <c r="K579" t="s">
        <v>1032</v>
      </c>
      <c r="L579">
        <v>60</v>
      </c>
      <c r="M579" t="s">
        <v>24</v>
      </c>
      <c r="N579">
        <v>2</v>
      </c>
      <c r="O579">
        <v>50</v>
      </c>
      <c r="P579">
        <v>100</v>
      </c>
      <c r="Q579">
        <v>1.5</v>
      </c>
      <c r="R579">
        <v>2</v>
      </c>
    </row>
    <row r="580" spans="1:18" x14ac:dyDescent="0.35">
      <c r="A580">
        <v>576</v>
      </c>
      <c r="B580">
        <v>4</v>
      </c>
      <c r="C580">
        <v>12</v>
      </c>
      <c r="D580">
        <v>2023</v>
      </c>
      <c r="E580" t="s">
        <v>1067</v>
      </c>
      <c r="F580" t="s">
        <v>1062</v>
      </c>
      <c r="G580" t="s">
        <v>1061</v>
      </c>
      <c r="H580" s="18">
        <v>45264</v>
      </c>
      <c r="I580" t="s">
        <v>601</v>
      </c>
      <c r="J580" t="s">
        <v>23</v>
      </c>
      <c r="K580" t="s">
        <v>1030</v>
      </c>
      <c r="L580">
        <v>33</v>
      </c>
      <c r="M580" t="s">
        <v>21</v>
      </c>
      <c r="N580">
        <v>3</v>
      </c>
      <c r="O580">
        <v>50</v>
      </c>
      <c r="P580">
        <v>150</v>
      </c>
      <c r="Q580">
        <v>2.25</v>
      </c>
      <c r="R580">
        <v>3</v>
      </c>
    </row>
    <row r="581" spans="1:18" x14ac:dyDescent="0.35">
      <c r="A581">
        <v>577</v>
      </c>
      <c r="B581">
        <v>13</v>
      </c>
      <c r="C581">
        <v>2</v>
      </c>
      <c r="D581">
        <v>2023</v>
      </c>
      <c r="E581" t="s">
        <v>1067</v>
      </c>
      <c r="F581" t="s">
        <v>1073</v>
      </c>
      <c r="G581" t="s">
        <v>1061</v>
      </c>
      <c r="H581" s="18">
        <v>44970</v>
      </c>
      <c r="I581" t="s">
        <v>602</v>
      </c>
      <c r="J581" t="s">
        <v>20</v>
      </c>
      <c r="K581" t="s">
        <v>1034</v>
      </c>
      <c r="L581">
        <v>21</v>
      </c>
      <c r="M581" t="s">
        <v>21</v>
      </c>
      <c r="N581">
        <v>4</v>
      </c>
      <c r="O581">
        <v>500</v>
      </c>
      <c r="P581">
        <v>2000</v>
      </c>
      <c r="Q581">
        <v>30</v>
      </c>
      <c r="R581">
        <v>40</v>
      </c>
    </row>
    <row r="582" spans="1:18" x14ac:dyDescent="0.35">
      <c r="A582">
        <v>578</v>
      </c>
      <c r="B582">
        <v>26</v>
      </c>
      <c r="C582">
        <v>5</v>
      </c>
      <c r="D582">
        <v>2023</v>
      </c>
      <c r="E582" t="s">
        <v>1070</v>
      </c>
      <c r="F582" t="s">
        <v>1076</v>
      </c>
      <c r="G582" t="s">
        <v>1061</v>
      </c>
      <c r="H582" s="18">
        <v>45072</v>
      </c>
      <c r="I582" t="s">
        <v>603</v>
      </c>
      <c r="J582" t="s">
        <v>23</v>
      </c>
      <c r="K582" t="s">
        <v>1032</v>
      </c>
      <c r="L582">
        <v>54</v>
      </c>
      <c r="M582" t="s">
        <v>24</v>
      </c>
      <c r="N582">
        <v>4</v>
      </c>
      <c r="O582">
        <v>30</v>
      </c>
      <c r="P582">
        <v>120</v>
      </c>
      <c r="Q582">
        <v>1.7999999999999998</v>
      </c>
      <c r="R582">
        <v>2.4</v>
      </c>
    </row>
    <row r="583" spans="1:18" x14ac:dyDescent="0.35">
      <c r="A583">
        <v>579</v>
      </c>
      <c r="B583">
        <v>21</v>
      </c>
      <c r="C583">
        <v>9</v>
      </c>
      <c r="D583">
        <v>2023</v>
      </c>
      <c r="E583" t="s">
        <v>1072</v>
      </c>
      <c r="F583" t="s">
        <v>1071</v>
      </c>
      <c r="G583" t="s">
        <v>1061</v>
      </c>
      <c r="H583" s="18">
        <v>45190</v>
      </c>
      <c r="I583" t="s">
        <v>604</v>
      </c>
      <c r="J583" t="s">
        <v>23</v>
      </c>
      <c r="K583" t="s">
        <v>1030</v>
      </c>
      <c r="L583">
        <v>38</v>
      </c>
      <c r="M583" t="s">
        <v>26</v>
      </c>
      <c r="N583">
        <v>1</v>
      </c>
      <c r="O583">
        <v>30</v>
      </c>
      <c r="P583">
        <v>30</v>
      </c>
      <c r="Q583">
        <v>0.44999999999999996</v>
      </c>
      <c r="R583">
        <v>0.6</v>
      </c>
    </row>
    <row r="584" spans="1:18" x14ac:dyDescent="0.35">
      <c r="A584">
        <v>580</v>
      </c>
      <c r="B584">
        <v>6</v>
      </c>
      <c r="C584">
        <v>12</v>
      </c>
      <c r="D584">
        <v>2023</v>
      </c>
      <c r="E584" t="s">
        <v>1065</v>
      </c>
      <c r="F584" t="s">
        <v>1062</v>
      </c>
      <c r="G584" t="s">
        <v>1061</v>
      </c>
      <c r="H584" s="18">
        <v>45266</v>
      </c>
      <c r="I584" t="s">
        <v>605</v>
      </c>
      <c r="J584" t="s">
        <v>23</v>
      </c>
      <c r="K584" t="s">
        <v>1030</v>
      </c>
      <c r="L584">
        <v>31</v>
      </c>
      <c r="M584" t="s">
        <v>24</v>
      </c>
      <c r="N584">
        <v>3</v>
      </c>
      <c r="O584">
        <v>500</v>
      </c>
      <c r="P584">
        <v>1500</v>
      </c>
      <c r="Q584">
        <v>22.5</v>
      </c>
      <c r="R584">
        <v>30</v>
      </c>
    </row>
    <row r="585" spans="1:18" x14ac:dyDescent="0.35">
      <c r="A585">
        <v>581</v>
      </c>
      <c r="B585">
        <v>21</v>
      </c>
      <c r="C585">
        <v>11</v>
      </c>
      <c r="D585">
        <v>2023</v>
      </c>
      <c r="E585" t="s">
        <v>1059</v>
      </c>
      <c r="F585" t="s">
        <v>1068</v>
      </c>
      <c r="G585" t="s">
        <v>1061</v>
      </c>
      <c r="H585" s="18">
        <v>45251</v>
      </c>
      <c r="I585" t="s">
        <v>606</v>
      </c>
      <c r="J585" t="s">
        <v>23</v>
      </c>
      <c r="K585" t="s">
        <v>1030</v>
      </c>
      <c r="L585">
        <v>48</v>
      </c>
      <c r="M585" t="s">
        <v>21</v>
      </c>
      <c r="N585">
        <v>2</v>
      </c>
      <c r="O585">
        <v>30</v>
      </c>
      <c r="P585">
        <v>60</v>
      </c>
      <c r="Q585">
        <v>0.89999999999999991</v>
      </c>
      <c r="R585">
        <v>1.2</v>
      </c>
    </row>
    <row r="586" spans="1:18" x14ac:dyDescent="0.35">
      <c r="A586">
        <v>582</v>
      </c>
      <c r="B586">
        <v>14</v>
      </c>
      <c r="C586">
        <v>11</v>
      </c>
      <c r="D586">
        <v>2023</v>
      </c>
      <c r="E586" t="s">
        <v>1059</v>
      </c>
      <c r="F586" t="s">
        <v>1068</v>
      </c>
      <c r="G586" t="s">
        <v>1061</v>
      </c>
      <c r="H586" s="18">
        <v>45244</v>
      </c>
      <c r="I586" t="s">
        <v>607</v>
      </c>
      <c r="J586" t="s">
        <v>20</v>
      </c>
      <c r="K586" t="s">
        <v>1030</v>
      </c>
      <c r="L586">
        <v>35</v>
      </c>
      <c r="M586" t="s">
        <v>24</v>
      </c>
      <c r="N586">
        <v>3</v>
      </c>
      <c r="O586">
        <v>300</v>
      </c>
      <c r="P586">
        <v>900</v>
      </c>
      <c r="Q586">
        <v>13.5</v>
      </c>
      <c r="R586">
        <v>18</v>
      </c>
    </row>
    <row r="587" spans="1:18" x14ac:dyDescent="0.35">
      <c r="A587">
        <v>583</v>
      </c>
      <c r="B587">
        <v>21</v>
      </c>
      <c r="C587">
        <v>6</v>
      </c>
      <c r="D587">
        <v>2023</v>
      </c>
      <c r="E587" t="s">
        <v>1065</v>
      </c>
      <c r="F587" t="s">
        <v>1069</v>
      </c>
      <c r="G587" t="s">
        <v>1061</v>
      </c>
      <c r="H587" s="18">
        <v>45098</v>
      </c>
      <c r="I587" t="s">
        <v>608</v>
      </c>
      <c r="J587" t="s">
        <v>23</v>
      </c>
      <c r="K587" t="s">
        <v>1034</v>
      </c>
      <c r="L587">
        <v>24</v>
      </c>
      <c r="M587" t="s">
        <v>26</v>
      </c>
      <c r="N587">
        <v>4</v>
      </c>
      <c r="O587">
        <v>25</v>
      </c>
      <c r="P587">
        <v>100</v>
      </c>
      <c r="Q587">
        <v>1.5</v>
      </c>
      <c r="R587">
        <v>2</v>
      </c>
    </row>
    <row r="588" spans="1:18" x14ac:dyDescent="0.35">
      <c r="A588">
        <v>584</v>
      </c>
      <c r="B588">
        <v>17</v>
      </c>
      <c r="C588">
        <v>2</v>
      </c>
      <c r="D588">
        <v>2023</v>
      </c>
      <c r="E588" t="s">
        <v>1070</v>
      </c>
      <c r="F588" t="s">
        <v>1073</v>
      </c>
      <c r="G588" t="s">
        <v>1061</v>
      </c>
      <c r="H588" s="18">
        <v>44974</v>
      </c>
      <c r="I588" t="s">
        <v>609</v>
      </c>
      <c r="J588" t="s">
        <v>23</v>
      </c>
      <c r="K588" t="s">
        <v>1034</v>
      </c>
      <c r="L588">
        <v>27</v>
      </c>
      <c r="M588" t="s">
        <v>21</v>
      </c>
      <c r="N588">
        <v>4</v>
      </c>
      <c r="O588">
        <v>50</v>
      </c>
      <c r="P588">
        <v>200</v>
      </c>
      <c r="Q588">
        <v>3</v>
      </c>
      <c r="R588">
        <v>4</v>
      </c>
    </row>
    <row r="589" spans="1:18" x14ac:dyDescent="0.35">
      <c r="A589">
        <v>585</v>
      </c>
      <c r="B589">
        <v>1</v>
      </c>
      <c r="C589">
        <v>5</v>
      </c>
      <c r="D589">
        <v>2023</v>
      </c>
      <c r="E589" t="s">
        <v>1067</v>
      </c>
      <c r="F589" t="s">
        <v>1076</v>
      </c>
      <c r="G589" t="s">
        <v>1061</v>
      </c>
      <c r="H589" s="18">
        <v>45047</v>
      </c>
      <c r="I589" t="s">
        <v>610</v>
      </c>
      <c r="J589" t="s">
        <v>23</v>
      </c>
      <c r="K589" t="s">
        <v>1034</v>
      </c>
      <c r="L589">
        <v>24</v>
      </c>
      <c r="M589" t="s">
        <v>24</v>
      </c>
      <c r="N589">
        <v>1</v>
      </c>
      <c r="O589">
        <v>25</v>
      </c>
      <c r="P589">
        <v>25</v>
      </c>
      <c r="Q589">
        <v>0.375</v>
      </c>
      <c r="R589">
        <v>0.5</v>
      </c>
    </row>
    <row r="590" spans="1:18" x14ac:dyDescent="0.35">
      <c r="A590">
        <v>586</v>
      </c>
      <c r="B590">
        <v>11</v>
      </c>
      <c r="C590">
        <v>12</v>
      </c>
      <c r="D590">
        <v>2023</v>
      </c>
      <c r="E590" t="s">
        <v>1067</v>
      </c>
      <c r="F590" t="s">
        <v>1062</v>
      </c>
      <c r="G590" t="s">
        <v>1061</v>
      </c>
      <c r="H590" s="18">
        <v>45271</v>
      </c>
      <c r="I590" t="s">
        <v>611</v>
      </c>
      <c r="J590" t="s">
        <v>20</v>
      </c>
      <c r="K590" t="s">
        <v>1030</v>
      </c>
      <c r="L590">
        <v>50</v>
      </c>
      <c r="M590" t="s">
        <v>26</v>
      </c>
      <c r="N590">
        <v>1</v>
      </c>
      <c r="O590">
        <v>50</v>
      </c>
      <c r="P590">
        <v>50</v>
      </c>
      <c r="Q590">
        <v>0.75</v>
      </c>
      <c r="R590">
        <v>1</v>
      </c>
    </row>
    <row r="591" spans="1:18" x14ac:dyDescent="0.35">
      <c r="A591">
        <v>587</v>
      </c>
      <c r="B591">
        <v>8</v>
      </c>
      <c r="C591">
        <v>6</v>
      </c>
      <c r="D591">
        <v>2023</v>
      </c>
      <c r="E591" t="s">
        <v>1072</v>
      </c>
      <c r="F591" t="s">
        <v>1069</v>
      </c>
      <c r="G591" t="s">
        <v>1061</v>
      </c>
      <c r="H591" s="18">
        <v>45085</v>
      </c>
      <c r="I591" t="s">
        <v>612</v>
      </c>
      <c r="J591" t="s">
        <v>23</v>
      </c>
      <c r="K591" t="s">
        <v>1030</v>
      </c>
      <c r="L591">
        <v>40</v>
      </c>
      <c r="M591" t="s">
        <v>21</v>
      </c>
      <c r="N591">
        <v>4</v>
      </c>
      <c r="O591">
        <v>300</v>
      </c>
      <c r="P591">
        <v>1200</v>
      </c>
      <c r="Q591">
        <v>18</v>
      </c>
      <c r="R591">
        <v>24</v>
      </c>
    </row>
    <row r="592" spans="1:18" x14ac:dyDescent="0.35">
      <c r="A592">
        <v>588</v>
      </c>
      <c r="B592">
        <v>26</v>
      </c>
      <c r="C592">
        <v>4</v>
      </c>
      <c r="D592">
        <v>2023</v>
      </c>
      <c r="E592" t="s">
        <v>1065</v>
      </c>
      <c r="F592" t="s">
        <v>1077</v>
      </c>
      <c r="G592" t="s">
        <v>1061</v>
      </c>
      <c r="H592" s="18">
        <v>45042</v>
      </c>
      <c r="I592" t="s">
        <v>613</v>
      </c>
      <c r="J592" t="s">
        <v>20</v>
      </c>
      <c r="K592" t="s">
        <v>1030</v>
      </c>
      <c r="L592">
        <v>38</v>
      </c>
      <c r="M592" t="s">
        <v>26</v>
      </c>
      <c r="N592">
        <v>2</v>
      </c>
      <c r="O592">
        <v>30</v>
      </c>
      <c r="P592">
        <v>60</v>
      </c>
      <c r="Q592">
        <v>0.89999999999999991</v>
      </c>
      <c r="R592">
        <v>1.2</v>
      </c>
    </row>
    <row r="593" spans="1:18" x14ac:dyDescent="0.35">
      <c r="A593">
        <v>589</v>
      </c>
      <c r="B593">
        <v>12</v>
      </c>
      <c r="C593">
        <v>4</v>
      </c>
      <c r="D593">
        <v>2023</v>
      </c>
      <c r="E593" t="s">
        <v>1065</v>
      </c>
      <c r="F593" t="s">
        <v>1077</v>
      </c>
      <c r="G593" t="s">
        <v>1061</v>
      </c>
      <c r="H593" s="18">
        <v>45028</v>
      </c>
      <c r="I593" t="s">
        <v>614</v>
      </c>
      <c r="J593" t="s">
        <v>23</v>
      </c>
      <c r="K593" t="s">
        <v>1030</v>
      </c>
      <c r="L593">
        <v>36</v>
      </c>
      <c r="M593" t="s">
        <v>21</v>
      </c>
      <c r="N593">
        <v>2</v>
      </c>
      <c r="O593">
        <v>500</v>
      </c>
      <c r="P593">
        <v>1000</v>
      </c>
      <c r="Q593">
        <v>15</v>
      </c>
      <c r="R593">
        <v>20</v>
      </c>
    </row>
    <row r="594" spans="1:18" x14ac:dyDescent="0.35">
      <c r="A594">
        <v>590</v>
      </c>
      <c r="B594">
        <v>17</v>
      </c>
      <c r="C594">
        <v>3</v>
      </c>
      <c r="D594">
        <v>2023</v>
      </c>
      <c r="E594" t="s">
        <v>1070</v>
      </c>
      <c r="F594" t="s">
        <v>1066</v>
      </c>
      <c r="G594" t="s">
        <v>1061</v>
      </c>
      <c r="H594" s="18">
        <v>45002</v>
      </c>
      <c r="I594" t="s">
        <v>615</v>
      </c>
      <c r="J594" t="s">
        <v>20</v>
      </c>
      <c r="K594" t="s">
        <v>1030</v>
      </c>
      <c r="L594">
        <v>36</v>
      </c>
      <c r="M594" t="s">
        <v>24</v>
      </c>
      <c r="N594">
        <v>3</v>
      </c>
      <c r="O594">
        <v>300</v>
      </c>
      <c r="P594">
        <v>900</v>
      </c>
      <c r="Q594">
        <v>13.5</v>
      </c>
      <c r="R594">
        <v>18</v>
      </c>
    </row>
    <row r="595" spans="1:18" x14ac:dyDescent="0.35">
      <c r="A595">
        <v>591</v>
      </c>
      <c r="B595">
        <v>13</v>
      </c>
      <c r="C595">
        <v>1</v>
      </c>
      <c r="D595">
        <v>2023</v>
      </c>
      <c r="E595" t="s">
        <v>1070</v>
      </c>
      <c r="F595" t="s">
        <v>1060</v>
      </c>
      <c r="G595" t="s">
        <v>1061</v>
      </c>
      <c r="H595" s="18">
        <v>44939</v>
      </c>
      <c r="I595" t="s">
        <v>616</v>
      </c>
      <c r="J595" t="s">
        <v>20</v>
      </c>
      <c r="K595" t="s">
        <v>1032</v>
      </c>
      <c r="L595">
        <v>53</v>
      </c>
      <c r="M595" t="s">
        <v>26</v>
      </c>
      <c r="N595">
        <v>4</v>
      </c>
      <c r="O595">
        <v>25</v>
      </c>
      <c r="P595">
        <v>100</v>
      </c>
      <c r="Q595">
        <v>1.5</v>
      </c>
      <c r="R595">
        <v>2</v>
      </c>
    </row>
    <row r="596" spans="1:18" x14ac:dyDescent="0.35">
      <c r="A596">
        <v>592</v>
      </c>
      <c r="B596">
        <v>24</v>
      </c>
      <c r="C596">
        <v>1</v>
      </c>
      <c r="D596">
        <v>2023</v>
      </c>
      <c r="E596" t="s">
        <v>1059</v>
      </c>
      <c r="F596" t="s">
        <v>1060</v>
      </c>
      <c r="G596" t="s">
        <v>1061</v>
      </c>
      <c r="H596" s="18">
        <v>44950</v>
      </c>
      <c r="I596" t="s">
        <v>617</v>
      </c>
      <c r="J596" t="s">
        <v>23</v>
      </c>
      <c r="K596" t="s">
        <v>1030</v>
      </c>
      <c r="L596">
        <v>46</v>
      </c>
      <c r="M596" t="s">
        <v>21</v>
      </c>
      <c r="N596">
        <v>4</v>
      </c>
      <c r="O596">
        <v>500</v>
      </c>
      <c r="P596">
        <v>2000</v>
      </c>
      <c r="Q596">
        <v>30</v>
      </c>
      <c r="R596">
        <v>40</v>
      </c>
    </row>
    <row r="597" spans="1:18" x14ac:dyDescent="0.35">
      <c r="A597">
        <v>593</v>
      </c>
      <c r="B597">
        <v>6</v>
      </c>
      <c r="C597">
        <v>5</v>
      </c>
      <c r="D597">
        <v>2023</v>
      </c>
      <c r="E597" t="s">
        <v>1075</v>
      </c>
      <c r="F597" t="s">
        <v>1076</v>
      </c>
      <c r="G597" t="s">
        <v>1061</v>
      </c>
      <c r="H597" s="18">
        <v>45052</v>
      </c>
      <c r="I597" t="s">
        <v>618</v>
      </c>
      <c r="J597" t="s">
        <v>20</v>
      </c>
      <c r="K597" t="s">
        <v>1030</v>
      </c>
      <c r="L597">
        <v>35</v>
      </c>
      <c r="M597" t="s">
        <v>26</v>
      </c>
      <c r="N597">
        <v>2</v>
      </c>
      <c r="O597">
        <v>30</v>
      </c>
      <c r="P597">
        <v>60</v>
      </c>
      <c r="Q597">
        <v>0.89999999999999991</v>
      </c>
      <c r="R597">
        <v>1.2</v>
      </c>
    </row>
    <row r="598" spans="1:18" x14ac:dyDescent="0.35">
      <c r="A598">
        <v>594</v>
      </c>
      <c r="B598">
        <v>1</v>
      </c>
      <c r="C598">
        <v>9</v>
      </c>
      <c r="D598">
        <v>2023</v>
      </c>
      <c r="E598" t="s">
        <v>1070</v>
      </c>
      <c r="F598" t="s">
        <v>1071</v>
      </c>
      <c r="G598" t="s">
        <v>1061</v>
      </c>
      <c r="H598" s="18">
        <v>45170</v>
      </c>
      <c r="I598" t="s">
        <v>619</v>
      </c>
      <c r="J598" t="s">
        <v>23</v>
      </c>
      <c r="K598" t="s">
        <v>1034</v>
      </c>
      <c r="L598">
        <v>19</v>
      </c>
      <c r="M598" t="s">
        <v>26</v>
      </c>
      <c r="N598">
        <v>2</v>
      </c>
      <c r="O598">
        <v>300</v>
      </c>
      <c r="P598">
        <v>600</v>
      </c>
      <c r="Q598">
        <v>9</v>
      </c>
      <c r="R598">
        <v>12</v>
      </c>
    </row>
    <row r="599" spans="1:18" x14ac:dyDescent="0.35">
      <c r="A599">
        <v>595</v>
      </c>
      <c r="B599">
        <v>9</v>
      </c>
      <c r="C599">
        <v>11</v>
      </c>
      <c r="D599">
        <v>2023</v>
      </c>
      <c r="E599" t="s">
        <v>1072</v>
      </c>
      <c r="F599" t="s">
        <v>1068</v>
      </c>
      <c r="G599" t="s">
        <v>1061</v>
      </c>
      <c r="H599" s="18">
        <v>45239</v>
      </c>
      <c r="I599" t="s">
        <v>620</v>
      </c>
      <c r="J599" t="s">
        <v>23</v>
      </c>
      <c r="K599" t="s">
        <v>1034</v>
      </c>
      <c r="L599">
        <v>18</v>
      </c>
      <c r="M599" t="s">
        <v>24</v>
      </c>
      <c r="N599">
        <v>4</v>
      </c>
      <c r="O599">
        <v>500</v>
      </c>
      <c r="P599">
        <v>2000</v>
      </c>
      <c r="Q599">
        <v>30</v>
      </c>
      <c r="R599">
        <v>40</v>
      </c>
    </row>
    <row r="600" spans="1:18" x14ac:dyDescent="0.35">
      <c r="A600">
        <v>596</v>
      </c>
      <c r="B600">
        <v>7</v>
      </c>
      <c r="C600">
        <v>2</v>
      </c>
      <c r="D600">
        <v>2023</v>
      </c>
      <c r="E600" t="s">
        <v>1059</v>
      </c>
      <c r="F600" t="s">
        <v>1073</v>
      </c>
      <c r="G600" t="s">
        <v>1061</v>
      </c>
      <c r="H600" s="18">
        <v>44964</v>
      </c>
      <c r="I600" t="s">
        <v>621</v>
      </c>
      <c r="J600" t="s">
        <v>23</v>
      </c>
      <c r="K600" t="s">
        <v>1032</v>
      </c>
      <c r="L600">
        <v>64</v>
      </c>
      <c r="M600" t="s">
        <v>26</v>
      </c>
      <c r="N600">
        <v>1</v>
      </c>
      <c r="O600">
        <v>300</v>
      </c>
      <c r="P600">
        <v>300</v>
      </c>
      <c r="Q600">
        <v>4.5</v>
      </c>
      <c r="R600">
        <v>6</v>
      </c>
    </row>
    <row r="601" spans="1:18" x14ac:dyDescent="0.35">
      <c r="A601">
        <v>597</v>
      </c>
      <c r="B601">
        <v>22</v>
      </c>
      <c r="C601">
        <v>8</v>
      </c>
      <c r="D601">
        <v>2023</v>
      </c>
      <c r="E601" t="s">
        <v>1059</v>
      </c>
      <c r="F601" t="s">
        <v>1074</v>
      </c>
      <c r="G601" t="s">
        <v>1061</v>
      </c>
      <c r="H601" s="18">
        <v>45160</v>
      </c>
      <c r="I601" t="s">
        <v>622</v>
      </c>
      <c r="J601" t="s">
        <v>20</v>
      </c>
      <c r="K601" t="s">
        <v>1034</v>
      </c>
      <c r="L601">
        <v>22</v>
      </c>
      <c r="M601" t="s">
        <v>21</v>
      </c>
      <c r="N601">
        <v>4</v>
      </c>
      <c r="O601">
        <v>300</v>
      </c>
      <c r="P601">
        <v>1200</v>
      </c>
      <c r="Q601">
        <v>18</v>
      </c>
      <c r="R601">
        <v>24</v>
      </c>
    </row>
    <row r="602" spans="1:18" x14ac:dyDescent="0.35">
      <c r="A602">
        <v>598</v>
      </c>
      <c r="B602">
        <v>1</v>
      </c>
      <c r="C602">
        <v>8</v>
      </c>
      <c r="D602">
        <v>2023</v>
      </c>
      <c r="E602" t="s">
        <v>1059</v>
      </c>
      <c r="F602" t="s">
        <v>1074</v>
      </c>
      <c r="G602" t="s">
        <v>1061</v>
      </c>
      <c r="H602" s="18">
        <v>45139</v>
      </c>
      <c r="I602" t="s">
        <v>623</v>
      </c>
      <c r="J602" t="s">
        <v>20</v>
      </c>
      <c r="K602" t="s">
        <v>1030</v>
      </c>
      <c r="L602">
        <v>37</v>
      </c>
      <c r="M602" t="s">
        <v>21</v>
      </c>
      <c r="N602">
        <v>4</v>
      </c>
      <c r="O602">
        <v>30</v>
      </c>
      <c r="P602">
        <v>120</v>
      </c>
      <c r="Q602">
        <v>1.7999999999999998</v>
      </c>
      <c r="R602">
        <v>2.4</v>
      </c>
    </row>
    <row r="603" spans="1:18" x14ac:dyDescent="0.35">
      <c r="A603">
        <v>599</v>
      </c>
      <c r="B603">
        <v>19</v>
      </c>
      <c r="C603">
        <v>11</v>
      </c>
      <c r="D603">
        <v>2023</v>
      </c>
      <c r="E603" t="s">
        <v>1063</v>
      </c>
      <c r="F603" t="s">
        <v>1068</v>
      </c>
      <c r="G603" t="s">
        <v>1061</v>
      </c>
      <c r="H603" s="18">
        <v>45249</v>
      </c>
      <c r="I603" t="s">
        <v>624</v>
      </c>
      <c r="J603" t="s">
        <v>23</v>
      </c>
      <c r="K603" t="s">
        <v>1034</v>
      </c>
      <c r="L603">
        <v>28</v>
      </c>
      <c r="M603" t="s">
        <v>21</v>
      </c>
      <c r="N603">
        <v>2</v>
      </c>
      <c r="O603">
        <v>50</v>
      </c>
      <c r="P603">
        <v>100</v>
      </c>
      <c r="Q603">
        <v>1.5</v>
      </c>
      <c r="R603">
        <v>2</v>
      </c>
    </row>
    <row r="604" spans="1:18" x14ac:dyDescent="0.35">
      <c r="A604">
        <v>600</v>
      </c>
      <c r="B604">
        <v>22</v>
      </c>
      <c r="C604">
        <v>10</v>
      </c>
      <c r="D604">
        <v>2023</v>
      </c>
      <c r="E604" t="s">
        <v>1063</v>
      </c>
      <c r="F604" t="s">
        <v>1064</v>
      </c>
      <c r="G604" t="s">
        <v>1061</v>
      </c>
      <c r="H604" s="18">
        <v>45221</v>
      </c>
      <c r="I604" t="s">
        <v>625</v>
      </c>
      <c r="J604" t="s">
        <v>23</v>
      </c>
      <c r="K604" t="s">
        <v>1032</v>
      </c>
      <c r="L604">
        <v>59</v>
      </c>
      <c r="M604" t="s">
        <v>21</v>
      </c>
      <c r="N604">
        <v>2</v>
      </c>
      <c r="O604">
        <v>500</v>
      </c>
      <c r="P604">
        <v>1000</v>
      </c>
      <c r="Q604">
        <v>15</v>
      </c>
      <c r="R604">
        <v>20</v>
      </c>
    </row>
    <row r="605" spans="1:18" x14ac:dyDescent="0.35">
      <c r="A605">
        <v>601</v>
      </c>
      <c r="B605">
        <v>10</v>
      </c>
      <c r="C605">
        <v>4</v>
      </c>
      <c r="D605">
        <v>2023</v>
      </c>
      <c r="E605" t="s">
        <v>1067</v>
      </c>
      <c r="F605" t="s">
        <v>1077</v>
      </c>
      <c r="G605" t="s">
        <v>1061</v>
      </c>
      <c r="H605" s="18">
        <v>45026</v>
      </c>
      <c r="I605" t="s">
        <v>626</v>
      </c>
      <c r="J605" t="s">
        <v>20</v>
      </c>
      <c r="K605" t="s">
        <v>1034</v>
      </c>
      <c r="L605">
        <v>19</v>
      </c>
      <c r="M605" t="s">
        <v>24</v>
      </c>
      <c r="N605">
        <v>1</v>
      </c>
      <c r="O605">
        <v>30</v>
      </c>
      <c r="P605">
        <v>30</v>
      </c>
      <c r="Q605">
        <v>0.44999999999999996</v>
      </c>
      <c r="R605">
        <v>0.6</v>
      </c>
    </row>
    <row r="606" spans="1:18" x14ac:dyDescent="0.35">
      <c r="A606">
        <v>602</v>
      </c>
      <c r="B606">
        <v>23</v>
      </c>
      <c r="C606">
        <v>12</v>
      </c>
      <c r="D606">
        <v>2023</v>
      </c>
      <c r="E606" t="s">
        <v>1075</v>
      </c>
      <c r="F606" t="s">
        <v>1062</v>
      </c>
      <c r="G606" t="s">
        <v>1061</v>
      </c>
      <c r="H606" s="18">
        <v>45283</v>
      </c>
      <c r="I606" t="s">
        <v>627</v>
      </c>
      <c r="J606" t="s">
        <v>23</v>
      </c>
      <c r="K606" t="s">
        <v>1034</v>
      </c>
      <c r="L606">
        <v>20</v>
      </c>
      <c r="M606" t="s">
        <v>26</v>
      </c>
      <c r="N606">
        <v>1</v>
      </c>
      <c r="O606">
        <v>300</v>
      </c>
      <c r="P606">
        <v>300</v>
      </c>
      <c r="Q606">
        <v>4.5</v>
      </c>
      <c r="R606">
        <v>6</v>
      </c>
    </row>
    <row r="607" spans="1:18" x14ac:dyDescent="0.35">
      <c r="A607">
        <v>603</v>
      </c>
      <c r="B607">
        <v>16</v>
      </c>
      <c r="C607">
        <v>7</v>
      </c>
      <c r="D607">
        <v>2023</v>
      </c>
      <c r="E607" t="s">
        <v>1063</v>
      </c>
      <c r="F607" t="s">
        <v>1078</v>
      </c>
      <c r="G607" t="s">
        <v>1061</v>
      </c>
      <c r="H607" s="18">
        <v>45123</v>
      </c>
      <c r="I607" t="s">
        <v>628</v>
      </c>
      <c r="J607" t="s">
        <v>23</v>
      </c>
      <c r="K607" t="s">
        <v>1030</v>
      </c>
      <c r="L607">
        <v>40</v>
      </c>
      <c r="M607" t="s">
        <v>24</v>
      </c>
      <c r="N607">
        <v>3</v>
      </c>
      <c r="O607">
        <v>30</v>
      </c>
      <c r="P607">
        <v>90</v>
      </c>
      <c r="Q607">
        <v>1.3499999999999999</v>
      </c>
      <c r="R607">
        <v>1.8</v>
      </c>
    </row>
    <row r="608" spans="1:18" x14ac:dyDescent="0.35">
      <c r="A608">
        <v>604</v>
      </c>
      <c r="B608">
        <v>11</v>
      </c>
      <c r="C608">
        <v>9</v>
      </c>
      <c r="D608">
        <v>2023</v>
      </c>
      <c r="E608" t="s">
        <v>1067</v>
      </c>
      <c r="F608" t="s">
        <v>1071</v>
      </c>
      <c r="G608" t="s">
        <v>1061</v>
      </c>
      <c r="H608" s="18">
        <v>45180</v>
      </c>
      <c r="I608" t="s">
        <v>629</v>
      </c>
      <c r="J608" t="s">
        <v>23</v>
      </c>
      <c r="K608" t="s">
        <v>1034</v>
      </c>
      <c r="L608">
        <v>29</v>
      </c>
      <c r="M608" t="s">
        <v>26</v>
      </c>
      <c r="N608">
        <v>4</v>
      </c>
      <c r="O608">
        <v>50</v>
      </c>
      <c r="P608">
        <v>200</v>
      </c>
      <c r="Q608">
        <v>3</v>
      </c>
      <c r="R608">
        <v>4</v>
      </c>
    </row>
    <row r="609" spans="1:18" x14ac:dyDescent="0.35">
      <c r="A609">
        <v>605</v>
      </c>
      <c r="B609">
        <v>24</v>
      </c>
      <c r="C609">
        <v>7</v>
      </c>
      <c r="D609">
        <v>2023</v>
      </c>
      <c r="E609" t="s">
        <v>1067</v>
      </c>
      <c r="F609" t="s">
        <v>1078</v>
      </c>
      <c r="G609" t="s">
        <v>1061</v>
      </c>
      <c r="H609" s="18">
        <v>45131</v>
      </c>
      <c r="I609" t="s">
        <v>630</v>
      </c>
      <c r="J609" t="s">
        <v>20</v>
      </c>
      <c r="K609" t="s">
        <v>1030</v>
      </c>
      <c r="L609">
        <v>37</v>
      </c>
      <c r="M609" t="s">
        <v>26</v>
      </c>
      <c r="N609">
        <v>2</v>
      </c>
      <c r="O609">
        <v>500</v>
      </c>
      <c r="P609">
        <v>1000</v>
      </c>
      <c r="Q609">
        <v>15</v>
      </c>
      <c r="R609">
        <v>20</v>
      </c>
    </row>
    <row r="610" spans="1:18" x14ac:dyDescent="0.35">
      <c r="A610">
        <v>606</v>
      </c>
      <c r="B610">
        <v>5</v>
      </c>
      <c r="C610">
        <v>5</v>
      </c>
      <c r="D610">
        <v>2023</v>
      </c>
      <c r="E610" t="s">
        <v>1070</v>
      </c>
      <c r="F610" t="s">
        <v>1076</v>
      </c>
      <c r="G610" t="s">
        <v>1061</v>
      </c>
      <c r="H610" s="18">
        <v>45051</v>
      </c>
      <c r="I610" t="s">
        <v>631</v>
      </c>
      <c r="J610" t="s">
        <v>20</v>
      </c>
      <c r="K610" t="s">
        <v>1034</v>
      </c>
      <c r="L610">
        <v>22</v>
      </c>
      <c r="M610" t="s">
        <v>26</v>
      </c>
      <c r="N610">
        <v>1</v>
      </c>
      <c r="O610">
        <v>50</v>
      </c>
      <c r="P610">
        <v>50</v>
      </c>
      <c r="Q610">
        <v>0.75</v>
      </c>
      <c r="R610">
        <v>1</v>
      </c>
    </row>
    <row r="611" spans="1:18" x14ac:dyDescent="0.35">
      <c r="A611">
        <v>607</v>
      </c>
      <c r="B611">
        <v>17</v>
      </c>
      <c r="C611">
        <v>3</v>
      </c>
      <c r="D611">
        <v>2023</v>
      </c>
      <c r="E611" t="s">
        <v>1070</v>
      </c>
      <c r="F611" t="s">
        <v>1066</v>
      </c>
      <c r="G611" t="s">
        <v>1061</v>
      </c>
      <c r="H611" s="18">
        <v>45002</v>
      </c>
      <c r="I611" t="s">
        <v>632</v>
      </c>
      <c r="J611" t="s">
        <v>20</v>
      </c>
      <c r="K611" t="s">
        <v>1032</v>
      </c>
      <c r="L611">
        <v>54</v>
      </c>
      <c r="M611" t="s">
        <v>24</v>
      </c>
      <c r="N611">
        <v>3</v>
      </c>
      <c r="O611">
        <v>25</v>
      </c>
      <c r="P611">
        <v>75</v>
      </c>
      <c r="Q611">
        <v>1.125</v>
      </c>
      <c r="R611">
        <v>1.5</v>
      </c>
    </row>
    <row r="612" spans="1:18" x14ac:dyDescent="0.35">
      <c r="A612">
        <v>608</v>
      </c>
      <c r="B612">
        <v>2</v>
      </c>
      <c r="C612">
        <v>12</v>
      </c>
      <c r="D612">
        <v>2023</v>
      </c>
      <c r="E612" t="s">
        <v>1075</v>
      </c>
      <c r="F612" t="s">
        <v>1062</v>
      </c>
      <c r="G612" t="s">
        <v>1061</v>
      </c>
      <c r="H612" s="18">
        <v>45262</v>
      </c>
      <c r="I612" t="s">
        <v>633</v>
      </c>
      <c r="J612" t="s">
        <v>23</v>
      </c>
      <c r="K612" t="s">
        <v>1032</v>
      </c>
      <c r="L612">
        <v>55</v>
      </c>
      <c r="M612" t="s">
        <v>26</v>
      </c>
      <c r="N612">
        <v>3</v>
      </c>
      <c r="O612">
        <v>500</v>
      </c>
      <c r="P612">
        <v>1500</v>
      </c>
      <c r="Q612">
        <v>22.5</v>
      </c>
      <c r="R612">
        <v>30</v>
      </c>
    </row>
    <row r="613" spans="1:18" x14ac:dyDescent="0.35">
      <c r="A613">
        <v>609</v>
      </c>
      <c r="B613">
        <v>19</v>
      </c>
      <c r="C613">
        <v>12</v>
      </c>
      <c r="D613">
        <v>2023</v>
      </c>
      <c r="E613" t="s">
        <v>1059</v>
      </c>
      <c r="F613" t="s">
        <v>1062</v>
      </c>
      <c r="G613" t="s">
        <v>1061</v>
      </c>
      <c r="H613" s="18">
        <v>45279</v>
      </c>
      <c r="I613" t="s">
        <v>634</v>
      </c>
      <c r="J613" t="s">
        <v>23</v>
      </c>
      <c r="K613" t="s">
        <v>1030</v>
      </c>
      <c r="L613">
        <v>47</v>
      </c>
      <c r="M613" t="s">
        <v>24</v>
      </c>
      <c r="N613">
        <v>2</v>
      </c>
      <c r="O613">
        <v>50</v>
      </c>
      <c r="P613">
        <v>100</v>
      </c>
      <c r="Q613">
        <v>1.5</v>
      </c>
      <c r="R613">
        <v>2</v>
      </c>
    </row>
    <row r="614" spans="1:18" x14ac:dyDescent="0.35">
      <c r="A614">
        <v>610</v>
      </c>
      <c r="B614">
        <v>3</v>
      </c>
      <c r="C614">
        <v>1</v>
      </c>
      <c r="D614">
        <v>2023</v>
      </c>
      <c r="E614" t="s">
        <v>1059</v>
      </c>
      <c r="F614" t="s">
        <v>1060</v>
      </c>
      <c r="G614" t="s">
        <v>1061</v>
      </c>
      <c r="H614" s="18">
        <v>44929</v>
      </c>
      <c r="I614" t="s">
        <v>635</v>
      </c>
      <c r="J614" t="s">
        <v>23</v>
      </c>
      <c r="K614" t="s">
        <v>1034</v>
      </c>
      <c r="L614">
        <v>26</v>
      </c>
      <c r="M614" t="s">
        <v>21</v>
      </c>
      <c r="N614">
        <v>2</v>
      </c>
      <c r="O614">
        <v>300</v>
      </c>
      <c r="P614">
        <v>600</v>
      </c>
      <c r="Q614">
        <v>9</v>
      </c>
      <c r="R614">
        <v>12</v>
      </c>
    </row>
    <row r="615" spans="1:18" x14ac:dyDescent="0.35">
      <c r="A615">
        <v>611</v>
      </c>
      <c r="B615">
        <v>24</v>
      </c>
      <c r="C615">
        <v>2</v>
      </c>
      <c r="D615">
        <v>2023</v>
      </c>
      <c r="E615" t="s">
        <v>1070</v>
      </c>
      <c r="F615" t="s">
        <v>1073</v>
      </c>
      <c r="G615" t="s">
        <v>1061</v>
      </c>
      <c r="H615" s="18">
        <v>44981</v>
      </c>
      <c r="I615" t="s">
        <v>636</v>
      </c>
      <c r="J615" t="s">
        <v>20</v>
      </c>
      <c r="K615" t="s">
        <v>1032</v>
      </c>
      <c r="L615">
        <v>51</v>
      </c>
      <c r="M615" t="s">
        <v>21</v>
      </c>
      <c r="N615">
        <v>3</v>
      </c>
      <c r="O615">
        <v>500</v>
      </c>
      <c r="P615">
        <v>1500</v>
      </c>
      <c r="Q615">
        <v>22.5</v>
      </c>
      <c r="R615">
        <v>30</v>
      </c>
    </row>
    <row r="616" spans="1:18" x14ac:dyDescent="0.35">
      <c r="A616">
        <v>612</v>
      </c>
      <c r="B616">
        <v>6</v>
      </c>
      <c r="C616">
        <v>8</v>
      </c>
      <c r="D616">
        <v>2023</v>
      </c>
      <c r="E616" t="s">
        <v>1063</v>
      </c>
      <c r="F616" t="s">
        <v>1074</v>
      </c>
      <c r="G616" t="s">
        <v>1061</v>
      </c>
      <c r="H616" s="18">
        <v>45144</v>
      </c>
      <c r="I616" t="s">
        <v>637</v>
      </c>
      <c r="J616" t="s">
        <v>23</v>
      </c>
      <c r="K616" t="s">
        <v>1032</v>
      </c>
      <c r="L616">
        <v>61</v>
      </c>
      <c r="M616" t="s">
        <v>26</v>
      </c>
      <c r="N616">
        <v>1</v>
      </c>
      <c r="O616">
        <v>500</v>
      </c>
      <c r="P616">
        <v>500</v>
      </c>
      <c r="Q616">
        <v>7.5</v>
      </c>
      <c r="R616">
        <v>10</v>
      </c>
    </row>
    <row r="617" spans="1:18" x14ac:dyDescent="0.35">
      <c r="A617">
        <v>613</v>
      </c>
      <c r="B617">
        <v>23</v>
      </c>
      <c r="C617">
        <v>4</v>
      </c>
      <c r="D617">
        <v>2023</v>
      </c>
      <c r="E617" t="s">
        <v>1063</v>
      </c>
      <c r="F617" t="s">
        <v>1077</v>
      </c>
      <c r="G617" t="s">
        <v>1061</v>
      </c>
      <c r="H617" s="18">
        <v>45039</v>
      </c>
      <c r="I617" t="s">
        <v>638</v>
      </c>
      <c r="J617" t="s">
        <v>23</v>
      </c>
      <c r="K617" t="s">
        <v>1032</v>
      </c>
      <c r="L617">
        <v>52</v>
      </c>
      <c r="M617" t="s">
        <v>24</v>
      </c>
      <c r="N617">
        <v>3</v>
      </c>
      <c r="O617">
        <v>30</v>
      </c>
      <c r="P617">
        <v>90</v>
      </c>
      <c r="Q617">
        <v>1.3499999999999999</v>
      </c>
      <c r="R617">
        <v>1.8</v>
      </c>
    </row>
    <row r="618" spans="1:18" x14ac:dyDescent="0.35">
      <c r="A618">
        <v>614</v>
      </c>
      <c r="B618">
        <v>1</v>
      </c>
      <c r="C618">
        <v>4</v>
      </c>
      <c r="D618">
        <v>2023</v>
      </c>
      <c r="E618" t="s">
        <v>1075</v>
      </c>
      <c r="F618" t="s">
        <v>1077</v>
      </c>
      <c r="G618" t="s">
        <v>1061</v>
      </c>
      <c r="H618" s="18">
        <v>45017</v>
      </c>
      <c r="I618" t="s">
        <v>639</v>
      </c>
      <c r="J618" t="s">
        <v>23</v>
      </c>
      <c r="K618" t="s">
        <v>1030</v>
      </c>
      <c r="L618">
        <v>39</v>
      </c>
      <c r="M618" t="s">
        <v>21</v>
      </c>
      <c r="N618">
        <v>4</v>
      </c>
      <c r="O618">
        <v>300</v>
      </c>
      <c r="P618">
        <v>1200</v>
      </c>
      <c r="Q618">
        <v>18</v>
      </c>
      <c r="R618">
        <v>24</v>
      </c>
    </row>
    <row r="619" spans="1:18" x14ac:dyDescent="0.35">
      <c r="A619">
        <v>615</v>
      </c>
      <c r="B619">
        <v>23</v>
      </c>
      <c r="C619">
        <v>12</v>
      </c>
      <c r="D619">
        <v>2023</v>
      </c>
      <c r="E619" t="s">
        <v>1075</v>
      </c>
      <c r="F619" t="s">
        <v>1062</v>
      </c>
      <c r="G619" t="s">
        <v>1061</v>
      </c>
      <c r="H619" s="18">
        <v>45283</v>
      </c>
      <c r="I619" t="s">
        <v>640</v>
      </c>
      <c r="J619" t="s">
        <v>23</v>
      </c>
      <c r="K619" t="s">
        <v>1032</v>
      </c>
      <c r="L619">
        <v>61</v>
      </c>
      <c r="M619" t="s">
        <v>24</v>
      </c>
      <c r="N619">
        <v>4</v>
      </c>
      <c r="O619">
        <v>25</v>
      </c>
      <c r="P619">
        <v>100</v>
      </c>
      <c r="Q619">
        <v>1.5</v>
      </c>
      <c r="R619">
        <v>2</v>
      </c>
    </row>
    <row r="620" spans="1:18" x14ac:dyDescent="0.35">
      <c r="A620">
        <v>616</v>
      </c>
      <c r="B620">
        <v>23</v>
      </c>
      <c r="C620">
        <v>9</v>
      </c>
      <c r="D620">
        <v>2023</v>
      </c>
      <c r="E620" t="s">
        <v>1075</v>
      </c>
      <c r="F620" t="s">
        <v>1071</v>
      </c>
      <c r="G620" t="s">
        <v>1061</v>
      </c>
      <c r="H620" s="18">
        <v>45192</v>
      </c>
      <c r="I620" t="s">
        <v>641</v>
      </c>
      <c r="J620" t="s">
        <v>20</v>
      </c>
      <c r="K620" t="s">
        <v>1030</v>
      </c>
      <c r="L620">
        <v>41</v>
      </c>
      <c r="M620" t="s">
        <v>24</v>
      </c>
      <c r="N620">
        <v>2</v>
      </c>
      <c r="O620">
        <v>50</v>
      </c>
      <c r="P620">
        <v>100</v>
      </c>
      <c r="Q620">
        <v>1.5</v>
      </c>
      <c r="R620">
        <v>2</v>
      </c>
    </row>
    <row r="621" spans="1:18" x14ac:dyDescent="0.35">
      <c r="A621">
        <v>617</v>
      </c>
      <c r="B621">
        <v>26</v>
      </c>
      <c r="C621">
        <v>8</v>
      </c>
      <c r="D621">
        <v>2023</v>
      </c>
      <c r="E621" t="s">
        <v>1075</v>
      </c>
      <c r="F621" t="s">
        <v>1074</v>
      </c>
      <c r="G621" t="s">
        <v>1061</v>
      </c>
      <c r="H621" s="18">
        <v>45164</v>
      </c>
      <c r="I621" t="s">
        <v>642</v>
      </c>
      <c r="J621" t="s">
        <v>20</v>
      </c>
      <c r="K621" t="s">
        <v>1030</v>
      </c>
      <c r="L621">
        <v>34</v>
      </c>
      <c r="M621" t="s">
        <v>26</v>
      </c>
      <c r="N621">
        <v>1</v>
      </c>
      <c r="O621">
        <v>30</v>
      </c>
      <c r="P621">
        <v>30</v>
      </c>
      <c r="Q621">
        <v>0.44999999999999996</v>
      </c>
      <c r="R621">
        <v>0.6</v>
      </c>
    </row>
    <row r="622" spans="1:18" x14ac:dyDescent="0.35">
      <c r="A622">
        <v>618</v>
      </c>
      <c r="B622">
        <v>26</v>
      </c>
      <c r="C622">
        <v>1</v>
      </c>
      <c r="D622">
        <v>2023</v>
      </c>
      <c r="E622" t="s">
        <v>1072</v>
      </c>
      <c r="F622" t="s">
        <v>1060</v>
      </c>
      <c r="G622" t="s">
        <v>1061</v>
      </c>
      <c r="H622" s="18">
        <v>44952</v>
      </c>
      <c r="I622" t="s">
        <v>643</v>
      </c>
      <c r="J622" t="s">
        <v>23</v>
      </c>
      <c r="K622" t="s">
        <v>1034</v>
      </c>
      <c r="L622">
        <v>27</v>
      </c>
      <c r="M622" t="s">
        <v>21</v>
      </c>
      <c r="N622">
        <v>1</v>
      </c>
      <c r="O622">
        <v>50</v>
      </c>
      <c r="P622">
        <v>50</v>
      </c>
      <c r="Q622">
        <v>0.75</v>
      </c>
      <c r="R622">
        <v>1</v>
      </c>
    </row>
    <row r="623" spans="1:18" x14ac:dyDescent="0.35">
      <c r="A623">
        <v>619</v>
      </c>
      <c r="B623">
        <v>13</v>
      </c>
      <c r="C623">
        <v>10</v>
      </c>
      <c r="D623">
        <v>2023</v>
      </c>
      <c r="E623" t="s">
        <v>1070</v>
      </c>
      <c r="F623" t="s">
        <v>1064</v>
      </c>
      <c r="G623" t="s">
        <v>1061</v>
      </c>
      <c r="H623" s="18">
        <v>45212</v>
      </c>
      <c r="I623" t="s">
        <v>644</v>
      </c>
      <c r="J623" t="s">
        <v>20</v>
      </c>
      <c r="K623" t="s">
        <v>1030</v>
      </c>
      <c r="L623">
        <v>47</v>
      </c>
      <c r="M623" t="s">
        <v>26</v>
      </c>
      <c r="N623">
        <v>4</v>
      </c>
      <c r="O623">
        <v>25</v>
      </c>
      <c r="P623">
        <v>100</v>
      </c>
      <c r="Q623">
        <v>1.5</v>
      </c>
      <c r="R623">
        <v>2</v>
      </c>
    </row>
    <row r="624" spans="1:18" x14ac:dyDescent="0.35">
      <c r="A624">
        <v>620</v>
      </c>
      <c r="B624">
        <v>8</v>
      </c>
      <c r="C624">
        <v>5</v>
      </c>
      <c r="D624">
        <v>2023</v>
      </c>
      <c r="E624" t="s">
        <v>1067</v>
      </c>
      <c r="F624" t="s">
        <v>1076</v>
      </c>
      <c r="G624" t="s">
        <v>1061</v>
      </c>
      <c r="H624" s="18">
        <v>45054</v>
      </c>
      <c r="I624" t="s">
        <v>645</v>
      </c>
      <c r="J624" t="s">
        <v>20</v>
      </c>
      <c r="K624" t="s">
        <v>1032</v>
      </c>
      <c r="L624">
        <v>63</v>
      </c>
      <c r="M624" t="s">
        <v>26</v>
      </c>
      <c r="N624">
        <v>3</v>
      </c>
      <c r="O624">
        <v>25</v>
      </c>
      <c r="P624">
        <v>75</v>
      </c>
      <c r="Q624">
        <v>1.125</v>
      </c>
      <c r="R624">
        <v>1.5</v>
      </c>
    </row>
    <row r="625" spans="1:18" x14ac:dyDescent="0.35">
      <c r="A625">
        <v>621</v>
      </c>
      <c r="B625">
        <v>4</v>
      </c>
      <c r="C625">
        <v>3</v>
      </c>
      <c r="D625">
        <v>2023</v>
      </c>
      <c r="E625" t="s">
        <v>1075</v>
      </c>
      <c r="F625" t="s">
        <v>1066</v>
      </c>
      <c r="G625" t="s">
        <v>1061</v>
      </c>
      <c r="H625" s="18">
        <v>44989</v>
      </c>
      <c r="I625" t="s">
        <v>646</v>
      </c>
      <c r="J625" t="s">
        <v>23</v>
      </c>
      <c r="K625" t="s">
        <v>1030</v>
      </c>
      <c r="L625">
        <v>40</v>
      </c>
      <c r="M625" t="s">
        <v>21</v>
      </c>
      <c r="N625">
        <v>2</v>
      </c>
      <c r="O625">
        <v>500</v>
      </c>
      <c r="P625">
        <v>1000</v>
      </c>
      <c r="Q625">
        <v>15</v>
      </c>
      <c r="R625">
        <v>20</v>
      </c>
    </row>
    <row r="626" spans="1:18" x14ac:dyDescent="0.35">
      <c r="A626">
        <v>622</v>
      </c>
      <c r="B626">
        <v>22</v>
      </c>
      <c r="C626">
        <v>8</v>
      </c>
      <c r="D626">
        <v>2023</v>
      </c>
      <c r="E626" t="s">
        <v>1059</v>
      </c>
      <c r="F626" t="s">
        <v>1074</v>
      </c>
      <c r="G626" t="s">
        <v>1061</v>
      </c>
      <c r="H626" s="18">
        <v>45160</v>
      </c>
      <c r="I626" t="s">
        <v>647</v>
      </c>
      <c r="J626" t="s">
        <v>23</v>
      </c>
      <c r="K626" t="s">
        <v>1030</v>
      </c>
      <c r="L626">
        <v>49</v>
      </c>
      <c r="M626" t="s">
        <v>21</v>
      </c>
      <c r="N626">
        <v>3</v>
      </c>
      <c r="O626">
        <v>25</v>
      </c>
      <c r="P626">
        <v>75</v>
      </c>
      <c r="Q626">
        <v>1.125</v>
      </c>
      <c r="R626">
        <v>1.5</v>
      </c>
    </row>
    <row r="627" spans="1:18" x14ac:dyDescent="0.35">
      <c r="A627">
        <v>623</v>
      </c>
      <c r="B627">
        <v>10</v>
      </c>
      <c r="C627">
        <v>3</v>
      </c>
      <c r="D627">
        <v>2023</v>
      </c>
      <c r="E627" t="s">
        <v>1070</v>
      </c>
      <c r="F627" t="s">
        <v>1066</v>
      </c>
      <c r="G627" t="s">
        <v>1061</v>
      </c>
      <c r="H627" s="18">
        <v>44995</v>
      </c>
      <c r="I627" t="s">
        <v>648</v>
      </c>
      <c r="J627" t="s">
        <v>20</v>
      </c>
      <c r="K627" t="s">
        <v>1030</v>
      </c>
      <c r="L627">
        <v>34</v>
      </c>
      <c r="M627" t="s">
        <v>24</v>
      </c>
      <c r="N627">
        <v>3</v>
      </c>
      <c r="O627">
        <v>50</v>
      </c>
      <c r="P627">
        <v>150</v>
      </c>
      <c r="Q627">
        <v>2.25</v>
      </c>
      <c r="R627">
        <v>3</v>
      </c>
    </row>
    <row r="628" spans="1:18" x14ac:dyDescent="0.35">
      <c r="A628">
        <v>624</v>
      </c>
      <c r="B628">
        <v>26</v>
      </c>
      <c r="C628">
        <v>8</v>
      </c>
      <c r="D628">
        <v>2023</v>
      </c>
      <c r="E628" t="s">
        <v>1075</v>
      </c>
      <c r="F628" t="s">
        <v>1074</v>
      </c>
      <c r="G628" t="s">
        <v>1061</v>
      </c>
      <c r="H628" s="18">
        <v>45164</v>
      </c>
      <c r="I628" t="s">
        <v>649</v>
      </c>
      <c r="J628" t="s">
        <v>23</v>
      </c>
      <c r="K628" t="s">
        <v>1030</v>
      </c>
      <c r="L628">
        <v>34</v>
      </c>
      <c r="M628" t="s">
        <v>21</v>
      </c>
      <c r="N628">
        <v>3</v>
      </c>
      <c r="O628">
        <v>300</v>
      </c>
      <c r="P628">
        <v>900</v>
      </c>
      <c r="Q628">
        <v>13.5</v>
      </c>
      <c r="R628">
        <v>18</v>
      </c>
    </row>
    <row r="629" spans="1:18" x14ac:dyDescent="0.35">
      <c r="A629">
        <v>625</v>
      </c>
      <c r="B629">
        <v>8</v>
      </c>
      <c r="C629">
        <v>12</v>
      </c>
      <c r="D629">
        <v>2023</v>
      </c>
      <c r="E629" t="s">
        <v>1070</v>
      </c>
      <c r="F629" t="s">
        <v>1062</v>
      </c>
      <c r="G629" t="s">
        <v>1061</v>
      </c>
      <c r="H629" s="18">
        <v>45268</v>
      </c>
      <c r="I629" t="s">
        <v>650</v>
      </c>
      <c r="J629" t="s">
        <v>20</v>
      </c>
      <c r="K629" t="s">
        <v>1030</v>
      </c>
      <c r="L629">
        <v>31</v>
      </c>
      <c r="M629" t="s">
        <v>24</v>
      </c>
      <c r="N629">
        <v>1</v>
      </c>
      <c r="O629">
        <v>300</v>
      </c>
      <c r="P629">
        <v>300</v>
      </c>
      <c r="Q629">
        <v>4.5</v>
      </c>
      <c r="R629">
        <v>6</v>
      </c>
    </row>
    <row r="630" spans="1:18" x14ac:dyDescent="0.35">
      <c r="A630">
        <v>626</v>
      </c>
      <c r="B630">
        <v>29</v>
      </c>
      <c r="C630">
        <v>9</v>
      </c>
      <c r="D630">
        <v>2023</v>
      </c>
      <c r="E630" t="s">
        <v>1070</v>
      </c>
      <c r="F630" t="s">
        <v>1071</v>
      </c>
      <c r="G630" t="s">
        <v>1061</v>
      </c>
      <c r="H630" s="18">
        <v>45198</v>
      </c>
      <c r="I630" t="s">
        <v>651</v>
      </c>
      <c r="J630" t="s">
        <v>23</v>
      </c>
      <c r="K630" t="s">
        <v>1034</v>
      </c>
      <c r="L630">
        <v>26</v>
      </c>
      <c r="M630" t="s">
        <v>24</v>
      </c>
      <c r="N630">
        <v>4</v>
      </c>
      <c r="O630">
        <v>500</v>
      </c>
      <c r="P630">
        <v>2000</v>
      </c>
      <c r="Q630">
        <v>30</v>
      </c>
      <c r="R630">
        <v>40</v>
      </c>
    </row>
    <row r="631" spans="1:18" x14ac:dyDescent="0.35">
      <c r="A631">
        <v>627</v>
      </c>
      <c r="B631">
        <v>14</v>
      </c>
      <c r="C631">
        <v>10</v>
      </c>
      <c r="D631">
        <v>2023</v>
      </c>
      <c r="E631" t="s">
        <v>1075</v>
      </c>
      <c r="F631" t="s">
        <v>1064</v>
      </c>
      <c r="G631" t="s">
        <v>1061</v>
      </c>
      <c r="H631" s="18">
        <v>45213</v>
      </c>
      <c r="I631" t="s">
        <v>652</v>
      </c>
      <c r="J631" t="s">
        <v>20</v>
      </c>
      <c r="K631" t="s">
        <v>1032</v>
      </c>
      <c r="L631">
        <v>57</v>
      </c>
      <c r="M631" t="s">
        <v>24</v>
      </c>
      <c r="N631">
        <v>1</v>
      </c>
      <c r="O631">
        <v>50</v>
      </c>
      <c r="P631">
        <v>50</v>
      </c>
      <c r="Q631">
        <v>0.75</v>
      </c>
      <c r="R631">
        <v>1</v>
      </c>
    </row>
    <row r="632" spans="1:18" x14ac:dyDescent="0.35">
      <c r="A632">
        <v>628</v>
      </c>
      <c r="B632">
        <v>1</v>
      </c>
      <c r="C632">
        <v>11</v>
      </c>
      <c r="D632">
        <v>2023</v>
      </c>
      <c r="E632" t="s">
        <v>1065</v>
      </c>
      <c r="F632" t="s">
        <v>1068</v>
      </c>
      <c r="G632" t="s">
        <v>1061</v>
      </c>
      <c r="H632" s="18">
        <v>45231</v>
      </c>
      <c r="I632" t="s">
        <v>653</v>
      </c>
      <c r="J632" t="s">
        <v>23</v>
      </c>
      <c r="K632" t="s">
        <v>1034</v>
      </c>
      <c r="L632">
        <v>19</v>
      </c>
      <c r="M632" t="s">
        <v>21</v>
      </c>
      <c r="N632">
        <v>4</v>
      </c>
      <c r="O632">
        <v>50</v>
      </c>
      <c r="P632">
        <v>200</v>
      </c>
      <c r="Q632">
        <v>3</v>
      </c>
      <c r="R632">
        <v>4</v>
      </c>
    </row>
    <row r="633" spans="1:18" x14ac:dyDescent="0.35">
      <c r="A633">
        <v>629</v>
      </c>
      <c r="B633">
        <v>12</v>
      </c>
      <c r="C633">
        <v>6</v>
      </c>
      <c r="D633">
        <v>2023</v>
      </c>
      <c r="E633" t="s">
        <v>1067</v>
      </c>
      <c r="F633" t="s">
        <v>1069</v>
      </c>
      <c r="G633" t="s">
        <v>1061</v>
      </c>
      <c r="H633" s="18">
        <v>45089</v>
      </c>
      <c r="I633" t="s">
        <v>654</v>
      </c>
      <c r="J633" t="s">
        <v>20</v>
      </c>
      <c r="K633" t="s">
        <v>1032</v>
      </c>
      <c r="L633">
        <v>62</v>
      </c>
      <c r="M633" t="s">
        <v>26</v>
      </c>
      <c r="N633">
        <v>2</v>
      </c>
      <c r="O633">
        <v>25</v>
      </c>
      <c r="P633">
        <v>50</v>
      </c>
      <c r="Q633">
        <v>0.75</v>
      </c>
      <c r="R633">
        <v>1</v>
      </c>
    </row>
    <row r="634" spans="1:18" x14ac:dyDescent="0.35">
      <c r="A634">
        <v>630</v>
      </c>
      <c r="B634">
        <v>15</v>
      </c>
      <c r="C634">
        <v>8</v>
      </c>
      <c r="D634">
        <v>2023</v>
      </c>
      <c r="E634" t="s">
        <v>1059</v>
      </c>
      <c r="F634" t="s">
        <v>1074</v>
      </c>
      <c r="G634" t="s">
        <v>1061</v>
      </c>
      <c r="H634" s="18">
        <v>45153</v>
      </c>
      <c r="I634" t="s">
        <v>655</v>
      </c>
      <c r="J634" t="s">
        <v>20</v>
      </c>
      <c r="K634" t="s">
        <v>1030</v>
      </c>
      <c r="L634">
        <v>42</v>
      </c>
      <c r="M634" t="s">
        <v>24</v>
      </c>
      <c r="N634">
        <v>2</v>
      </c>
      <c r="O634">
        <v>50</v>
      </c>
      <c r="P634">
        <v>100</v>
      </c>
      <c r="Q634">
        <v>1.5</v>
      </c>
      <c r="R634">
        <v>2</v>
      </c>
    </row>
    <row r="635" spans="1:18" x14ac:dyDescent="0.35">
      <c r="A635">
        <v>631</v>
      </c>
      <c r="B635">
        <v>10</v>
      </c>
      <c r="C635">
        <v>11</v>
      </c>
      <c r="D635">
        <v>2023</v>
      </c>
      <c r="E635" t="s">
        <v>1070</v>
      </c>
      <c r="F635" t="s">
        <v>1068</v>
      </c>
      <c r="G635" t="s">
        <v>1061</v>
      </c>
      <c r="H635" s="18">
        <v>45240</v>
      </c>
      <c r="I635" t="s">
        <v>656</v>
      </c>
      <c r="J635" t="s">
        <v>20</v>
      </c>
      <c r="K635" t="s">
        <v>1032</v>
      </c>
      <c r="L635">
        <v>56</v>
      </c>
      <c r="M635" t="s">
        <v>26</v>
      </c>
      <c r="N635">
        <v>3</v>
      </c>
      <c r="O635">
        <v>30</v>
      </c>
      <c r="P635">
        <v>90</v>
      </c>
      <c r="Q635">
        <v>1.3499999999999999</v>
      </c>
      <c r="R635">
        <v>1.8</v>
      </c>
    </row>
    <row r="636" spans="1:18" x14ac:dyDescent="0.35">
      <c r="A636">
        <v>632</v>
      </c>
      <c r="B636">
        <v>16</v>
      </c>
      <c r="C636">
        <v>9</v>
      </c>
      <c r="D636">
        <v>2023</v>
      </c>
      <c r="E636" t="s">
        <v>1075</v>
      </c>
      <c r="F636" t="s">
        <v>1071</v>
      </c>
      <c r="G636" t="s">
        <v>1061</v>
      </c>
      <c r="H636" s="18">
        <v>45185</v>
      </c>
      <c r="I636" t="s">
        <v>657</v>
      </c>
      <c r="J636" t="s">
        <v>23</v>
      </c>
      <c r="K636" t="s">
        <v>1034</v>
      </c>
      <c r="L636">
        <v>26</v>
      </c>
      <c r="M636" t="s">
        <v>26</v>
      </c>
      <c r="N636">
        <v>4</v>
      </c>
      <c r="O636">
        <v>25</v>
      </c>
      <c r="P636">
        <v>100</v>
      </c>
      <c r="Q636">
        <v>1.5</v>
      </c>
      <c r="R636">
        <v>2</v>
      </c>
    </row>
    <row r="637" spans="1:18" x14ac:dyDescent="0.35">
      <c r="A637">
        <v>633</v>
      </c>
      <c r="B637">
        <v>7</v>
      </c>
      <c r="C637">
        <v>8</v>
      </c>
      <c r="D637">
        <v>2023</v>
      </c>
      <c r="E637" t="s">
        <v>1067</v>
      </c>
      <c r="F637" t="s">
        <v>1074</v>
      </c>
      <c r="G637" t="s">
        <v>1061</v>
      </c>
      <c r="H637" s="18">
        <v>45145</v>
      </c>
      <c r="I637" t="s">
        <v>658</v>
      </c>
      <c r="J637" t="s">
        <v>20</v>
      </c>
      <c r="K637" t="s">
        <v>1030</v>
      </c>
      <c r="L637">
        <v>39</v>
      </c>
      <c r="M637" t="s">
        <v>21</v>
      </c>
      <c r="N637">
        <v>4</v>
      </c>
      <c r="O637">
        <v>30</v>
      </c>
      <c r="P637">
        <v>120</v>
      </c>
      <c r="Q637">
        <v>1.7999999999999998</v>
      </c>
      <c r="R637">
        <v>2.4</v>
      </c>
    </row>
    <row r="638" spans="1:18" x14ac:dyDescent="0.35">
      <c r="A638">
        <v>634</v>
      </c>
      <c r="B638">
        <v>8</v>
      </c>
      <c r="C638">
        <v>10</v>
      </c>
      <c r="D638">
        <v>2023</v>
      </c>
      <c r="E638" t="s">
        <v>1063</v>
      </c>
      <c r="F638" t="s">
        <v>1064</v>
      </c>
      <c r="G638" t="s">
        <v>1061</v>
      </c>
      <c r="H638" s="18">
        <v>45207</v>
      </c>
      <c r="I638" t="s">
        <v>659</v>
      </c>
      <c r="J638" t="s">
        <v>20</v>
      </c>
      <c r="K638" t="s">
        <v>1032</v>
      </c>
      <c r="L638">
        <v>60</v>
      </c>
      <c r="M638" t="s">
        <v>26</v>
      </c>
      <c r="N638">
        <v>4</v>
      </c>
      <c r="O638">
        <v>500</v>
      </c>
      <c r="P638">
        <v>2000</v>
      </c>
      <c r="Q638">
        <v>30</v>
      </c>
      <c r="R638">
        <v>40</v>
      </c>
    </row>
    <row r="639" spans="1:18" x14ac:dyDescent="0.35">
      <c r="A639">
        <v>635</v>
      </c>
      <c r="B639">
        <v>17</v>
      </c>
      <c r="C639">
        <v>8</v>
      </c>
      <c r="D639">
        <v>2023</v>
      </c>
      <c r="E639" t="s">
        <v>1072</v>
      </c>
      <c r="F639" t="s">
        <v>1074</v>
      </c>
      <c r="G639" t="s">
        <v>1061</v>
      </c>
      <c r="H639" s="18">
        <v>45155</v>
      </c>
      <c r="I639" t="s">
        <v>660</v>
      </c>
      <c r="J639" t="s">
        <v>23</v>
      </c>
      <c r="K639" t="s">
        <v>1032</v>
      </c>
      <c r="L639">
        <v>63</v>
      </c>
      <c r="M639" t="s">
        <v>26</v>
      </c>
      <c r="N639">
        <v>3</v>
      </c>
      <c r="O639">
        <v>300</v>
      </c>
      <c r="P639">
        <v>900</v>
      </c>
      <c r="Q639">
        <v>13.5</v>
      </c>
      <c r="R639">
        <v>18</v>
      </c>
    </row>
    <row r="640" spans="1:18" x14ac:dyDescent="0.35">
      <c r="A640">
        <v>636</v>
      </c>
      <c r="B640">
        <v>23</v>
      </c>
      <c r="C640">
        <v>3</v>
      </c>
      <c r="D640">
        <v>2023</v>
      </c>
      <c r="E640" t="s">
        <v>1072</v>
      </c>
      <c r="F640" t="s">
        <v>1066</v>
      </c>
      <c r="G640" t="s">
        <v>1061</v>
      </c>
      <c r="H640" s="18">
        <v>45008</v>
      </c>
      <c r="I640" t="s">
        <v>661</v>
      </c>
      <c r="J640" t="s">
        <v>23</v>
      </c>
      <c r="K640" t="s">
        <v>1034</v>
      </c>
      <c r="L640">
        <v>21</v>
      </c>
      <c r="M640" t="s">
        <v>21</v>
      </c>
      <c r="N640">
        <v>3</v>
      </c>
      <c r="O640">
        <v>500</v>
      </c>
      <c r="P640">
        <v>1500</v>
      </c>
      <c r="Q640">
        <v>22.5</v>
      </c>
      <c r="R640">
        <v>30</v>
      </c>
    </row>
    <row r="641" spans="1:18" x14ac:dyDescent="0.35">
      <c r="A641">
        <v>637</v>
      </c>
      <c r="B641">
        <v>1</v>
      </c>
      <c r="C641">
        <v>9</v>
      </c>
      <c r="D641">
        <v>2023</v>
      </c>
      <c r="E641" t="s">
        <v>1070</v>
      </c>
      <c r="F641" t="s">
        <v>1071</v>
      </c>
      <c r="G641" t="s">
        <v>1061</v>
      </c>
      <c r="H641" s="18">
        <v>45170</v>
      </c>
      <c r="I641" t="s">
        <v>662</v>
      </c>
      <c r="J641" t="s">
        <v>20</v>
      </c>
      <c r="K641" t="s">
        <v>1030</v>
      </c>
      <c r="L641">
        <v>43</v>
      </c>
      <c r="M641" t="s">
        <v>24</v>
      </c>
      <c r="N641">
        <v>2</v>
      </c>
      <c r="O641">
        <v>300</v>
      </c>
      <c r="P641">
        <v>600</v>
      </c>
      <c r="Q641">
        <v>9</v>
      </c>
      <c r="R641">
        <v>12</v>
      </c>
    </row>
    <row r="642" spans="1:18" x14ac:dyDescent="0.35">
      <c r="A642">
        <v>638</v>
      </c>
      <c r="B642">
        <v>19</v>
      </c>
      <c r="C642">
        <v>8</v>
      </c>
      <c r="D642">
        <v>2023</v>
      </c>
      <c r="E642" t="s">
        <v>1075</v>
      </c>
      <c r="F642" t="s">
        <v>1074</v>
      </c>
      <c r="G642" t="s">
        <v>1061</v>
      </c>
      <c r="H642" s="18">
        <v>45157</v>
      </c>
      <c r="I642" t="s">
        <v>663</v>
      </c>
      <c r="J642" t="s">
        <v>20</v>
      </c>
      <c r="K642" t="s">
        <v>1030</v>
      </c>
      <c r="L642">
        <v>46</v>
      </c>
      <c r="M642" t="s">
        <v>26</v>
      </c>
      <c r="N642">
        <v>1</v>
      </c>
      <c r="O642">
        <v>500</v>
      </c>
      <c r="P642">
        <v>500</v>
      </c>
      <c r="Q642">
        <v>7.5</v>
      </c>
      <c r="R642">
        <v>10</v>
      </c>
    </row>
    <row r="643" spans="1:18" x14ac:dyDescent="0.35">
      <c r="A643">
        <v>639</v>
      </c>
      <c r="B643">
        <v>13</v>
      </c>
      <c r="C643">
        <v>5</v>
      </c>
      <c r="D643">
        <v>2023</v>
      </c>
      <c r="E643" t="s">
        <v>1075</v>
      </c>
      <c r="F643" t="s">
        <v>1076</v>
      </c>
      <c r="G643" t="s">
        <v>1061</v>
      </c>
      <c r="H643" s="18">
        <v>45059</v>
      </c>
      <c r="I643" t="s">
        <v>664</v>
      </c>
      <c r="J643" t="s">
        <v>23</v>
      </c>
      <c r="K643" t="s">
        <v>1032</v>
      </c>
      <c r="L643">
        <v>62</v>
      </c>
      <c r="M643" t="s">
        <v>21</v>
      </c>
      <c r="N643">
        <v>4</v>
      </c>
      <c r="O643">
        <v>50</v>
      </c>
      <c r="P643">
        <v>200</v>
      </c>
      <c r="Q643">
        <v>3</v>
      </c>
      <c r="R643">
        <v>4</v>
      </c>
    </row>
    <row r="644" spans="1:18" x14ac:dyDescent="0.35">
      <c r="A644">
        <v>640</v>
      </c>
      <c r="B644">
        <v>7</v>
      </c>
      <c r="C644">
        <v>5</v>
      </c>
      <c r="D644">
        <v>2023</v>
      </c>
      <c r="E644" t="s">
        <v>1063</v>
      </c>
      <c r="F644" t="s">
        <v>1076</v>
      </c>
      <c r="G644" t="s">
        <v>1061</v>
      </c>
      <c r="H644" s="18">
        <v>45053</v>
      </c>
      <c r="I644" t="s">
        <v>665</v>
      </c>
      <c r="J644" t="s">
        <v>23</v>
      </c>
      <c r="K644" t="s">
        <v>1032</v>
      </c>
      <c r="L644">
        <v>51</v>
      </c>
      <c r="M644" t="s">
        <v>26</v>
      </c>
      <c r="N644">
        <v>4</v>
      </c>
      <c r="O644">
        <v>30</v>
      </c>
      <c r="P644">
        <v>120</v>
      </c>
      <c r="Q644">
        <v>1.7999999999999998</v>
      </c>
      <c r="R644">
        <v>2.4</v>
      </c>
    </row>
    <row r="645" spans="1:18" x14ac:dyDescent="0.35">
      <c r="A645">
        <v>641</v>
      </c>
      <c r="B645">
        <v>23</v>
      </c>
      <c r="C645">
        <v>11</v>
      </c>
      <c r="D645">
        <v>2023</v>
      </c>
      <c r="E645" t="s">
        <v>1072</v>
      </c>
      <c r="F645" t="s">
        <v>1068</v>
      </c>
      <c r="G645" t="s">
        <v>1061</v>
      </c>
      <c r="H645" s="18">
        <v>45253</v>
      </c>
      <c r="I645" t="s">
        <v>666</v>
      </c>
      <c r="J645" t="s">
        <v>23</v>
      </c>
      <c r="K645" t="s">
        <v>1030</v>
      </c>
      <c r="L645">
        <v>40</v>
      </c>
      <c r="M645" t="s">
        <v>26</v>
      </c>
      <c r="N645">
        <v>1</v>
      </c>
      <c r="O645">
        <v>300</v>
      </c>
      <c r="P645">
        <v>300</v>
      </c>
      <c r="Q645">
        <v>4.5</v>
      </c>
      <c r="R645">
        <v>6</v>
      </c>
    </row>
    <row r="646" spans="1:18" x14ac:dyDescent="0.35">
      <c r="A646">
        <v>642</v>
      </c>
      <c r="B646">
        <v>22</v>
      </c>
      <c r="C646">
        <v>5</v>
      </c>
      <c r="D646">
        <v>2023</v>
      </c>
      <c r="E646" t="s">
        <v>1067</v>
      </c>
      <c r="F646" t="s">
        <v>1076</v>
      </c>
      <c r="G646" t="s">
        <v>1061</v>
      </c>
      <c r="H646" s="18">
        <v>45068</v>
      </c>
      <c r="I646" t="s">
        <v>667</v>
      </c>
      <c r="J646" t="s">
        <v>23</v>
      </c>
      <c r="K646" t="s">
        <v>1032</v>
      </c>
      <c r="L646">
        <v>54</v>
      </c>
      <c r="M646" t="s">
        <v>24</v>
      </c>
      <c r="N646">
        <v>4</v>
      </c>
      <c r="O646">
        <v>25</v>
      </c>
      <c r="P646">
        <v>100</v>
      </c>
      <c r="Q646">
        <v>1.5</v>
      </c>
      <c r="R646">
        <v>2</v>
      </c>
    </row>
    <row r="647" spans="1:18" x14ac:dyDescent="0.35">
      <c r="A647">
        <v>643</v>
      </c>
      <c r="B647">
        <v>24</v>
      </c>
      <c r="C647">
        <v>9</v>
      </c>
      <c r="D647">
        <v>2023</v>
      </c>
      <c r="E647" t="s">
        <v>1063</v>
      </c>
      <c r="F647" t="s">
        <v>1071</v>
      </c>
      <c r="G647" t="s">
        <v>1061</v>
      </c>
      <c r="H647" s="18">
        <v>45193</v>
      </c>
      <c r="I647" t="s">
        <v>668</v>
      </c>
      <c r="J647" t="s">
        <v>23</v>
      </c>
      <c r="K647" t="s">
        <v>1034</v>
      </c>
      <c r="L647">
        <v>28</v>
      </c>
      <c r="M647" t="s">
        <v>26</v>
      </c>
      <c r="N647">
        <v>3</v>
      </c>
      <c r="O647">
        <v>30</v>
      </c>
      <c r="P647">
        <v>90</v>
      </c>
      <c r="Q647">
        <v>1.3499999999999999</v>
      </c>
      <c r="R647">
        <v>1.8</v>
      </c>
    </row>
    <row r="648" spans="1:18" x14ac:dyDescent="0.35">
      <c r="A648">
        <v>644</v>
      </c>
      <c r="B648">
        <v>6</v>
      </c>
      <c r="C648">
        <v>9</v>
      </c>
      <c r="D648">
        <v>2023</v>
      </c>
      <c r="E648" t="s">
        <v>1065</v>
      </c>
      <c r="F648" t="s">
        <v>1071</v>
      </c>
      <c r="G648" t="s">
        <v>1061</v>
      </c>
      <c r="H648" s="18">
        <v>45175</v>
      </c>
      <c r="I648" t="s">
        <v>669</v>
      </c>
      <c r="J648" t="s">
        <v>20</v>
      </c>
      <c r="K648" t="s">
        <v>1034</v>
      </c>
      <c r="L648">
        <v>23</v>
      </c>
      <c r="M648" t="s">
        <v>21</v>
      </c>
      <c r="N648">
        <v>3</v>
      </c>
      <c r="O648">
        <v>25</v>
      </c>
      <c r="P648">
        <v>75</v>
      </c>
      <c r="Q648">
        <v>1.125</v>
      </c>
      <c r="R648">
        <v>1.5</v>
      </c>
    </row>
    <row r="649" spans="1:18" x14ac:dyDescent="0.35">
      <c r="A649">
        <v>645</v>
      </c>
      <c r="B649">
        <v>17</v>
      </c>
      <c r="C649">
        <v>11</v>
      </c>
      <c r="D649">
        <v>2023</v>
      </c>
      <c r="E649" t="s">
        <v>1070</v>
      </c>
      <c r="F649" t="s">
        <v>1068</v>
      </c>
      <c r="G649" t="s">
        <v>1061</v>
      </c>
      <c r="H649" s="18">
        <v>45247</v>
      </c>
      <c r="I649" t="s">
        <v>670</v>
      </c>
      <c r="J649" t="s">
        <v>23</v>
      </c>
      <c r="K649" t="s">
        <v>1030</v>
      </c>
      <c r="L649">
        <v>35</v>
      </c>
      <c r="M649" t="s">
        <v>26</v>
      </c>
      <c r="N649">
        <v>4</v>
      </c>
      <c r="O649">
        <v>30</v>
      </c>
      <c r="P649">
        <v>120</v>
      </c>
      <c r="Q649">
        <v>1.7999999999999998</v>
      </c>
      <c r="R649">
        <v>2.4</v>
      </c>
    </row>
    <row r="650" spans="1:18" x14ac:dyDescent="0.35">
      <c r="A650">
        <v>646</v>
      </c>
      <c r="B650">
        <v>3</v>
      </c>
      <c r="C650">
        <v>5</v>
      </c>
      <c r="D650">
        <v>2023</v>
      </c>
      <c r="E650" t="s">
        <v>1065</v>
      </c>
      <c r="F650" t="s">
        <v>1076</v>
      </c>
      <c r="G650" t="s">
        <v>1061</v>
      </c>
      <c r="H650" s="18">
        <v>45049</v>
      </c>
      <c r="I650" t="s">
        <v>671</v>
      </c>
      <c r="J650" t="s">
        <v>20</v>
      </c>
      <c r="K650" t="s">
        <v>1030</v>
      </c>
      <c r="L650">
        <v>38</v>
      </c>
      <c r="M650" t="s">
        <v>24</v>
      </c>
      <c r="N650">
        <v>3</v>
      </c>
      <c r="O650">
        <v>30</v>
      </c>
      <c r="P650">
        <v>90</v>
      </c>
      <c r="Q650">
        <v>1.3499999999999999</v>
      </c>
      <c r="R650">
        <v>1.8</v>
      </c>
    </row>
    <row r="651" spans="1:18" x14ac:dyDescent="0.35">
      <c r="A651">
        <v>647</v>
      </c>
      <c r="B651">
        <v>21</v>
      </c>
      <c r="C651">
        <v>5</v>
      </c>
      <c r="D651">
        <v>2023</v>
      </c>
      <c r="E651" t="s">
        <v>1063</v>
      </c>
      <c r="F651" t="s">
        <v>1076</v>
      </c>
      <c r="G651" t="s">
        <v>1061</v>
      </c>
      <c r="H651" s="18">
        <v>45067</v>
      </c>
      <c r="I651" t="s">
        <v>672</v>
      </c>
      <c r="J651" t="s">
        <v>20</v>
      </c>
      <c r="K651" t="s">
        <v>1032</v>
      </c>
      <c r="L651">
        <v>59</v>
      </c>
      <c r="M651" t="s">
        <v>24</v>
      </c>
      <c r="N651">
        <v>3</v>
      </c>
      <c r="O651">
        <v>500</v>
      </c>
      <c r="P651">
        <v>1500</v>
      </c>
      <c r="Q651">
        <v>22.5</v>
      </c>
      <c r="R651">
        <v>30</v>
      </c>
    </row>
    <row r="652" spans="1:18" x14ac:dyDescent="0.35">
      <c r="A652">
        <v>648</v>
      </c>
      <c r="B652">
        <v>14</v>
      </c>
      <c r="C652">
        <v>8</v>
      </c>
      <c r="D652">
        <v>2023</v>
      </c>
      <c r="E652" t="s">
        <v>1067</v>
      </c>
      <c r="F652" t="s">
        <v>1074</v>
      </c>
      <c r="G652" t="s">
        <v>1061</v>
      </c>
      <c r="H652" s="18">
        <v>45152</v>
      </c>
      <c r="I652" t="s">
        <v>673</v>
      </c>
      <c r="J652" t="s">
        <v>20</v>
      </c>
      <c r="K652" t="s">
        <v>1032</v>
      </c>
      <c r="L652">
        <v>53</v>
      </c>
      <c r="M652" t="s">
        <v>21</v>
      </c>
      <c r="N652">
        <v>4</v>
      </c>
      <c r="O652">
        <v>300</v>
      </c>
      <c r="P652">
        <v>1200</v>
      </c>
      <c r="Q652">
        <v>18</v>
      </c>
      <c r="R652">
        <v>24</v>
      </c>
    </row>
    <row r="653" spans="1:18" x14ac:dyDescent="0.35">
      <c r="A653">
        <v>649</v>
      </c>
      <c r="B653">
        <v>9</v>
      </c>
      <c r="C653">
        <v>2</v>
      </c>
      <c r="D653">
        <v>2023</v>
      </c>
      <c r="E653" t="s">
        <v>1072</v>
      </c>
      <c r="F653" t="s">
        <v>1073</v>
      </c>
      <c r="G653" t="s">
        <v>1061</v>
      </c>
      <c r="H653" s="18">
        <v>44966</v>
      </c>
      <c r="I653" t="s">
        <v>674</v>
      </c>
      <c r="J653" t="s">
        <v>23</v>
      </c>
      <c r="K653" t="s">
        <v>1032</v>
      </c>
      <c r="L653">
        <v>58</v>
      </c>
      <c r="M653" t="s">
        <v>24</v>
      </c>
      <c r="N653">
        <v>2</v>
      </c>
      <c r="O653">
        <v>300</v>
      </c>
      <c r="P653">
        <v>600</v>
      </c>
      <c r="Q653">
        <v>9</v>
      </c>
      <c r="R653">
        <v>12</v>
      </c>
    </row>
    <row r="654" spans="1:18" x14ac:dyDescent="0.35">
      <c r="A654">
        <v>650</v>
      </c>
      <c r="B654">
        <v>1</v>
      </c>
      <c r="C654">
        <v>1</v>
      </c>
      <c r="D654">
        <v>2024</v>
      </c>
      <c r="E654" t="s">
        <v>1067</v>
      </c>
      <c r="F654" t="s">
        <v>1060</v>
      </c>
      <c r="G654" t="s">
        <v>1079</v>
      </c>
      <c r="H654" s="18">
        <v>45292</v>
      </c>
      <c r="I654" t="s">
        <v>675</v>
      </c>
      <c r="J654" t="s">
        <v>20</v>
      </c>
      <c r="K654" t="s">
        <v>1032</v>
      </c>
      <c r="L654">
        <v>55</v>
      </c>
      <c r="M654" t="s">
        <v>26</v>
      </c>
      <c r="N654">
        <v>1</v>
      </c>
      <c r="O654">
        <v>30</v>
      </c>
      <c r="P654">
        <v>30</v>
      </c>
      <c r="Q654">
        <v>0.44999999999999996</v>
      </c>
      <c r="R654">
        <v>0.6</v>
      </c>
    </row>
    <row r="655" spans="1:18" x14ac:dyDescent="0.35">
      <c r="A655">
        <v>651</v>
      </c>
      <c r="B655">
        <v>27</v>
      </c>
      <c r="C655">
        <v>5</v>
      </c>
      <c r="D655">
        <v>2023</v>
      </c>
      <c r="E655" t="s">
        <v>1075</v>
      </c>
      <c r="F655" t="s">
        <v>1076</v>
      </c>
      <c r="G655" t="s">
        <v>1061</v>
      </c>
      <c r="H655" s="18">
        <v>45073</v>
      </c>
      <c r="I655" t="s">
        <v>676</v>
      </c>
      <c r="J655" t="s">
        <v>20</v>
      </c>
      <c r="K655" t="s">
        <v>1032</v>
      </c>
      <c r="L655">
        <v>51</v>
      </c>
      <c r="M655" t="s">
        <v>24</v>
      </c>
      <c r="N655">
        <v>3</v>
      </c>
      <c r="O655">
        <v>50</v>
      </c>
      <c r="P655">
        <v>150</v>
      </c>
      <c r="Q655">
        <v>2.25</v>
      </c>
      <c r="R655">
        <v>3</v>
      </c>
    </row>
    <row r="656" spans="1:18" x14ac:dyDescent="0.35">
      <c r="A656">
        <v>652</v>
      </c>
      <c r="B656">
        <v>1</v>
      </c>
      <c r="C656">
        <v>5</v>
      </c>
      <c r="D656">
        <v>2023</v>
      </c>
      <c r="E656" t="s">
        <v>1067</v>
      </c>
      <c r="F656" t="s">
        <v>1076</v>
      </c>
      <c r="G656" t="s">
        <v>1061</v>
      </c>
      <c r="H656" s="18">
        <v>45047</v>
      </c>
      <c r="I656" t="s">
        <v>677</v>
      </c>
      <c r="J656" t="s">
        <v>23</v>
      </c>
      <c r="K656" t="s">
        <v>1030</v>
      </c>
      <c r="L656">
        <v>34</v>
      </c>
      <c r="M656" t="s">
        <v>21</v>
      </c>
      <c r="N656">
        <v>2</v>
      </c>
      <c r="O656">
        <v>50</v>
      </c>
      <c r="P656">
        <v>100</v>
      </c>
      <c r="Q656">
        <v>1.5</v>
      </c>
      <c r="R656">
        <v>2</v>
      </c>
    </row>
    <row r="657" spans="1:18" x14ac:dyDescent="0.35">
      <c r="A657">
        <v>653</v>
      </c>
      <c r="B657">
        <v>20</v>
      </c>
      <c r="C657">
        <v>5</v>
      </c>
      <c r="D657">
        <v>2023</v>
      </c>
      <c r="E657" t="s">
        <v>1075</v>
      </c>
      <c r="F657" t="s">
        <v>1076</v>
      </c>
      <c r="G657" t="s">
        <v>1061</v>
      </c>
      <c r="H657" s="18">
        <v>45066</v>
      </c>
      <c r="I657" t="s">
        <v>678</v>
      </c>
      <c r="J657" t="s">
        <v>20</v>
      </c>
      <c r="K657" t="s">
        <v>1032</v>
      </c>
      <c r="L657">
        <v>54</v>
      </c>
      <c r="M657" t="s">
        <v>24</v>
      </c>
      <c r="N657">
        <v>3</v>
      </c>
      <c r="O657">
        <v>25</v>
      </c>
      <c r="P657">
        <v>75</v>
      </c>
      <c r="Q657">
        <v>1.125</v>
      </c>
      <c r="R657">
        <v>1.5</v>
      </c>
    </row>
    <row r="658" spans="1:18" x14ac:dyDescent="0.35">
      <c r="A658">
        <v>654</v>
      </c>
      <c r="B658">
        <v>21</v>
      </c>
      <c r="C658">
        <v>6</v>
      </c>
      <c r="D658">
        <v>2023</v>
      </c>
      <c r="E658" t="s">
        <v>1065</v>
      </c>
      <c r="F658" t="s">
        <v>1069</v>
      </c>
      <c r="G658" t="s">
        <v>1061</v>
      </c>
      <c r="H658" s="18">
        <v>45098</v>
      </c>
      <c r="I658" t="s">
        <v>679</v>
      </c>
      <c r="J658" t="s">
        <v>20</v>
      </c>
      <c r="K658" t="s">
        <v>1030</v>
      </c>
      <c r="L658">
        <v>42</v>
      </c>
      <c r="M658" t="s">
        <v>24</v>
      </c>
      <c r="N658">
        <v>3</v>
      </c>
      <c r="O658">
        <v>25</v>
      </c>
      <c r="P658">
        <v>75</v>
      </c>
      <c r="Q658">
        <v>1.125</v>
      </c>
      <c r="R658">
        <v>1.5</v>
      </c>
    </row>
    <row r="659" spans="1:18" x14ac:dyDescent="0.35">
      <c r="A659">
        <v>655</v>
      </c>
      <c r="B659">
        <v>13</v>
      </c>
      <c r="C659">
        <v>6</v>
      </c>
      <c r="D659">
        <v>2023</v>
      </c>
      <c r="E659" t="s">
        <v>1059</v>
      </c>
      <c r="F659" t="s">
        <v>1069</v>
      </c>
      <c r="G659" t="s">
        <v>1061</v>
      </c>
      <c r="H659" s="18">
        <v>45090</v>
      </c>
      <c r="I659" t="s">
        <v>680</v>
      </c>
      <c r="J659" t="s">
        <v>23</v>
      </c>
      <c r="K659" t="s">
        <v>1032</v>
      </c>
      <c r="L659">
        <v>55</v>
      </c>
      <c r="M659" t="s">
        <v>24</v>
      </c>
      <c r="N659">
        <v>1</v>
      </c>
      <c r="O659">
        <v>500</v>
      </c>
      <c r="P659">
        <v>500</v>
      </c>
      <c r="Q659">
        <v>7.5</v>
      </c>
      <c r="R659">
        <v>10</v>
      </c>
    </row>
    <row r="660" spans="1:18" x14ac:dyDescent="0.35">
      <c r="A660">
        <v>656</v>
      </c>
      <c r="B660">
        <v>4</v>
      </c>
      <c r="C660">
        <v>10</v>
      </c>
      <c r="D660">
        <v>2023</v>
      </c>
      <c r="E660" t="s">
        <v>1065</v>
      </c>
      <c r="F660" t="s">
        <v>1064</v>
      </c>
      <c r="G660" t="s">
        <v>1061</v>
      </c>
      <c r="H660" s="18">
        <v>45203</v>
      </c>
      <c r="I660" t="s">
        <v>681</v>
      </c>
      <c r="J660" t="s">
        <v>20</v>
      </c>
      <c r="K660" t="s">
        <v>1034</v>
      </c>
      <c r="L660">
        <v>29</v>
      </c>
      <c r="M660" t="s">
        <v>21</v>
      </c>
      <c r="N660">
        <v>3</v>
      </c>
      <c r="O660">
        <v>30</v>
      </c>
      <c r="P660">
        <v>90</v>
      </c>
      <c r="Q660">
        <v>1.3499999999999999</v>
      </c>
      <c r="R660">
        <v>1.8</v>
      </c>
    </row>
    <row r="661" spans="1:18" x14ac:dyDescent="0.35">
      <c r="A661">
        <v>657</v>
      </c>
      <c r="B661">
        <v>11</v>
      </c>
      <c r="C661">
        <v>2</v>
      </c>
      <c r="D661">
        <v>2023</v>
      </c>
      <c r="E661" t="s">
        <v>1075</v>
      </c>
      <c r="F661" t="s">
        <v>1073</v>
      </c>
      <c r="G661" t="s">
        <v>1061</v>
      </c>
      <c r="H661" s="18">
        <v>44968</v>
      </c>
      <c r="I661" t="s">
        <v>682</v>
      </c>
      <c r="J661" t="s">
        <v>20</v>
      </c>
      <c r="K661" t="s">
        <v>1030</v>
      </c>
      <c r="L661">
        <v>40</v>
      </c>
      <c r="M661" t="s">
        <v>24</v>
      </c>
      <c r="N661">
        <v>1</v>
      </c>
      <c r="O661">
        <v>25</v>
      </c>
      <c r="P661">
        <v>25</v>
      </c>
      <c r="Q661">
        <v>0.375</v>
      </c>
      <c r="R661">
        <v>0.5</v>
      </c>
    </row>
    <row r="662" spans="1:18" x14ac:dyDescent="0.35">
      <c r="A662">
        <v>658</v>
      </c>
      <c r="B662">
        <v>12</v>
      </c>
      <c r="C662">
        <v>3</v>
      </c>
      <c r="D662">
        <v>2023</v>
      </c>
      <c r="E662" t="s">
        <v>1063</v>
      </c>
      <c r="F662" t="s">
        <v>1066</v>
      </c>
      <c r="G662" t="s">
        <v>1061</v>
      </c>
      <c r="H662" s="18">
        <v>44997</v>
      </c>
      <c r="I662" t="s">
        <v>683</v>
      </c>
      <c r="J662" t="s">
        <v>20</v>
      </c>
      <c r="K662" t="s">
        <v>1032</v>
      </c>
      <c r="L662">
        <v>59</v>
      </c>
      <c r="M662" t="s">
        <v>24</v>
      </c>
      <c r="N662">
        <v>1</v>
      </c>
      <c r="O662">
        <v>25</v>
      </c>
      <c r="P662">
        <v>25</v>
      </c>
      <c r="Q662">
        <v>0.375</v>
      </c>
      <c r="R662">
        <v>0.5</v>
      </c>
    </row>
    <row r="663" spans="1:18" x14ac:dyDescent="0.35">
      <c r="A663">
        <v>659</v>
      </c>
      <c r="B663">
        <v>19</v>
      </c>
      <c r="C663">
        <v>3</v>
      </c>
      <c r="D663">
        <v>2023</v>
      </c>
      <c r="E663" t="s">
        <v>1063</v>
      </c>
      <c r="F663" t="s">
        <v>1066</v>
      </c>
      <c r="G663" t="s">
        <v>1061</v>
      </c>
      <c r="H663" s="18">
        <v>45004</v>
      </c>
      <c r="I663" t="s">
        <v>684</v>
      </c>
      <c r="J663" t="s">
        <v>23</v>
      </c>
      <c r="K663" t="s">
        <v>1030</v>
      </c>
      <c r="L663">
        <v>39</v>
      </c>
      <c r="M663" t="s">
        <v>26</v>
      </c>
      <c r="N663">
        <v>1</v>
      </c>
      <c r="O663">
        <v>30</v>
      </c>
      <c r="P663">
        <v>30</v>
      </c>
      <c r="Q663">
        <v>0.44999999999999996</v>
      </c>
      <c r="R663">
        <v>0.6</v>
      </c>
    </row>
    <row r="664" spans="1:18" x14ac:dyDescent="0.35">
      <c r="A664">
        <v>660</v>
      </c>
      <c r="B664">
        <v>29</v>
      </c>
      <c r="C664">
        <v>4</v>
      </c>
      <c r="D664">
        <v>2023</v>
      </c>
      <c r="E664" t="s">
        <v>1075</v>
      </c>
      <c r="F664" t="s">
        <v>1077</v>
      </c>
      <c r="G664" t="s">
        <v>1061</v>
      </c>
      <c r="H664" s="18">
        <v>45045</v>
      </c>
      <c r="I664" t="s">
        <v>685</v>
      </c>
      <c r="J664" t="s">
        <v>23</v>
      </c>
      <c r="K664" t="s">
        <v>1030</v>
      </c>
      <c r="L664">
        <v>38</v>
      </c>
      <c r="M664" t="s">
        <v>21</v>
      </c>
      <c r="N664">
        <v>2</v>
      </c>
      <c r="O664">
        <v>500</v>
      </c>
      <c r="P664">
        <v>1000</v>
      </c>
      <c r="Q664">
        <v>15</v>
      </c>
      <c r="R664">
        <v>20</v>
      </c>
    </row>
    <row r="665" spans="1:18" x14ac:dyDescent="0.35">
      <c r="A665">
        <v>661</v>
      </c>
      <c r="B665">
        <v>16</v>
      </c>
      <c r="C665">
        <v>7</v>
      </c>
      <c r="D665">
        <v>2023</v>
      </c>
      <c r="E665" t="s">
        <v>1063</v>
      </c>
      <c r="F665" t="s">
        <v>1078</v>
      </c>
      <c r="G665" t="s">
        <v>1061</v>
      </c>
      <c r="H665" s="18">
        <v>45123</v>
      </c>
      <c r="I665" t="s">
        <v>686</v>
      </c>
      <c r="J665" t="s">
        <v>23</v>
      </c>
      <c r="K665" t="s">
        <v>1030</v>
      </c>
      <c r="L665">
        <v>44</v>
      </c>
      <c r="M665" t="s">
        <v>24</v>
      </c>
      <c r="N665">
        <v>4</v>
      </c>
      <c r="O665">
        <v>25</v>
      </c>
      <c r="P665">
        <v>100</v>
      </c>
      <c r="Q665">
        <v>1.5</v>
      </c>
      <c r="R665">
        <v>2</v>
      </c>
    </row>
    <row r="666" spans="1:18" x14ac:dyDescent="0.35">
      <c r="A666">
        <v>662</v>
      </c>
      <c r="B666">
        <v>22</v>
      </c>
      <c r="C666">
        <v>12</v>
      </c>
      <c r="D666">
        <v>2023</v>
      </c>
      <c r="E666" t="s">
        <v>1070</v>
      </c>
      <c r="F666" t="s">
        <v>1062</v>
      </c>
      <c r="G666" t="s">
        <v>1061</v>
      </c>
      <c r="H666" s="18">
        <v>45282</v>
      </c>
      <c r="I666" t="s">
        <v>687</v>
      </c>
      <c r="J666" t="s">
        <v>20</v>
      </c>
      <c r="K666" t="s">
        <v>1030</v>
      </c>
      <c r="L666">
        <v>48</v>
      </c>
      <c r="M666" t="s">
        <v>21</v>
      </c>
      <c r="N666">
        <v>2</v>
      </c>
      <c r="O666">
        <v>500</v>
      </c>
      <c r="P666">
        <v>1000</v>
      </c>
      <c r="Q666">
        <v>15</v>
      </c>
      <c r="R666">
        <v>20</v>
      </c>
    </row>
    <row r="667" spans="1:18" x14ac:dyDescent="0.35">
      <c r="A667">
        <v>663</v>
      </c>
      <c r="B667">
        <v>20</v>
      </c>
      <c r="C667">
        <v>3</v>
      </c>
      <c r="D667">
        <v>2023</v>
      </c>
      <c r="E667" t="s">
        <v>1067</v>
      </c>
      <c r="F667" t="s">
        <v>1066</v>
      </c>
      <c r="G667" t="s">
        <v>1061</v>
      </c>
      <c r="H667" s="18">
        <v>45005</v>
      </c>
      <c r="I667" t="s">
        <v>688</v>
      </c>
      <c r="J667" t="s">
        <v>20</v>
      </c>
      <c r="K667" t="s">
        <v>1034</v>
      </c>
      <c r="L667">
        <v>23</v>
      </c>
      <c r="M667" t="s">
        <v>24</v>
      </c>
      <c r="N667">
        <v>4</v>
      </c>
      <c r="O667">
        <v>300</v>
      </c>
      <c r="P667">
        <v>1200</v>
      </c>
      <c r="Q667">
        <v>18</v>
      </c>
      <c r="R667">
        <v>24</v>
      </c>
    </row>
    <row r="668" spans="1:18" x14ac:dyDescent="0.35">
      <c r="A668">
        <v>664</v>
      </c>
      <c r="B668">
        <v>28</v>
      </c>
      <c r="C668">
        <v>12</v>
      </c>
      <c r="D668">
        <v>2023</v>
      </c>
      <c r="E668" t="s">
        <v>1072</v>
      </c>
      <c r="F668" t="s">
        <v>1062</v>
      </c>
      <c r="G668" t="s">
        <v>1061</v>
      </c>
      <c r="H668" s="18">
        <v>45288</v>
      </c>
      <c r="I668" t="s">
        <v>689</v>
      </c>
      <c r="J668" t="s">
        <v>23</v>
      </c>
      <c r="K668" t="s">
        <v>1030</v>
      </c>
      <c r="L668">
        <v>44</v>
      </c>
      <c r="M668" t="s">
        <v>24</v>
      </c>
      <c r="N668">
        <v>4</v>
      </c>
      <c r="O668">
        <v>500</v>
      </c>
      <c r="P668">
        <v>2000</v>
      </c>
      <c r="Q668">
        <v>30</v>
      </c>
      <c r="R668">
        <v>40</v>
      </c>
    </row>
    <row r="669" spans="1:18" x14ac:dyDescent="0.35">
      <c r="A669">
        <v>665</v>
      </c>
      <c r="B669">
        <v>20</v>
      </c>
      <c r="C669">
        <v>4</v>
      </c>
      <c r="D669">
        <v>2023</v>
      </c>
      <c r="E669" t="s">
        <v>1072</v>
      </c>
      <c r="F669" t="s">
        <v>1077</v>
      </c>
      <c r="G669" t="s">
        <v>1061</v>
      </c>
      <c r="H669" s="18">
        <v>45036</v>
      </c>
      <c r="I669" t="s">
        <v>690</v>
      </c>
      <c r="J669" t="s">
        <v>20</v>
      </c>
      <c r="K669" t="s">
        <v>1032</v>
      </c>
      <c r="L669">
        <v>57</v>
      </c>
      <c r="M669" t="s">
        <v>24</v>
      </c>
      <c r="N669">
        <v>1</v>
      </c>
      <c r="O669">
        <v>50</v>
      </c>
      <c r="P669">
        <v>50</v>
      </c>
      <c r="Q669">
        <v>0.75</v>
      </c>
      <c r="R669">
        <v>1</v>
      </c>
    </row>
    <row r="670" spans="1:18" x14ac:dyDescent="0.35">
      <c r="A670">
        <v>666</v>
      </c>
      <c r="B670">
        <v>2</v>
      </c>
      <c r="C670">
        <v>2</v>
      </c>
      <c r="D670">
        <v>2023</v>
      </c>
      <c r="E670" t="s">
        <v>1072</v>
      </c>
      <c r="F670" t="s">
        <v>1073</v>
      </c>
      <c r="G670" t="s">
        <v>1061</v>
      </c>
      <c r="H670" s="18">
        <v>44959</v>
      </c>
      <c r="I670" t="s">
        <v>691</v>
      </c>
      <c r="J670" t="s">
        <v>20</v>
      </c>
      <c r="K670" t="s">
        <v>1032</v>
      </c>
      <c r="L670">
        <v>51</v>
      </c>
      <c r="M670" t="s">
        <v>26</v>
      </c>
      <c r="N670">
        <v>3</v>
      </c>
      <c r="O670">
        <v>50</v>
      </c>
      <c r="P670">
        <v>150</v>
      </c>
      <c r="Q670">
        <v>2.25</v>
      </c>
      <c r="R670">
        <v>3</v>
      </c>
    </row>
    <row r="671" spans="1:18" x14ac:dyDescent="0.35">
      <c r="A671">
        <v>667</v>
      </c>
      <c r="B671">
        <v>1</v>
      </c>
      <c r="C671">
        <v>8</v>
      </c>
      <c r="D671">
        <v>2023</v>
      </c>
      <c r="E671" t="s">
        <v>1059</v>
      </c>
      <c r="F671" t="s">
        <v>1074</v>
      </c>
      <c r="G671" t="s">
        <v>1061</v>
      </c>
      <c r="H671" s="18">
        <v>45139</v>
      </c>
      <c r="I671" t="s">
        <v>692</v>
      </c>
      <c r="J671" t="s">
        <v>23</v>
      </c>
      <c r="K671" t="s">
        <v>1034</v>
      </c>
      <c r="L671">
        <v>29</v>
      </c>
      <c r="M671" t="s">
        <v>26</v>
      </c>
      <c r="N671">
        <v>1</v>
      </c>
      <c r="O671">
        <v>500</v>
      </c>
      <c r="P671">
        <v>500</v>
      </c>
      <c r="Q671">
        <v>7.5</v>
      </c>
      <c r="R671">
        <v>10</v>
      </c>
    </row>
    <row r="672" spans="1:18" x14ac:dyDescent="0.35">
      <c r="A672">
        <v>668</v>
      </c>
      <c r="B672">
        <v>28</v>
      </c>
      <c r="C672">
        <v>7</v>
      </c>
      <c r="D672">
        <v>2023</v>
      </c>
      <c r="E672" t="s">
        <v>1070</v>
      </c>
      <c r="F672" t="s">
        <v>1078</v>
      </c>
      <c r="G672" t="s">
        <v>1061</v>
      </c>
      <c r="H672" s="18">
        <v>45135</v>
      </c>
      <c r="I672" t="s">
        <v>693</v>
      </c>
      <c r="J672" t="s">
        <v>23</v>
      </c>
      <c r="K672" t="s">
        <v>1032</v>
      </c>
      <c r="L672">
        <v>62</v>
      </c>
      <c r="M672" t="s">
        <v>26</v>
      </c>
      <c r="N672">
        <v>3</v>
      </c>
      <c r="O672">
        <v>50</v>
      </c>
      <c r="P672">
        <v>150</v>
      </c>
      <c r="Q672">
        <v>2.25</v>
      </c>
      <c r="R672">
        <v>3</v>
      </c>
    </row>
    <row r="673" spans="1:18" x14ac:dyDescent="0.35">
      <c r="A673">
        <v>669</v>
      </c>
      <c r="B673">
        <v>19</v>
      </c>
      <c r="C673">
        <v>6</v>
      </c>
      <c r="D673">
        <v>2023</v>
      </c>
      <c r="E673" t="s">
        <v>1067</v>
      </c>
      <c r="F673" t="s">
        <v>1069</v>
      </c>
      <c r="G673" t="s">
        <v>1061</v>
      </c>
      <c r="H673" s="18">
        <v>45096</v>
      </c>
      <c r="I673" t="s">
        <v>694</v>
      </c>
      <c r="J673" t="s">
        <v>20</v>
      </c>
      <c r="K673" t="s">
        <v>1034</v>
      </c>
      <c r="L673">
        <v>24</v>
      </c>
      <c r="M673" t="s">
        <v>21</v>
      </c>
      <c r="N673">
        <v>4</v>
      </c>
      <c r="O673">
        <v>300</v>
      </c>
      <c r="P673">
        <v>1200</v>
      </c>
      <c r="Q673">
        <v>18</v>
      </c>
      <c r="R673">
        <v>24</v>
      </c>
    </row>
    <row r="674" spans="1:18" x14ac:dyDescent="0.35">
      <c r="A674">
        <v>670</v>
      </c>
      <c r="B674">
        <v>5</v>
      </c>
      <c r="C674">
        <v>10</v>
      </c>
      <c r="D674">
        <v>2023</v>
      </c>
      <c r="E674" t="s">
        <v>1072</v>
      </c>
      <c r="F674" t="s">
        <v>1064</v>
      </c>
      <c r="G674" t="s">
        <v>1061</v>
      </c>
      <c r="H674" s="18">
        <v>45204</v>
      </c>
      <c r="I674" t="s">
        <v>695</v>
      </c>
      <c r="J674" t="s">
        <v>20</v>
      </c>
      <c r="K674" t="s">
        <v>1034</v>
      </c>
      <c r="L674">
        <v>27</v>
      </c>
      <c r="M674" t="s">
        <v>21</v>
      </c>
      <c r="N674">
        <v>1</v>
      </c>
      <c r="O674">
        <v>30</v>
      </c>
      <c r="P674">
        <v>30</v>
      </c>
      <c r="Q674">
        <v>0.44999999999999996</v>
      </c>
      <c r="R674">
        <v>0.6</v>
      </c>
    </row>
    <row r="675" spans="1:18" x14ac:dyDescent="0.35">
      <c r="A675">
        <v>671</v>
      </c>
      <c r="B675">
        <v>27</v>
      </c>
      <c r="C675">
        <v>8</v>
      </c>
      <c r="D675">
        <v>2023</v>
      </c>
      <c r="E675" t="s">
        <v>1063</v>
      </c>
      <c r="F675" t="s">
        <v>1074</v>
      </c>
      <c r="G675" t="s">
        <v>1061</v>
      </c>
      <c r="H675" s="18">
        <v>45165</v>
      </c>
      <c r="I675" t="s">
        <v>696</v>
      </c>
      <c r="J675" t="s">
        <v>20</v>
      </c>
      <c r="K675" t="s">
        <v>1032</v>
      </c>
      <c r="L675">
        <v>62</v>
      </c>
      <c r="M675" t="s">
        <v>26</v>
      </c>
      <c r="N675">
        <v>3</v>
      </c>
      <c r="O675">
        <v>50</v>
      </c>
      <c r="P675">
        <v>150</v>
      </c>
      <c r="Q675">
        <v>2.25</v>
      </c>
      <c r="R675">
        <v>3</v>
      </c>
    </row>
    <row r="676" spans="1:18" x14ac:dyDescent="0.35">
      <c r="A676">
        <v>672</v>
      </c>
      <c r="B676">
        <v>1</v>
      </c>
      <c r="C676">
        <v>8</v>
      </c>
      <c r="D676">
        <v>2023</v>
      </c>
      <c r="E676" t="s">
        <v>1059</v>
      </c>
      <c r="F676" t="s">
        <v>1074</v>
      </c>
      <c r="G676" t="s">
        <v>1061</v>
      </c>
      <c r="H676" s="18">
        <v>45139</v>
      </c>
      <c r="I676" t="s">
        <v>697</v>
      </c>
      <c r="J676" t="s">
        <v>23</v>
      </c>
      <c r="K676" t="s">
        <v>1030</v>
      </c>
      <c r="L676">
        <v>34</v>
      </c>
      <c r="M676" t="s">
        <v>21</v>
      </c>
      <c r="N676">
        <v>2</v>
      </c>
      <c r="O676">
        <v>50</v>
      </c>
      <c r="P676">
        <v>100</v>
      </c>
      <c r="Q676">
        <v>1.5</v>
      </c>
      <c r="R676">
        <v>2</v>
      </c>
    </row>
    <row r="677" spans="1:18" x14ac:dyDescent="0.35">
      <c r="A677">
        <v>673</v>
      </c>
      <c r="B677">
        <v>1</v>
      </c>
      <c r="C677">
        <v>2</v>
      </c>
      <c r="D677">
        <v>2023</v>
      </c>
      <c r="E677" t="s">
        <v>1065</v>
      </c>
      <c r="F677" t="s">
        <v>1073</v>
      </c>
      <c r="G677" t="s">
        <v>1061</v>
      </c>
      <c r="H677" s="18">
        <v>44958</v>
      </c>
      <c r="I677" t="s">
        <v>698</v>
      </c>
      <c r="J677" t="s">
        <v>23</v>
      </c>
      <c r="K677" t="s">
        <v>1030</v>
      </c>
      <c r="L677">
        <v>43</v>
      </c>
      <c r="M677" t="s">
        <v>24</v>
      </c>
      <c r="N677">
        <v>3</v>
      </c>
      <c r="O677">
        <v>500</v>
      </c>
      <c r="P677">
        <v>1500</v>
      </c>
      <c r="Q677">
        <v>22.5</v>
      </c>
      <c r="R677">
        <v>30</v>
      </c>
    </row>
    <row r="678" spans="1:18" x14ac:dyDescent="0.35">
      <c r="A678">
        <v>674</v>
      </c>
      <c r="B678">
        <v>16</v>
      </c>
      <c r="C678">
        <v>4</v>
      </c>
      <c r="D678">
        <v>2023</v>
      </c>
      <c r="E678" t="s">
        <v>1063</v>
      </c>
      <c r="F678" t="s">
        <v>1077</v>
      </c>
      <c r="G678" t="s">
        <v>1061</v>
      </c>
      <c r="H678" s="18">
        <v>45032</v>
      </c>
      <c r="I678" t="s">
        <v>699</v>
      </c>
      <c r="J678" t="s">
        <v>23</v>
      </c>
      <c r="K678" t="s">
        <v>1030</v>
      </c>
      <c r="L678">
        <v>38</v>
      </c>
      <c r="M678" t="s">
        <v>24</v>
      </c>
      <c r="N678">
        <v>1</v>
      </c>
      <c r="O678">
        <v>300</v>
      </c>
      <c r="P678">
        <v>300</v>
      </c>
      <c r="Q678">
        <v>4.5</v>
      </c>
      <c r="R678">
        <v>6</v>
      </c>
    </row>
    <row r="679" spans="1:18" x14ac:dyDescent="0.35">
      <c r="A679">
        <v>675</v>
      </c>
      <c r="B679">
        <v>4</v>
      </c>
      <c r="C679">
        <v>8</v>
      </c>
      <c r="D679">
        <v>2023</v>
      </c>
      <c r="E679" t="s">
        <v>1070</v>
      </c>
      <c r="F679" t="s">
        <v>1074</v>
      </c>
      <c r="G679" t="s">
        <v>1061</v>
      </c>
      <c r="H679" s="18">
        <v>45142</v>
      </c>
      <c r="I679" t="s">
        <v>700</v>
      </c>
      <c r="J679" t="s">
        <v>23</v>
      </c>
      <c r="K679" t="s">
        <v>1030</v>
      </c>
      <c r="L679">
        <v>45</v>
      </c>
      <c r="M679" t="s">
        <v>24</v>
      </c>
      <c r="N679">
        <v>2</v>
      </c>
      <c r="O679">
        <v>30</v>
      </c>
      <c r="P679">
        <v>60</v>
      </c>
      <c r="Q679">
        <v>0.89999999999999991</v>
      </c>
      <c r="R679">
        <v>1.2</v>
      </c>
    </row>
    <row r="680" spans="1:18" x14ac:dyDescent="0.35">
      <c r="A680">
        <v>676</v>
      </c>
      <c r="B680">
        <v>19</v>
      </c>
      <c r="C680">
        <v>7</v>
      </c>
      <c r="D680">
        <v>2023</v>
      </c>
      <c r="E680" t="s">
        <v>1065</v>
      </c>
      <c r="F680" t="s">
        <v>1078</v>
      </c>
      <c r="G680" t="s">
        <v>1061</v>
      </c>
      <c r="H680" s="18">
        <v>45126</v>
      </c>
      <c r="I680" t="s">
        <v>701</v>
      </c>
      <c r="J680" t="s">
        <v>20</v>
      </c>
      <c r="K680" t="s">
        <v>1032</v>
      </c>
      <c r="L680">
        <v>63</v>
      </c>
      <c r="M680" t="s">
        <v>26</v>
      </c>
      <c r="N680">
        <v>3</v>
      </c>
      <c r="O680">
        <v>500</v>
      </c>
      <c r="P680">
        <v>1500</v>
      </c>
      <c r="Q680">
        <v>22.5</v>
      </c>
      <c r="R680">
        <v>30</v>
      </c>
    </row>
    <row r="681" spans="1:18" x14ac:dyDescent="0.35">
      <c r="A681">
        <v>677</v>
      </c>
      <c r="B681">
        <v>27</v>
      </c>
      <c r="C681">
        <v>10</v>
      </c>
      <c r="D681">
        <v>2023</v>
      </c>
      <c r="E681" t="s">
        <v>1070</v>
      </c>
      <c r="F681" t="s">
        <v>1064</v>
      </c>
      <c r="G681" t="s">
        <v>1061</v>
      </c>
      <c r="H681" s="18">
        <v>45226</v>
      </c>
      <c r="I681" t="s">
        <v>702</v>
      </c>
      <c r="J681" t="s">
        <v>23</v>
      </c>
      <c r="K681" t="s">
        <v>1034</v>
      </c>
      <c r="L681">
        <v>19</v>
      </c>
      <c r="M681" t="s">
        <v>21</v>
      </c>
      <c r="N681">
        <v>3</v>
      </c>
      <c r="O681">
        <v>500</v>
      </c>
      <c r="P681">
        <v>1500</v>
      </c>
      <c r="Q681">
        <v>22.5</v>
      </c>
      <c r="R681">
        <v>30</v>
      </c>
    </row>
    <row r="682" spans="1:18" x14ac:dyDescent="0.35">
      <c r="A682">
        <v>678</v>
      </c>
      <c r="B682">
        <v>23</v>
      </c>
      <c r="C682">
        <v>12</v>
      </c>
      <c r="D682">
        <v>2023</v>
      </c>
      <c r="E682" t="s">
        <v>1075</v>
      </c>
      <c r="F682" t="s">
        <v>1062</v>
      </c>
      <c r="G682" t="s">
        <v>1061</v>
      </c>
      <c r="H682" s="18">
        <v>45283</v>
      </c>
      <c r="I682" t="s">
        <v>703</v>
      </c>
      <c r="J682" t="s">
        <v>23</v>
      </c>
      <c r="K682" t="s">
        <v>1032</v>
      </c>
      <c r="L682">
        <v>60</v>
      </c>
      <c r="M682" t="s">
        <v>26</v>
      </c>
      <c r="N682">
        <v>3</v>
      </c>
      <c r="O682">
        <v>300</v>
      </c>
      <c r="P682">
        <v>900</v>
      </c>
      <c r="Q682">
        <v>13.5</v>
      </c>
      <c r="R682">
        <v>18</v>
      </c>
    </row>
    <row r="683" spans="1:18" x14ac:dyDescent="0.35">
      <c r="A683">
        <v>679</v>
      </c>
      <c r="B683">
        <v>11</v>
      </c>
      <c r="C683">
        <v>1</v>
      </c>
      <c r="D683">
        <v>2023</v>
      </c>
      <c r="E683" t="s">
        <v>1065</v>
      </c>
      <c r="F683" t="s">
        <v>1060</v>
      </c>
      <c r="G683" t="s">
        <v>1061</v>
      </c>
      <c r="H683" s="18">
        <v>44937</v>
      </c>
      <c r="I683" t="s">
        <v>704</v>
      </c>
      <c r="J683" t="s">
        <v>23</v>
      </c>
      <c r="K683" t="s">
        <v>1034</v>
      </c>
      <c r="L683">
        <v>18</v>
      </c>
      <c r="M683" t="s">
        <v>21</v>
      </c>
      <c r="N683">
        <v>3</v>
      </c>
      <c r="O683">
        <v>30</v>
      </c>
      <c r="P683">
        <v>90</v>
      </c>
      <c r="Q683">
        <v>1.3499999999999999</v>
      </c>
      <c r="R683">
        <v>1.8</v>
      </c>
    </row>
    <row r="684" spans="1:18" x14ac:dyDescent="0.35">
      <c r="A684">
        <v>680</v>
      </c>
      <c r="B684">
        <v>22</v>
      </c>
      <c r="C684">
        <v>10</v>
      </c>
      <c r="D684">
        <v>2023</v>
      </c>
      <c r="E684" t="s">
        <v>1063</v>
      </c>
      <c r="F684" t="s">
        <v>1064</v>
      </c>
      <c r="G684" t="s">
        <v>1061</v>
      </c>
      <c r="H684" s="18">
        <v>45221</v>
      </c>
      <c r="I684" t="s">
        <v>705</v>
      </c>
      <c r="J684" t="s">
        <v>23</v>
      </c>
      <c r="K684" t="s">
        <v>1032</v>
      </c>
      <c r="L684">
        <v>53</v>
      </c>
      <c r="M684" t="s">
        <v>24</v>
      </c>
      <c r="N684">
        <v>3</v>
      </c>
      <c r="O684">
        <v>300</v>
      </c>
      <c r="P684">
        <v>900</v>
      </c>
      <c r="Q684">
        <v>13.5</v>
      </c>
      <c r="R684">
        <v>18</v>
      </c>
    </row>
    <row r="685" spans="1:18" x14ac:dyDescent="0.35">
      <c r="A685">
        <v>681</v>
      </c>
      <c r="B685">
        <v>14</v>
      </c>
      <c r="C685">
        <v>7</v>
      </c>
      <c r="D685">
        <v>2023</v>
      </c>
      <c r="E685" t="s">
        <v>1070</v>
      </c>
      <c r="F685" t="s">
        <v>1078</v>
      </c>
      <c r="G685" t="s">
        <v>1061</v>
      </c>
      <c r="H685" s="18">
        <v>45121</v>
      </c>
      <c r="I685" t="s">
        <v>706</v>
      </c>
      <c r="J685" t="s">
        <v>23</v>
      </c>
      <c r="K685" t="s">
        <v>1030</v>
      </c>
      <c r="L685">
        <v>43</v>
      </c>
      <c r="M685" t="s">
        <v>26</v>
      </c>
      <c r="N685">
        <v>2</v>
      </c>
      <c r="O685">
        <v>30</v>
      </c>
      <c r="P685">
        <v>60</v>
      </c>
      <c r="Q685">
        <v>0.89999999999999991</v>
      </c>
      <c r="R685">
        <v>1.2</v>
      </c>
    </row>
    <row r="686" spans="1:18" x14ac:dyDescent="0.35">
      <c r="A686">
        <v>682</v>
      </c>
      <c r="B686">
        <v>2</v>
      </c>
      <c r="C686">
        <v>9</v>
      </c>
      <c r="D686">
        <v>2023</v>
      </c>
      <c r="E686" t="s">
        <v>1075</v>
      </c>
      <c r="F686" t="s">
        <v>1071</v>
      </c>
      <c r="G686" t="s">
        <v>1061</v>
      </c>
      <c r="H686" s="18">
        <v>45171</v>
      </c>
      <c r="I686" t="s">
        <v>707</v>
      </c>
      <c r="J686" t="s">
        <v>20</v>
      </c>
      <c r="K686" t="s">
        <v>1030</v>
      </c>
      <c r="L686">
        <v>46</v>
      </c>
      <c r="M686" t="s">
        <v>21</v>
      </c>
      <c r="N686">
        <v>4</v>
      </c>
      <c r="O686">
        <v>300</v>
      </c>
      <c r="P686">
        <v>1200</v>
      </c>
      <c r="Q686">
        <v>18</v>
      </c>
      <c r="R686">
        <v>24</v>
      </c>
    </row>
    <row r="687" spans="1:18" x14ac:dyDescent="0.35">
      <c r="A687">
        <v>683</v>
      </c>
      <c r="B687">
        <v>4</v>
      </c>
      <c r="C687">
        <v>1</v>
      </c>
      <c r="D687">
        <v>2023</v>
      </c>
      <c r="E687" t="s">
        <v>1065</v>
      </c>
      <c r="F687" t="s">
        <v>1060</v>
      </c>
      <c r="G687" t="s">
        <v>1061</v>
      </c>
      <c r="H687" s="18">
        <v>44930</v>
      </c>
      <c r="I687" t="s">
        <v>708</v>
      </c>
      <c r="J687" t="s">
        <v>20</v>
      </c>
      <c r="K687" t="s">
        <v>1030</v>
      </c>
      <c r="L687">
        <v>38</v>
      </c>
      <c r="M687" t="s">
        <v>21</v>
      </c>
      <c r="N687">
        <v>2</v>
      </c>
      <c r="O687">
        <v>500</v>
      </c>
      <c r="P687">
        <v>1000</v>
      </c>
      <c r="Q687">
        <v>15</v>
      </c>
      <c r="R687">
        <v>20</v>
      </c>
    </row>
    <row r="688" spans="1:18" x14ac:dyDescent="0.35">
      <c r="A688">
        <v>684</v>
      </c>
      <c r="B688">
        <v>30</v>
      </c>
      <c r="C688">
        <v>6</v>
      </c>
      <c r="D688">
        <v>2023</v>
      </c>
      <c r="E688" t="s">
        <v>1070</v>
      </c>
      <c r="F688" t="s">
        <v>1069</v>
      </c>
      <c r="G688" t="s">
        <v>1061</v>
      </c>
      <c r="H688" s="18">
        <v>45107</v>
      </c>
      <c r="I688" t="s">
        <v>709</v>
      </c>
      <c r="J688" t="s">
        <v>23</v>
      </c>
      <c r="K688" t="s">
        <v>1034</v>
      </c>
      <c r="L688">
        <v>28</v>
      </c>
      <c r="M688" t="s">
        <v>24</v>
      </c>
      <c r="N688">
        <v>2</v>
      </c>
      <c r="O688">
        <v>500</v>
      </c>
      <c r="P688">
        <v>1000</v>
      </c>
      <c r="Q688">
        <v>15</v>
      </c>
      <c r="R688">
        <v>20</v>
      </c>
    </row>
    <row r="689" spans="1:18" x14ac:dyDescent="0.35">
      <c r="A689">
        <v>685</v>
      </c>
      <c r="B689">
        <v>2</v>
      </c>
      <c r="C689">
        <v>6</v>
      </c>
      <c r="D689">
        <v>2023</v>
      </c>
      <c r="E689" t="s">
        <v>1070</v>
      </c>
      <c r="F689" t="s">
        <v>1069</v>
      </c>
      <c r="G689" t="s">
        <v>1061</v>
      </c>
      <c r="H689" s="18">
        <v>45079</v>
      </c>
      <c r="I689" t="s">
        <v>710</v>
      </c>
      <c r="J689" t="s">
        <v>20</v>
      </c>
      <c r="K689" t="s">
        <v>1032</v>
      </c>
      <c r="L689">
        <v>57</v>
      </c>
      <c r="M689" t="s">
        <v>26</v>
      </c>
      <c r="N689">
        <v>2</v>
      </c>
      <c r="O689">
        <v>25</v>
      </c>
      <c r="P689">
        <v>50</v>
      </c>
      <c r="Q689">
        <v>0.75</v>
      </c>
      <c r="R689">
        <v>1</v>
      </c>
    </row>
    <row r="690" spans="1:18" x14ac:dyDescent="0.35">
      <c r="A690">
        <v>686</v>
      </c>
      <c r="B690">
        <v>19</v>
      </c>
      <c r="C690">
        <v>7</v>
      </c>
      <c r="D690">
        <v>2023</v>
      </c>
      <c r="E690" t="s">
        <v>1065</v>
      </c>
      <c r="F690" t="s">
        <v>1078</v>
      </c>
      <c r="G690" t="s">
        <v>1061</v>
      </c>
      <c r="H690" s="18">
        <v>45126</v>
      </c>
      <c r="I690" t="s">
        <v>711</v>
      </c>
      <c r="J690" t="s">
        <v>23</v>
      </c>
      <c r="K690" t="s">
        <v>1034</v>
      </c>
      <c r="L690">
        <v>28</v>
      </c>
      <c r="M690" t="s">
        <v>26</v>
      </c>
      <c r="N690">
        <v>4</v>
      </c>
      <c r="O690">
        <v>50</v>
      </c>
      <c r="P690">
        <v>200</v>
      </c>
      <c r="Q690">
        <v>3</v>
      </c>
      <c r="R690">
        <v>4</v>
      </c>
    </row>
    <row r="691" spans="1:18" x14ac:dyDescent="0.35">
      <c r="A691">
        <v>687</v>
      </c>
      <c r="B691">
        <v>3</v>
      </c>
      <c r="C691">
        <v>8</v>
      </c>
      <c r="D691">
        <v>2023</v>
      </c>
      <c r="E691" t="s">
        <v>1072</v>
      </c>
      <c r="F691" t="s">
        <v>1074</v>
      </c>
      <c r="G691" t="s">
        <v>1061</v>
      </c>
      <c r="H691" s="18">
        <v>45141</v>
      </c>
      <c r="I691" t="s">
        <v>712</v>
      </c>
      <c r="J691" t="s">
        <v>23</v>
      </c>
      <c r="K691" t="s">
        <v>1032</v>
      </c>
      <c r="L691">
        <v>53</v>
      </c>
      <c r="M691" t="s">
        <v>26</v>
      </c>
      <c r="N691">
        <v>1</v>
      </c>
      <c r="O691">
        <v>300</v>
      </c>
      <c r="P691">
        <v>300</v>
      </c>
      <c r="Q691">
        <v>4.5</v>
      </c>
      <c r="R691">
        <v>6</v>
      </c>
    </row>
    <row r="692" spans="1:18" x14ac:dyDescent="0.35">
      <c r="A692">
        <v>688</v>
      </c>
      <c r="B692">
        <v>3</v>
      </c>
      <c r="C692">
        <v>10</v>
      </c>
      <c r="D692">
        <v>2023</v>
      </c>
      <c r="E692" t="s">
        <v>1059</v>
      </c>
      <c r="F692" t="s">
        <v>1064</v>
      </c>
      <c r="G692" t="s">
        <v>1061</v>
      </c>
      <c r="H692" s="18">
        <v>45202</v>
      </c>
      <c r="I692" t="s">
        <v>713</v>
      </c>
      <c r="J692" t="s">
        <v>20</v>
      </c>
      <c r="K692" t="s">
        <v>1032</v>
      </c>
      <c r="L692">
        <v>56</v>
      </c>
      <c r="M692" t="s">
        <v>24</v>
      </c>
      <c r="N692">
        <v>4</v>
      </c>
      <c r="O692">
        <v>25</v>
      </c>
      <c r="P692">
        <v>100</v>
      </c>
      <c r="Q692">
        <v>1.5</v>
      </c>
      <c r="R692">
        <v>2</v>
      </c>
    </row>
    <row r="693" spans="1:18" x14ac:dyDescent="0.35">
      <c r="A693">
        <v>689</v>
      </c>
      <c r="B693">
        <v>7</v>
      </c>
      <c r="C693">
        <v>10</v>
      </c>
      <c r="D693">
        <v>2023</v>
      </c>
      <c r="E693" t="s">
        <v>1075</v>
      </c>
      <c r="F693" t="s">
        <v>1064</v>
      </c>
      <c r="G693" t="s">
        <v>1061</v>
      </c>
      <c r="H693" s="18">
        <v>45206</v>
      </c>
      <c r="I693" t="s">
        <v>714</v>
      </c>
      <c r="J693" t="s">
        <v>20</v>
      </c>
      <c r="K693" t="s">
        <v>1032</v>
      </c>
      <c r="L693">
        <v>57</v>
      </c>
      <c r="M693" t="s">
        <v>26</v>
      </c>
      <c r="N693">
        <v>2</v>
      </c>
      <c r="O693">
        <v>50</v>
      </c>
      <c r="P693">
        <v>100</v>
      </c>
      <c r="Q693">
        <v>1.5</v>
      </c>
      <c r="R693">
        <v>2</v>
      </c>
    </row>
    <row r="694" spans="1:18" x14ac:dyDescent="0.35">
      <c r="A694">
        <v>690</v>
      </c>
      <c r="B694">
        <v>5</v>
      </c>
      <c r="C694">
        <v>11</v>
      </c>
      <c r="D694">
        <v>2023</v>
      </c>
      <c r="E694" t="s">
        <v>1063</v>
      </c>
      <c r="F694" t="s">
        <v>1068</v>
      </c>
      <c r="G694" t="s">
        <v>1061</v>
      </c>
      <c r="H694" s="18">
        <v>45235</v>
      </c>
      <c r="I694" t="s">
        <v>715</v>
      </c>
      <c r="J694" t="s">
        <v>23</v>
      </c>
      <c r="K694" t="s">
        <v>1032</v>
      </c>
      <c r="L694">
        <v>52</v>
      </c>
      <c r="M694" t="s">
        <v>24</v>
      </c>
      <c r="N694">
        <v>3</v>
      </c>
      <c r="O694">
        <v>300</v>
      </c>
      <c r="P694">
        <v>900</v>
      </c>
      <c r="Q694">
        <v>13.5</v>
      </c>
      <c r="R694">
        <v>18</v>
      </c>
    </row>
    <row r="695" spans="1:18" x14ac:dyDescent="0.35">
      <c r="A695">
        <v>691</v>
      </c>
      <c r="B695">
        <v>23</v>
      </c>
      <c r="C695">
        <v>4</v>
      </c>
      <c r="D695">
        <v>2023</v>
      </c>
      <c r="E695" t="s">
        <v>1063</v>
      </c>
      <c r="F695" t="s">
        <v>1077</v>
      </c>
      <c r="G695" t="s">
        <v>1061</v>
      </c>
      <c r="H695" s="18">
        <v>45039</v>
      </c>
      <c r="I695" t="s">
        <v>716</v>
      </c>
      <c r="J695" t="s">
        <v>23</v>
      </c>
      <c r="K695" t="s">
        <v>1032</v>
      </c>
      <c r="L695">
        <v>51</v>
      </c>
      <c r="M695" t="s">
        <v>24</v>
      </c>
      <c r="N695">
        <v>3</v>
      </c>
      <c r="O695">
        <v>30</v>
      </c>
      <c r="P695">
        <v>90</v>
      </c>
      <c r="Q695">
        <v>1.3499999999999999</v>
      </c>
      <c r="R695">
        <v>1.8</v>
      </c>
    </row>
    <row r="696" spans="1:18" x14ac:dyDescent="0.35">
      <c r="A696">
        <v>692</v>
      </c>
      <c r="B696">
        <v>7</v>
      </c>
      <c r="C696">
        <v>9</v>
      </c>
      <c r="D696">
        <v>2023</v>
      </c>
      <c r="E696" t="s">
        <v>1072</v>
      </c>
      <c r="F696" t="s">
        <v>1071</v>
      </c>
      <c r="G696" t="s">
        <v>1061</v>
      </c>
      <c r="H696" s="18">
        <v>45176</v>
      </c>
      <c r="I696" t="s">
        <v>717</v>
      </c>
      <c r="J696" t="s">
        <v>23</v>
      </c>
      <c r="K696" t="s">
        <v>1032</v>
      </c>
      <c r="L696">
        <v>64</v>
      </c>
      <c r="M696" t="s">
        <v>24</v>
      </c>
      <c r="N696">
        <v>2</v>
      </c>
      <c r="O696">
        <v>50</v>
      </c>
      <c r="P696">
        <v>100</v>
      </c>
      <c r="Q696">
        <v>1.5</v>
      </c>
      <c r="R696">
        <v>2</v>
      </c>
    </row>
    <row r="697" spans="1:18" x14ac:dyDescent="0.35">
      <c r="A697">
        <v>693</v>
      </c>
      <c r="B697">
        <v>23</v>
      </c>
      <c r="C697">
        <v>4</v>
      </c>
      <c r="D697">
        <v>2023</v>
      </c>
      <c r="E697" t="s">
        <v>1063</v>
      </c>
      <c r="F697" t="s">
        <v>1077</v>
      </c>
      <c r="G697" t="s">
        <v>1061</v>
      </c>
      <c r="H697" s="18">
        <v>45039</v>
      </c>
      <c r="I697" t="s">
        <v>718</v>
      </c>
      <c r="J697" t="s">
        <v>20</v>
      </c>
      <c r="K697" t="s">
        <v>1030</v>
      </c>
      <c r="L697">
        <v>41</v>
      </c>
      <c r="M697" t="s">
        <v>21</v>
      </c>
      <c r="N697">
        <v>3</v>
      </c>
      <c r="O697">
        <v>500</v>
      </c>
      <c r="P697">
        <v>1500</v>
      </c>
      <c r="Q697">
        <v>22.5</v>
      </c>
      <c r="R697">
        <v>30</v>
      </c>
    </row>
    <row r="698" spans="1:18" x14ac:dyDescent="0.35">
      <c r="A698">
        <v>694</v>
      </c>
      <c r="B698">
        <v>20</v>
      </c>
      <c r="C698">
        <v>5</v>
      </c>
      <c r="D698">
        <v>2023</v>
      </c>
      <c r="E698" t="s">
        <v>1075</v>
      </c>
      <c r="F698" t="s">
        <v>1076</v>
      </c>
      <c r="G698" t="s">
        <v>1061</v>
      </c>
      <c r="H698" s="18">
        <v>45066</v>
      </c>
      <c r="I698" t="s">
        <v>719</v>
      </c>
      <c r="J698" t="s">
        <v>23</v>
      </c>
      <c r="K698" t="s">
        <v>1030</v>
      </c>
      <c r="L698">
        <v>39</v>
      </c>
      <c r="M698" t="s">
        <v>26</v>
      </c>
      <c r="N698">
        <v>2</v>
      </c>
      <c r="O698">
        <v>25</v>
      </c>
      <c r="P698">
        <v>50</v>
      </c>
      <c r="Q698">
        <v>0.75</v>
      </c>
      <c r="R698">
        <v>1</v>
      </c>
    </row>
    <row r="699" spans="1:18" x14ac:dyDescent="0.35">
      <c r="A699">
        <v>695</v>
      </c>
      <c r="B699">
        <v>12</v>
      </c>
      <c r="C699">
        <v>8</v>
      </c>
      <c r="D699">
        <v>2023</v>
      </c>
      <c r="E699" t="s">
        <v>1075</v>
      </c>
      <c r="F699" t="s">
        <v>1074</v>
      </c>
      <c r="G699" t="s">
        <v>1061</v>
      </c>
      <c r="H699" s="18">
        <v>45150</v>
      </c>
      <c r="I699" t="s">
        <v>720</v>
      </c>
      <c r="J699" t="s">
        <v>23</v>
      </c>
      <c r="K699" t="s">
        <v>1034</v>
      </c>
      <c r="L699">
        <v>22</v>
      </c>
      <c r="M699" t="s">
        <v>26</v>
      </c>
      <c r="N699">
        <v>3</v>
      </c>
      <c r="O699">
        <v>50</v>
      </c>
      <c r="P699">
        <v>150</v>
      </c>
      <c r="Q699">
        <v>2.25</v>
      </c>
      <c r="R699">
        <v>3</v>
      </c>
    </row>
    <row r="700" spans="1:18" x14ac:dyDescent="0.35">
      <c r="A700">
        <v>696</v>
      </c>
      <c r="B700">
        <v>6</v>
      </c>
      <c r="C700">
        <v>9</v>
      </c>
      <c r="D700">
        <v>2023</v>
      </c>
      <c r="E700" t="s">
        <v>1065</v>
      </c>
      <c r="F700" t="s">
        <v>1071</v>
      </c>
      <c r="G700" t="s">
        <v>1061</v>
      </c>
      <c r="H700" s="18">
        <v>45175</v>
      </c>
      <c r="I700" t="s">
        <v>721</v>
      </c>
      <c r="J700" t="s">
        <v>23</v>
      </c>
      <c r="K700" t="s">
        <v>1030</v>
      </c>
      <c r="L700">
        <v>50</v>
      </c>
      <c r="M700" t="s">
        <v>24</v>
      </c>
      <c r="N700">
        <v>4</v>
      </c>
      <c r="O700">
        <v>50</v>
      </c>
      <c r="P700">
        <v>200</v>
      </c>
      <c r="Q700">
        <v>3</v>
      </c>
      <c r="R700">
        <v>4</v>
      </c>
    </row>
    <row r="701" spans="1:18" x14ac:dyDescent="0.35">
      <c r="A701">
        <v>697</v>
      </c>
      <c r="B701">
        <v>15</v>
      </c>
      <c r="C701">
        <v>1</v>
      </c>
      <c r="D701">
        <v>2023</v>
      </c>
      <c r="E701" t="s">
        <v>1063</v>
      </c>
      <c r="F701" t="s">
        <v>1060</v>
      </c>
      <c r="G701" t="s">
        <v>1061</v>
      </c>
      <c r="H701" s="18">
        <v>44941</v>
      </c>
      <c r="I701" t="s">
        <v>722</v>
      </c>
      <c r="J701" t="s">
        <v>20</v>
      </c>
      <c r="K701" t="s">
        <v>1032</v>
      </c>
      <c r="L701">
        <v>53</v>
      </c>
      <c r="M701" t="s">
        <v>24</v>
      </c>
      <c r="N701">
        <v>1</v>
      </c>
      <c r="O701">
        <v>500</v>
      </c>
      <c r="P701">
        <v>500</v>
      </c>
      <c r="Q701">
        <v>7.5</v>
      </c>
      <c r="R701">
        <v>10</v>
      </c>
    </row>
    <row r="702" spans="1:18" x14ac:dyDescent="0.35">
      <c r="A702">
        <v>698</v>
      </c>
      <c r="B702">
        <v>19</v>
      </c>
      <c r="C702">
        <v>7</v>
      </c>
      <c r="D702">
        <v>2023</v>
      </c>
      <c r="E702" t="s">
        <v>1065</v>
      </c>
      <c r="F702" t="s">
        <v>1078</v>
      </c>
      <c r="G702" t="s">
        <v>1061</v>
      </c>
      <c r="H702" s="18">
        <v>45126</v>
      </c>
      <c r="I702" t="s">
        <v>723</v>
      </c>
      <c r="J702" t="s">
        <v>23</v>
      </c>
      <c r="K702" t="s">
        <v>1032</v>
      </c>
      <c r="L702">
        <v>64</v>
      </c>
      <c r="M702" t="s">
        <v>26</v>
      </c>
      <c r="N702">
        <v>1</v>
      </c>
      <c r="O702">
        <v>300</v>
      </c>
      <c r="P702">
        <v>300</v>
      </c>
      <c r="Q702">
        <v>4.5</v>
      </c>
      <c r="R702">
        <v>6</v>
      </c>
    </row>
    <row r="703" spans="1:18" x14ac:dyDescent="0.35">
      <c r="A703">
        <v>699</v>
      </c>
      <c r="B703">
        <v>22</v>
      </c>
      <c r="C703">
        <v>6</v>
      </c>
      <c r="D703">
        <v>2023</v>
      </c>
      <c r="E703" t="s">
        <v>1072</v>
      </c>
      <c r="F703" t="s">
        <v>1069</v>
      </c>
      <c r="G703" t="s">
        <v>1061</v>
      </c>
      <c r="H703" s="18">
        <v>45099</v>
      </c>
      <c r="I703" t="s">
        <v>724</v>
      </c>
      <c r="J703" t="s">
        <v>23</v>
      </c>
      <c r="K703" t="s">
        <v>1030</v>
      </c>
      <c r="L703">
        <v>37</v>
      </c>
      <c r="M703" t="s">
        <v>24</v>
      </c>
      <c r="N703">
        <v>4</v>
      </c>
      <c r="O703">
        <v>30</v>
      </c>
      <c r="P703">
        <v>120</v>
      </c>
      <c r="Q703">
        <v>1.7999999999999998</v>
      </c>
      <c r="R703">
        <v>2.4</v>
      </c>
    </row>
    <row r="704" spans="1:18" x14ac:dyDescent="0.35">
      <c r="A704">
        <v>700</v>
      </c>
      <c r="B704">
        <v>9</v>
      </c>
      <c r="C704">
        <v>12</v>
      </c>
      <c r="D704">
        <v>2023</v>
      </c>
      <c r="E704" t="s">
        <v>1075</v>
      </c>
      <c r="F704" t="s">
        <v>1062</v>
      </c>
      <c r="G704" t="s">
        <v>1061</v>
      </c>
      <c r="H704" s="18">
        <v>45269</v>
      </c>
      <c r="I704" t="s">
        <v>725</v>
      </c>
      <c r="J704" t="s">
        <v>20</v>
      </c>
      <c r="K704" t="s">
        <v>1030</v>
      </c>
      <c r="L704">
        <v>36</v>
      </c>
      <c r="M704" t="s">
        <v>26</v>
      </c>
      <c r="N704">
        <v>4</v>
      </c>
      <c r="O704">
        <v>500</v>
      </c>
      <c r="P704">
        <v>2000</v>
      </c>
      <c r="Q704">
        <v>30</v>
      </c>
      <c r="R704">
        <v>40</v>
      </c>
    </row>
    <row r="705" spans="1:18" x14ac:dyDescent="0.35">
      <c r="A705">
        <v>701</v>
      </c>
      <c r="B705">
        <v>14</v>
      </c>
      <c r="C705">
        <v>12</v>
      </c>
      <c r="D705">
        <v>2023</v>
      </c>
      <c r="E705" t="s">
        <v>1072</v>
      </c>
      <c r="F705" t="s">
        <v>1062</v>
      </c>
      <c r="G705" t="s">
        <v>1061</v>
      </c>
      <c r="H705" s="18">
        <v>45274</v>
      </c>
      <c r="I705" t="s">
        <v>726</v>
      </c>
      <c r="J705" t="s">
        <v>23</v>
      </c>
      <c r="K705" t="s">
        <v>1032</v>
      </c>
      <c r="L705">
        <v>52</v>
      </c>
      <c r="M705" t="s">
        <v>21</v>
      </c>
      <c r="N705">
        <v>2</v>
      </c>
      <c r="O705">
        <v>30</v>
      </c>
      <c r="P705">
        <v>60</v>
      </c>
      <c r="Q705">
        <v>0.89999999999999991</v>
      </c>
      <c r="R705">
        <v>1.2</v>
      </c>
    </row>
    <row r="706" spans="1:18" x14ac:dyDescent="0.35">
      <c r="A706">
        <v>702</v>
      </c>
      <c r="B706">
        <v>27</v>
      </c>
      <c r="C706">
        <v>7</v>
      </c>
      <c r="D706">
        <v>2023</v>
      </c>
      <c r="E706" t="s">
        <v>1072</v>
      </c>
      <c r="F706" t="s">
        <v>1078</v>
      </c>
      <c r="G706" t="s">
        <v>1061</v>
      </c>
      <c r="H706" s="18">
        <v>45134</v>
      </c>
      <c r="I706" t="s">
        <v>727</v>
      </c>
      <c r="J706" t="s">
        <v>23</v>
      </c>
      <c r="K706" t="s">
        <v>1032</v>
      </c>
      <c r="L706">
        <v>60</v>
      </c>
      <c r="M706" t="s">
        <v>24</v>
      </c>
      <c r="N706">
        <v>2</v>
      </c>
      <c r="O706">
        <v>300</v>
      </c>
      <c r="P706">
        <v>600</v>
      </c>
      <c r="Q706">
        <v>9</v>
      </c>
      <c r="R706">
        <v>12</v>
      </c>
    </row>
    <row r="707" spans="1:18" x14ac:dyDescent="0.35">
      <c r="A707">
        <v>703</v>
      </c>
      <c r="B707">
        <v>26</v>
      </c>
      <c r="C707">
        <v>3</v>
      </c>
      <c r="D707">
        <v>2023</v>
      </c>
      <c r="E707" t="s">
        <v>1063</v>
      </c>
      <c r="F707" t="s">
        <v>1066</v>
      </c>
      <c r="G707" t="s">
        <v>1061</v>
      </c>
      <c r="H707" s="18">
        <v>45011</v>
      </c>
      <c r="I707" t="s">
        <v>728</v>
      </c>
      <c r="J707" t="s">
        <v>20</v>
      </c>
      <c r="K707" t="s">
        <v>1030</v>
      </c>
      <c r="L707">
        <v>34</v>
      </c>
      <c r="M707" t="s">
        <v>26</v>
      </c>
      <c r="N707">
        <v>2</v>
      </c>
      <c r="O707">
        <v>50</v>
      </c>
      <c r="P707">
        <v>100</v>
      </c>
      <c r="Q707">
        <v>1.5</v>
      </c>
      <c r="R707">
        <v>2</v>
      </c>
    </row>
    <row r="708" spans="1:18" x14ac:dyDescent="0.35">
      <c r="A708">
        <v>704</v>
      </c>
      <c r="B708">
        <v>28</v>
      </c>
      <c r="C708">
        <v>8</v>
      </c>
      <c r="D708">
        <v>2023</v>
      </c>
      <c r="E708" t="s">
        <v>1067</v>
      </c>
      <c r="F708" t="s">
        <v>1074</v>
      </c>
      <c r="G708" t="s">
        <v>1061</v>
      </c>
      <c r="H708" s="18">
        <v>45166</v>
      </c>
      <c r="I708" t="s">
        <v>729</v>
      </c>
      <c r="J708" t="s">
        <v>23</v>
      </c>
      <c r="K708" t="s">
        <v>1032</v>
      </c>
      <c r="L708">
        <v>62</v>
      </c>
      <c r="M708" t="s">
        <v>24</v>
      </c>
      <c r="N708">
        <v>3</v>
      </c>
      <c r="O708">
        <v>30</v>
      </c>
      <c r="P708">
        <v>90</v>
      </c>
      <c r="Q708">
        <v>1.3499999999999999</v>
      </c>
      <c r="R708">
        <v>1.8</v>
      </c>
    </row>
    <row r="709" spans="1:18" x14ac:dyDescent="0.35">
      <c r="A709">
        <v>705</v>
      </c>
      <c r="B709">
        <v>7</v>
      </c>
      <c r="C709">
        <v>3</v>
      </c>
      <c r="D709">
        <v>2023</v>
      </c>
      <c r="E709" t="s">
        <v>1059</v>
      </c>
      <c r="F709" t="s">
        <v>1066</v>
      </c>
      <c r="G709" t="s">
        <v>1061</v>
      </c>
      <c r="H709" s="18">
        <v>44992</v>
      </c>
      <c r="I709" t="s">
        <v>730</v>
      </c>
      <c r="J709" t="s">
        <v>20</v>
      </c>
      <c r="K709" t="s">
        <v>1032</v>
      </c>
      <c r="L709">
        <v>60</v>
      </c>
      <c r="M709" t="s">
        <v>26</v>
      </c>
      <c r="N709">
        <v>2</v>
      </c>
      <c r="O709">
        <v>25</v>
      </c>
      <c r="P709">
        <v>50</v>
      </c>
      <c r="Q709">
        <v>0.75</v>
      </c>
      <c r="R709">
        <v>1</v>
      </c>
    </row>
    <row r="710" spans="1:18" x14ac:dyDescent="0.35">
      <c r="A710">
        <v>706</v>
      </c>
      <c r="B710">
        <v>15</v>
      </c>
      <c r="C710">
        <v>11</v>
      </c>
      <c r="D710">
        <v>2023</v>
      </c>
      <c r="E710" t="s">
        <v>1065</v>
      </c>
      <c r="F710" t="s">
        <v>1068</v>
      </c>
      <c r="G710" t="s">
        <v>1061</v>
      </c>
      <c r="H710" s="18">
        <v>45245</v>
      </c>
      <c r="I710" t="s">
        <v>731</v>
      </c>
      <c r="J710" t="s">
        <v>20</v>
      </c>
      <c r="K710" t="s">
        <v>1032</v>
      </c>
      <c r="L710">
        <v>51</v>
      </c>
      <c r="M710" t="s">
        <v>26</v>
      </c>
      <c r="N710">
        <v>4</v>
      </c>
      <c r="O710">
        <v>25</v>
      </c>
      <c r="P710">
        <v>100</v>
      </c>
      <c r="Q710">
        <v>1.5</v>
      </c>
      <c r="R710">
        <v>2</v>
      </c>
    </row>
    <row r="711" spans="1:18" x14ac:dyDescent="0.35">
      <c r="A711">
        <v>707</v>
      </c>
      <c r="B711">
        <v>1</v>
      </c>
      <c r="C711">
        <v>10</v>
      </c>
      <c r="D711">
        <v>2023</v>
      </c>
      <c r="E711" t="s">
        <v>1063</v>
      </c>
      <c r="F711" t="s">
        <v>1064</v>
      </c>
      <c r="G711" t="s">
        <v>1061</v>
      </c>
      <c r="H711" s="18">
        <v>45200</v>
      </c>
      <c r="I711" t="s">
        <v>732</v>
      </c>
      <c r="J711" t="s">
        <v>23</v>
      </c>
      <c r="K711" t="s">
        <v>1034</v>
      </c>
      <c r="L711">
        <v>26</v>
      </c>
      <c r="M711" t="s">
        <v>24</v>
      </c>
      <c r="N711">
        <v>1</v>
      </c>
      <c r="O711">
        <v>500</v>
      </c>
      <c r="P711">
        <v>500</v>
      </c>
      <c r="Q711">
        <v>7.5</v>
      </c>
      <c r="R711">
        <v>10</v>
      </c>
    </row>
    <row r="712" spans="1:18" x14ac:dyDescent="0.35">
      <c r="A712">
        <v>708</v>
      </c>
      <c r="B712">
        <v>14</v>
      </c>
      <c r="C712">
        <v>1</v>
      </c>
      <c r="D712">
        <v>2023</v>
      </c>
      <c r="E712" t="s">
        <v>1075</v>
      </c>
      <c r="F712" t="s">
        <v>1060</v>
      </c>
      <c r="G712" t="s">
        <v>1061</v>
      </c>
      <c r="H712" s="18">
        <v>44940</v>
      </c>
      <c r="I712" t="s">
        <v>733</v>
      </c>
      <c r="J712" t="s">
        <v>23</v>
      </c>
      <c r="K712" t="s">
        <v>1030</v>
      </c>
      <c r="L712">
        <v>43</v>
      </c>
      <c r="M712" t="s">
        <v>21</v>
      </c>
      <c r="N712">
        <v>3</v>
      </c>
      <c r="O712">
        <v>300</v>
      </c>
      <c r="P712">
        <v>900</v>
      </c>
      <c r="Q712">
        <v>13.5</v>
      </c>
      <c r="R712">
        <v>18</v>
      </c>
    </row>
    <row r="713" spans="1:18" x14ac:dyDescent="0.35">
      <c r="A713">
        <v>709</v>
      </c>
      <c r="B713">
        <v>21</v>
      </c>
      <c r="C713">
        <v>7</v>
      </c>
      <c r="D713">
        <v>2023</v>
      </c>
      <c r="E713" t="s">
        <v>1070</v>
      </c>
      <c r="F713" t="s">
        <v>1078</v>
      </c>
      <c r="G713" t="s">
        <v>1061</v>
      </c>
      <c r="H713" s="18">
        <v>45128</v>
      </c>
      <c r="I713" t="s">
        <v>734</v>
      </c>
      <c r="J713" t="s">
        <v>23</v>
      </c>
      <c r="K713" t="s">
        <v>1034</v>
      </c>
      <c r="L713">
        <v>19</v>
      </c>
      <c r="M713" t="s">
        <v>26</v>
      </c>
      <c r="N713">
        <v>2</v>
      </c>
      <c r="O713">
        <v>500</v>
      </c>
      <c r="P713">
        <v>1000</v>
      </c>
      <c r="Q713">
        <v>15</v>
      </c>
      <c r="R713">
        <v>20</v>
      </c>
    </row>
    <row r="714" spans="1:18" x14ac:dyDescent="0.35">
      <c r="A714">
        <v>710</v>
      </c>
      <c r="B714">
        <v>31</v>
      </c>
      <c r="C714">
        <v>10</v>
      </c>
      <c r="D714">
        <v>2023</v>
      </c>
      <c r="E714" t="s">
        <v>1059</v>
      </c>
      <c r="F714" t="s">
        <v>1064</v>
      </c>
      <c r="G714" t="s">
        <v>1061</v>
      </c>
      <c r="H714" s="18">
        <v>45230</v>
      </c>
      <c r="I714" t="s">
        <v>735</v>
      </c>
      <c r="J714" t="s">
        <v>23</v>
      </c>
      <c r="K714" t="s">
        <v>1034</v>
      </c>
      <c r="L714">
        <v>26</v>
      </c>
      <c r="M714" t="s">
        <v>26</v>
      </c>
      <c r="N714">
        <v>3</v>
      </c>
      <c r="O714">
        <v>500</v>
      </c>
      <c r="P714">
        <v>1500</v>
      </c>
      <c r="Q714">
        <v>22.5</v>
      </c>
      <c r="R714">
        <v>30</v>
      </c>
    </row>
    <row r="715" spans="1:18" x14ac:dyDescent="0.35">
      <c r="A715">
        <v>711</v>
      </c>
      <c r="B715">
        <v>16</v>
      </c>
      <c r="C715">
        <v>10</v>
      </c>
      <c r="D715">
        <v>2023</v>
      </c>
      <c r="E715" t="s">
        <v>1067</v>
      </c>
      <c r="F715" t="s">
        <v>1064</v>
      </c>
      <c r="G715" t="s">
        <v>1061</v>
      </c>
      <c r="H715" s="18">
        <v>45215</v>
      </c>
      <c r="I715" t="s">
        <v>736</v>
      </c>
      <c r="J715" t="s">
        <v>20</v>
      </c>
      <c r="K715" t="s">
        <v>1034</v>
      </c>
      <c r="L715">
        <v>26</v>
      </c>
      <c r="M715" t="s">
        <v>26</v>
      </c>
      <c r="N715">
        <v>3</v>
      </c>
      <c r="O715">
        <v>500</v>
      </c>
      <c r="P715">
        <v>1500</v>
      </c>
      <c r="Q715">
        <v>22.5</v>
      </c>
      <c r="R715">
        <v>30</v>
      </c>
    </row>
    <row r="716" spans="1:18" x14ac:dyDescent="0.35">
      <c r="A716">
        <v>712</v>
      </c>
      <c r="B716">
        <v>6</v>
      </c>
      <c r="C716">
        <v>12</v>
      </c>
      <c r="D716">
        <v>2023</v>
      </c>
      <c r="E716" t="s">
        <v>1065</v>
      </c>
      <c r="F716" t="s">
        <v>1062</v>
      </c>
      <c r="G716" t="s">
        <v>1061</v>
      </c>
      <c r="H716" s="18">
        <v>45266</v>
      </c>
      <c r="I716" t="s">
        <v>737</v>
      </c>
      <c r="J716" t="s">
        <v>23</v>
      </c>
      <c r="K716" t="s">
        <v>1032</v>
      </c>
      <c r="L716">
        <v>57</v>
      </c>
      <c r="M716" t="s">
        <v>21</v>
      </c>
      <c r="N716">
        <v>2</v>
      </c>
      <c r="O716">
        <v>25</v>
      </c>
      <c r="P716">
        <v>50</v>
      </c>
      <c r="Q716">
        <v>0.75</v>
      </c>
      <c r="R716">
        <v>1</v>
      </c>
    </row>
    <row r="717" spans="1:18" x14ac:dyDescent="0.35">
      <c r="A717">
        <v>713</v>
      </c>
      <c r="B717">
        <v>14</v>
      </c>
      <c r="C717">
        <v>1</v>
      </c>
      <c r="D717">
        <v>2023</v>
      </c>
      <c r="E717" t="s">
        <v>1075</v>
      </c>
      <c r="F717" t="s">
        <v>1060</v>
      </c>
      <c r="G717" t="s">
        <v>1061</v>
      </c>
      <c r="H717" s="18">
        <v>44940</v>
      </c>
      <c r="I717" t="s">
        <v>738</v>
      </c>
      <c r="J717" t="s">
        <v>20</v>
      </c>
      <c r="K717" t="s">
        <v>1030</v>
      </c>
      <c r="L717">
        <v>34</v>
      </c>
      <c r="M717" t="s">
        <v>21</v>
      </c>
      <c r="N717">
        <v>3</v>
      </c>
      <c r="O717">
        <v>25</v>
      </c>
      <c r="P717">
        <v>75</v>
      </c>
      <c r="Q717">
        <v>1.125</v>
      </c>
      <c r="R717">
        <v>1.5</v>
      </c>
    </row>
    <row r="718" spans="1:18" x14ac:dyDescent="0.35">
      <c r="A718">
        <v>714</v>
      </c>
      <c r="B718">
        <v>12</v>
      </c>
      <c r="C718">
        <v>2</v>
      </c>
      <c r="D718">
        <v>2023</v>
      </c>
      <c r="E718" t="s">
        <v>1063</v>
      </c>
      <c r="F718" t="s">
        <v>1073</v>
      </c>
      <c r="G718" t="s">
        <v>1061</v>
      </c>
      <c r="H718" s="18">
        <v>44969</v>
      </c>
      <c r="I718" t="s">
        <v>739</v>
      </c>
      <c r="J718" t="s">
        <v>23</v>
      </c>
      <c r="K718" t="s">
        <v>1034</v>
      </c>
      <c r="L718">
        <v>18</v>
      </c>
      <c r="M718" t="s">
        <v>24</v>
      </c>
      <c r="N718">
        <v>1</v>
      </c>
      <c r="O718">
        <v>500</v>
      </c>
      <c r="P718">
        <v>500</v>
      </c>
      <c r="Q718">
        <v>7.5</v>
      </c>
      <c r="R718">
        <v>10</v>
      </c>
    </row>
    <row r="719" spans="1:18" x14ac:dyDescent="0.35">
      <c r="A719">
        <v>715</v>
      </c>
      <c r="B719">
        <v>26</v>
      </c>
      <c r="C719">
        <v>11</v>
      </c>
      <c r="D719">
        <v>2023</v>
      </c>
      <c r="E719" t="s">
        <v>1063</v>
      </c>
      <c r="F719" t="s">
        <v>1068</v>
      </c>
      <c r="G719" t="s">
        <v>1061</v>
      </c>
      <c r="H719" s="18">
        <v>45256</v>
      </c>
      <c r="I719" t="s">
        <v>740</v>
      </c>
      <c r="J719" t="s">
        <v>23</v>
      </c>
      <c r="K719" t="s">
        <v>1030</v>
      </c>
      <c r="L719">
        <v>42</v>
      </c>
      <c r="M719" t="s">
        <v>21</v>
      </c>
      <c r="N719">
        <v>4</v>
      </c>
      <c r="O719">
        <v>25</v>
      </c>
      <c r="P719">
        <v>100</v>
      </c>
      <c r="Q719">
        <v>1.5</v>
      </c>
      <c r="R719">
        <v>2</v>
      </c>
    </row>
    <row r="720" spans="1:18" x14ac:dyDescent="0.35">
      <c r="A720">
        <v>716</v>
      </c>
      <c r="B720">
        <v>8</v>
      </c>
      <c r="C720">
        <v>8</v>
      </c>
      <c r="D720">
        <v>2023</v>
      </c>
      <c r="E720" t="s">
        <v>1059</v>
      </c>
      <c r="F720" t="s">
        <v>1074</v>
      </c>
      <c r="G720" t="s">
        <v>1061</v>
      </c>
      <c r="H720" s="18">
        <v>45146</v>
      </c>
      <c r="I720" t="s">
        <v>741</v>
      </c>
      <c r="J720" t="s">
        <v>23</v>
      </c>
      <c r="K720" t="s">
        <v>1032</v>
      </c>
      <c r="L720">
        <v>60</v>
      </c>
      <c r="M720" t="s">
        <v>24</v>
      </c>
      <c r="N720">
        <v>4</v>
      </c>
      <c r="O720">
        <v>300</v>
      </c>
      <c r="P720">
        <v>1200</v>
      </c>
      <c r="Q720">
        <v>18</v>
      </c>
      <c r="R720">
        <v>24</v>
      </c>
    </row>
    <row r="721" spans="1:18" x14ac:dyDescent="0.35">
      <c r="A721">
        <v>717</v>
      </c>
      <c r="B721">
        <v>11</v>
      </c>
      <c r="C721">
        <v>3</v>
      </c>
      <c r="D721">
        <v>2023</v>
      </c>
      <c r="E721" t="s">
        <v>1075</v>
      </c>
      <c r="F721" t="s">
        <v>1066</v>
      </c>
      <c r="G721" t="s">
        <v>1061</v>
      </c>
      <c r="H721" s="18">
        <v>44996</v>
      </c>
      <c r="I721" t="s">
        <v>742</v>
      </c>
      <c r="J721" t="s">
        <v>20</v>
      </c>
      <c r="K721" t="s">
        <v>1032</v>
      </c>
      <c r="L721">
        <v>57</v>
      </c>
      <c r="M721" t="s">
        <v>24</v>
      </c>
      <c r="N721">
        <v>1</v>
      </c>
      <c r="O721">
        <v>500</v>
      </c>
      <c r="P721">
        <v>500</v>
      </c>
      <c r="Q721">
        <v>7.5</v>
      </c>
      <c r="R721">
        <v>10</v>
      </c>
    </row>
    <row r="722" spans="1:18" x14ac:dyDescent="0.35">
      <c r="A722">
        <v>718</v>
      </c>
      <c r="B722">
        <v>25</v>
      </c>
      <c r="C722">
        <v>8</v>
      </c>
      <c r="D722">
        <v>2023</v>
      </c>
      <c r="E722" t="s">
        <v>1070</v>
      </c>
      <c r="F722" t="s">
        <v>1074</v>
      </c>
      <c r="G722" t="s">
        <v>1061</v>
      </c>
      <c r="H722" s="18">
        <v>45163</v>
      </c>
      <c r="I722" t="s">
        <v>743</v>
      </c>
      <c r="J722" t="s">
        <v>23</v>
      </c>
      <c r="K722" t="s">
        <v>1032</v>
      </c>
      <c r="L722">
        <v>59</v>
      </c>
      <c r="M722" t="s">
        <v>21</v>
      </c>
      <c r="N722">
        <v>3</v>
      </c>
      <c r="O722">
        <v>25</v>
      </c>
      <c r="P722">
        <v>75</v>
      </c>
      <c r="Q722">
        <v>1.125</v>
      </c>
      <c r="R722">
        <v>1.5</v>
      </c>
    </row>
    <row r="723" spans="1:18" x14ac:dyDescent="0.35">
      <c r="A723">
        <v>719</v>
      </c>
      <c r="B723">
        <v>4</v>
      </c>
      <c r="C723">
        <v>4</v>
      </c>
      <c r="D723">
        <v>2023</v>
      </c>
      <c r="E723" t="s">
        <v>1059</v>
      </c>
      <c r="F723" t="s">
        <v>1077</v>
      </c>
      <c r="G723" t="s">
        <v>1061</v>
      </c>
      <c r="H723" s="18">
        <v>45020</v>
      </c>
      <c r="I723" t="s">
        <v>744</v>
      </c>
      <c r="J723" t="s">
        <v>23</v>
      </c>
      <c r="K723" t="s">
        <v>1030</v>
      </c>
      <c r="L723">
        <v>42</v>
      </c>
      <c r="M723" t="s">
        <v>24</v>
      </c>
      <c r="N723">
        <v>2</v>
      </c>
      <c r="O723">
        <v>30</v>
      </c>
      <c r="P723">
        <v>60</v>
      </c>
      <c r="Q723">
        <v>0.89999999999999991</v>
      </c>
      <c r="R723">
        <v>1.2</v>
      </c>
    </row>
    <row r="724" spans="1:18" x14ac:dyDescent="0.35">
      <c r="A724">
        <v>720</v>
      </c>
      <c r="B724">
        <v>26</v>
      </c>
      <c r="C724">
        <v>1</v>
      </c>
      <c r="D724">
        <v>2023</v>
      </c>
      <c r="E724" t="s">
        <v>1072</v>
      </c>
      <c r="F724" t="s">
        <v>1060</v>
      </c>
      <c r="G724" t="s">
        <v>1061</v>
      </c>
      <c r="H724" s="18">
        <v>44952</v>
      </c>
      <c r="I724" t="s">
        <v>745</v>
      </c>
      <c r="J724" t="s">
        <v>23</v>
      </c>
      <c r="K724" t="s">
        <v>1032</v>
      </c>
      <c r="L724">
        <v>56</v>
      </c>
      <c r="M724" t="s">
        <v>21</v>
      </c>
      <c r="N724">
        <v>3</v>
      </c>
      <c r="O724">
        <v>500</v>
      </c>
      <c r="P724">
        <v>1500</v>
      </c>
      <c r="Q724">
        <v>22.5</v>
      </c>
      <c r="R724">
        <v>30</v>
      </c>
    </row>
    <row r="725" spans="1:18" x14ac:dyDescent="0.35">
      <c r="A725">
        <v>721</v>
      </c>
      <c r="B725">
        <v>14</v>
      </c>
      <c r="C725">
        <v>5</v>
      </c>
      <c r="D725">
        <v>2023</v>
      </c>
      <c r="E725" t="s">
        <v>1063</v>
      </c>
      <c r="F725" t="s">
        <v>1076</v>
      </c>
      <c r="G725" t="s">
        <v>1061</v>
      </c>
      <c r="H725" s="18">
        <v>45060</v>
      </c>
      <c r="I725" t="s">
        <v>746</v>
      </c>
      <c r="J725" t="s">
        <v>23</v>
      </c>
      <c r="K725" t="s">
        <v>1032</v>
      </c>
      <c r="L725">
        <v>52</v>
      </c>
      <c r="M725" t="s">
        <v>24</v>
      </c>
      <c r="N725">
        <v>1</v>
      </c>
      <c r="O725">
        <v>500</v>
      </c>
      <c r="P725">
        <v>500</v>
      </c>
      <c r="Q725">
        <v>7.5</v>
      </c>
      <c r="R725">
        <v>10</v>
      </c>
    </row>
    <row r="726" spans="1:18" x14ac:dyDescent="0.35">
      <c r="A726">
        <v>722</v>
      </c>
      <c r="B726">
        <v>14</v>
      </c>
      <c r="C726">
        <v>7</v>
      </c>
      <c r="D726">
        <v>2023</v>
      </c>
      <c r="E726" t="s">
        <v>1070</v>
      </c>
      <c r="F726" t="s">
        <v>1078</v>
      </c>
      <c r="G726" t="s">
        <v>1061</v>
      </c>
      <c r="H726" s="18">
        <v>45121</v>
      </c>
      <c r="I726" t="s">
        <v>747</v>
      </c>
      <c r="J726" t="s">
        <v>20</v>
      </c>
      <c r="K726" t="s">
        <v>1034</v>
      </c>
      <c r="L726">
        <v>20</v>
      </c>
      <c r="M726" t="s">
        <v>21</v>
      </c>
      <c r="N726">
        <v>3</v>
      </c>
      <c r="O726">
        <v>300</v>
      </c>
      <c r="P726">
        <v>900</v>
      </c>
      <c r="Q726">
        <v>13.5</v>
      </c>
      <c r="R726">
        <v>18</v>
      </c>
    </row>
    <row r="727" spans="1:18" x14ac:dyDescent="0.35">
      <c r="A727">
        <v>723</v>
      </c>
      <c r="B727">
        <v>17</v>
      </c>
      <c r="C727">
        <v>6</v>
      </c>
      <c r="D727">
        <v>2023</v>
      </c>
      <c r="E727" t="s">
        <v>1075</v>
      </c>
      <c r="F727" t="s">
        <v>1069</v>
      </c>
      <c r="G727" t="s">
        <v>1061</v>
      </c>
      <c r="H727" s="18">
        <v>45094</v>
      </c>
      <c r="I727" t="s">
        <v>748</v>
      </c>
      <c r="J727" t="s">
        <v>23</v>
      </c>
      <c r="K727" t="s">
        <v>1032</v>
      </c>
      <c r="L727">
        <v>54</v>
      </c>
      <c r="M727" t="s">
        <v>21</v>
      </c>
      <c r="N727">
        <v>4</v>
      </c>
      <c r="O727">
        <v>50</v>
      </c>
      <c r="P727">
        <v>200</v>
      </c>
      <c r="Q727">
        <v>3</v>
      </c>
      <c r="R727">
        <v>4</v>
      </c>
    </row>
    <row r="728" spans="1:18" x14ac:dyDescent="0.35">
      <c r="A728">
        <v>724</v>
      </c>
      <c r="B728">
        <v>19</v>
      </c>
      <c r="C728">
        <v>4</v>
      </c>
      <c r="D728">
        <v>2023</v>
      </c>
      <c r="E728" t="s">
        <v>1065</v>
      </c>
      <c r="F728" t="s">
        <v>1077</v>
      </c>
      <c r="G728" t="s">
        <v>1061</v>
      </c>
      <c r="H728" s="18">
        <v>45035</v>
      </c>
      <c r="I728" t="s">
        <v>749</v>
      </c>
      <c r="J728" t="s">
        <v>20</v>
      </c>
      <c r="K728" t="s">
        <v>1032</v>
      </c>
      <c r="L728">
        <v>61</v>
      </c>
      <c r="M728" t="s">
        <v>24</v>
      </c>
      <c r="N728">
        <v>3</v>
      </c>
      <c r="O728">
        <v>50</v>
      </c>
      <c r="P728">
        <v>150</v>
      </c>
      <c r="Q728">
        <v>2.25</v>
      </c>
      <c r="R728">
        <v>3</v>
      </c>
    </row>
    <row r="729" spans="1:18" x14ac:dyDescent="0.35">
      <c r="A729">
        <v>725</v>
      </c>
      <c r="B729">
        <v>21</v>
      </c>
      <c r="C729">
        <v>8</v>
      </c>
      <c r="D729">
        <v>2023</v>
      </c>
      <c r="E729" t="s">
        <v>1067</v>
      </c>
      <c r="F729" t="s">
        <v>1074</v>
      </c>
      <c r="G729" t="s">
        <v>1061</v>
      </c>
      <c r="H729" s="18">
        <v>45159</v>
      </c>
      <c r="I729" t="s">
        <v>750</v>
      </c>
      <c r="J729" t="s">
        <v>20</v>
      </c>
      <c r="K729" t="s">
        <v>1032</v>
      </c>
      <c r="L729">
        <v>61</v>
      </c>
      <c r="M729" t="s">
        <v>26</v>
      </c>
      <c r="N729">
        <v>1</v>
      </c>
      <c r="O729">
        <v>300</v>
      </c>
      <c r="P729">
        <v>300</v>
      </c>
      <c r="Q729">
        <v>4.5</v>
      </c>
      <c r="R729">
        <v>6</v>
      </c>
    </row>
    <row r="730" spans="1:18" x14ac:dyDescent="0.35">
      <c r="A730">
        <v>726</v>
      </c>
      <c r="B730">
        <v>17</v>
      </c>
      <c r="C730">
        <v>6</v>
      </c>
      <c r="D730">
        <v>2023</v>
      </c>
      <c r="E730" t="s">
        <v>1075</v>
      </c>
      <c r="F730" t="s">
        <v>1069</v>
      </c>
      <c r="G730" t="s">
        <v>1061</v>
      </c>
      <c r="H730" s="18">
        <v>45094</v>
      </c>
      <c r="I730" t="s">
        <v>751</v>
      </c>
      <c r="J730" t="s">
        <v>20</v>
      </c>
      <c r="K730" t="s">
        <v>1030</v>
      </c>
      <c r="L730">
        <v>47</v>
      </c>
      <c r="M730" t="s">
        <v>24</v>
      </c>
      <c r="N730">
        <v>4</v>
      </c>
      <c r="O730">
        <v>300</v>
      </c>
      <c r="P730">
        <v>1200</v>
      </c>
      <c r="Q730">
        <v>18</v>
      </c>
      <c r="R730">
        <v>24</v>
      </c>
    </row>
    <row r="731" spans="1:18" x14ac:dyDescent="0.35">
      <c r="A731">
        <v>727</v>
      </c>
      <c r="B731">
        <v>22</v>
      </c>
      <c r="C731">
        <v>6</v>
      </c>
      <c r="D731">
        <v>2023</v>
      </c>
      <c r="E731" t="s">
        <v>1072</v>
      </c>
      <c r="F731" t="s">
        <v>1069</v>
      </c>
      <c r="G731" t="s">
        <v>1061</v>
      </c>
      <c r="H731" s="18">
        <v>45099</v>
      </c>
      <c r="I731" t="s">
        <v>752</v>
      </c>
      <c r="J731" t="s">
        <v>20</v>
      </c>
      <c r="K731" t="s">
        <v>1032</v>
      </c>
      <c r="L731">
        <v>55</v>
      </c>
      <c r="M731" t="s">
        <v>21</v>
      </c>
      <c r="N731">
        <v>3</v>
      </c>
      <c r="O731">
        <v>300</v>
      </c>
      <c r="P731">
        <v>900</v>
      </c>
      <c r="Q731">
        <v>13.5</v>
      </c>
      <c r="R731">
        <v>18</v>
      </c>
    </row>
    <row r="732" spans="1:18" x14ac:dyDescent="0.35">
      <c r="A732">
        <v>728</v>
      </c>
      <c r="B732">
        <v>14</v>
      </c>
      <c r="C732">
        <v>7</v>
      </c>
      <c r="D732">
        <v>2023</v>
      </c>
      <c r="E732" t="s">
        <v>1070</v>
      </c>
      <c r="F732" t="s">
        <v>1078</v>
      </c>
      <c r="G732" t="s">
        <v>1061</v>
      </c>
      <c r="H732" s="18">
        <v>45121</v>
      </c>
      <c r="I732" t="s">
        <v>753</v>
      </c>
      <c r="J732" t="s">
        <v>20</v>
      </c>
      <c r="K732" t="s">
        <v>1032</v>
      </c>
      <c r="L732">
        <v>51</v>
      </c>
      <c r="M732" t="s">
        <v>26</v>
      </c>
      <c r="N732">
        <v>3</v>
      </c>
      <c r="O732">
        <v>50</v>
      </c>
      <c r="P732">
        <v>150</v>
      </c>
      <c r="Q732">
        <v>2.25</v>
      </c>
      <c r="R732">
        <v>3</v>
      </c>
    </row>
    <row r="733" spans="1:18" x14ac:dyDescent="0.35">
      <c r="A733">
        <v>729</v>
      </c>
      <c r="B733">
        <v>23</v>
      </c>
      <c r="C733">
        <v>5</v>
      </c>
      <c r="D733">
        <v>2023</v>
      </c>
      <c r="E733" t="s">
        <v>1059</v>
      </c>
      <c r="F733" t="s">
        <v>1076</v>
      </c>
      <c r="G733" t="s">
        <v>1061</v>
      </c>
      <c r="H733" s="18">
        <v>45069</v>
      </c>
      <c r="I733" t="s">
        <v>754</v>
      </c>
      <c r="J733" t="s">
        <v>20</v>
      </c>
      <c r="K733" t="s">
        <v>1034</v>
      </c>
      <c r="L733">
        <v>29</v>
      </c>
      <c r="M733" t="s">
        <v>24</v>
      </c>
      <c r="N733">
        <v>4</v>
      </c>
      <c r="O733">
        <v>300</v>
      </c>
      <c r="P733">
        <v>1200</v>
      </c>
      <c r="Q733">
        <v>18</v>
      </c>
      <c r="R733">
        <v>24</v>
      </c>
    </row>
    <row r="734" spans="1:18" x14ac:dyDescent="0.35">
      <c r="A734">
        <v>730</v>
      </c>
      <c r="B734">
        <v>4</v>
      </c>
      <c r="C734">
        <v>8</v>
      </c>
      <c r="D734">
        <v>2023</v>
      </c>
      <c r="E734" t="s">
        <v>1070</v>
      </c>
      <c r="F734" t="s">
        <v>1074</v>
      </c>
      <c r="G734" t="s">
        <v>1061</v>
      </c>
      <c r="H734" s="18">
        <v>45142</v>
      </c>
      <c r="I734" t="s">
        <v>755</v>
      </c>
      <c r="J734" t="s">
        <v>23</v>
      </c>
      <c r="K734" t="s">
        <v>1030</v>
      </c>
      <c r="L734">
        <v>36</v>
      </c>
      <c r="M734" t="s">
        <v>24</v>
      </c>
      <c r="N734">
        <v>2</v>
      </c>
      <c r="O734">
        <v>25</v>
      </c>
      <c r="P734">
        <v>50</v>
      </c>
      <c r="Q734">
        <v>0.75</v>
      </c>
      <c r="R734">
        <v>1</v>
      </c>
    </row>
    <row r="735" spans="1:18" x14ac:dyDescent="0.35">
      <c r="A735">
        <v>731</v>
      </c>
      <c r="B735">
        <v>10</v>
      </c>
      <c r="C735">
        <v>5</v>
      </c>
      <c r="D735">
        <v>2023</v>
      </c>
      <c r="E735" t="s">
        <v>1065</v>
      </c>
      <c r="F735" t="s">
        <v>1076</v>
      </c>
      <c r="G735" t="s">
        <v>1061</v>
      </c>
      <c r="H735" s="18">
        <v>45056</v>
      </c>
      <c r="I735" t="s">
        <v>756</v>
      </c>
      <c r="J735" t="s">
        <v>20</v>
      </c>
      <c r="K735" t="s">
        <v>1032</v>
      </c>
      <c r="L735">
        <v>54</v>
      </c>
      <c r="M735" t="s">
        <v>24</v>
      </c>
      <c r="N735">
        <v>4</v>
      </c>
      <c r="O735">
        <v>500</v>
      </c>
      <c r="P735">
        <v>2000</v>
      </c>
      <c r="Q735">
        <v>30</v>
      </c>
      <c r="R735">
        <v>40</v>
      </c>
    </row>
    <row r="736" spans="1:18" x14ac:dyDescent="0.35">
      <c r="A736">
        <v>732</v>
      </c>
      <c r="B736">
        <v>11</v>
      </c>
      <c r="C736">
        <v>2</v>
      </c>
      <c r="D736">
        <v>2023</v>
      </c>
      <c r="E736" t="s">
        <v>1075</v>
      </c>
      <c r="F736" t="s">
        <v>1073</v>
      </c>
      <c r="G736" t="s">
        <v>1061</v>
      </c>
      <c r="H736" s="18">
        <v>44968</v>
      </c>
      <c r="I736" t="s">
        <v>757</v>
      </c>
      <c r="J736" t="s">
        <v>20</v>
      </c>
      <c r="K736" t="s">
        <v>1032</v>
      </c>
      <c r="L736">
        <v>61</v>
      </c>
      <c r="M736" t="s">
        <v>26</v>
      </c>
      <c r="N736">
        <v>2</v>
      </c>
      <c r="O736">
        <v>500</v>
      </c>
      <c r="P736">
        <v>1000</v>
      </c>
      <c r="Q736">
        <v>15</v>
      </c>
      <c r="R736">
        <v>20</v>
      </c>
    </row>
    <row r="737" spans="1:18" x14ac:dyDescent="0.35">
      <c r="A737">
        <v>733</v>
      </c>
      <c r="B737">
        <v>29</v>
      </c>
      <c r="C737">
        <v>8</v>
      </c>
      <c r="D737">
        <v>2023</v>
      </c>
      <c r="E737" t="s">
        <v>1059</v>
      </c>
      <c r="F737" t="s">
        <v>1074</v>
      </c>
      <c r="G737" t="s">
        <v>1061</v>
      </c>
      <c r="H737" s="18">
        <v>45167</v>
      </c>
      <c r="I737" t="s">
        <v>758</v>
      </c>
      <c r="J737" t="s">
        <v>20</v>
      </c>
      <c r="K737" t="s">
        <v>1030</v>
      </c>
      <c r="L737">
        <v>34</v>
      </c>
      <c r="M737" t="s">
        <v>21</v>
      </c>
      <c r="N737">
        <v>1</v>
      </c>
      <c r="O737">
        <v>30</v>
      </c>
      <c r="P737">
        <v>30</v>
      </c>
      <c r="Q737">
        <v>0.44999999999999996</v>
      </c>
      <c r="R737">
        <v>0.6</v>
      </c>
    </row>
    <row r="738" spans="1:18" x14ac:dyDescent="0.35">
      <c r="A738">
        <v>734</v>
      </c>
      <c r="B738">
        <v>10</v>
      </c>
      <c r="C738">
        <v>1</v>
      </c>
      <c r="D738">
        <v>2023</v>
      </c>
      <c r="E738" t="s">
        <v>1059</v>
      </c>
      <c r="F738" t="s">
        <v>1060</v>
      </c>
      <c r="G738" t="s">
        <v>1061</v>
      </c>
      <c r="H738" s="18">
        <v>44936</v>
      </c>
      <c r="I738" t="s">
        <v>759</v>
      </c>
      <c r="J738" t="s">
        <v>23</v>
      </c>
      <c r="K738" t="s">
        <v>1034</v>
      </c>
      <c r="L738">
        <v>27</v>
      </c>
      <c r="M738" t="s">
        <v>24</v>
      </c>
      <c r="N738">
        <v>1</v>
      </c>
      <c r="O738">
        <v>30</v>
      </c>
      <c r="P738">
        <v>30</v>
      </c>
      <c r="Q738">
        <v>0.44999999999999996</v>
      </c>
      <c r="R738">
        <v>0.6</v>
      </c>
    </row>
    <row r="739" spans="1:18" x14ac:dyDescent="0.35">
      <c r="A739">
        <v>735</v>
      </c>
      <c r="B739">
        <v>4</v>
      </c>
      <c r="C739">
        <v>10</v>
      </c>
      <c r="D739">
        <v>2023</v>
      </c>
      <c r="E739" t="s">
        <v>1065</v>
      </c>
      <c r="F739" t="s">
        <v>1064</v>
      </c>
      <c r="G739" t="s">
        <v>1061</v>
      </c>
      <c r="H739" s="18">
        <v>45203</v>
      </c>
      <c r="I739" t="s">
        <v>760</v>
      </c>
      <c r="J739" t="s">
        <v>23</v>
      </c>
      <c r="K739" t="s">
        <v>1032</v>
      </c>
      <c r="L739">
        <v>64</v>
      </c>
      <c r="M739" t="s">
        <v>24</v>
      </c>
      <c r="N739">
        <v>4</v>
      </c>
      <c r="O739">
        <v>500</v>
      </c>
      <c r="P739">
        <v>2000</v>
      </c>
      <c r="Q739">
        <v>30</v>
      </c>
      <c r="R739">
        <v>40</v>
      </c>
    </row>
    <row r="740" spans="1:18" x14ac:dyDescent="0.35">
      <c r="A740">
        <v>736</v>
      </c>
      <c r="B740">
        <v>27</v>
      </c>
      <c r="C740">
        <v>1</v>
      </c>
      <c r="D740">
        <v>2023</v>
      </c>
      <c r="E740" t="s">
        <v>1070</v>
      </c>
      <c r="F740" t="s">
        <v>1060</v>
      </c>
      <c r="G740" t="s">
        <v>1061</v>
      </c>
      <c r="H740" s="18">
        <v>44953</v>
      </c>
      <c r="I740" t="s">
        <v>761</v>
      </c>
      <c r="J740" t="s">
        <v>20</v>
      </c>
      <c r="K740" t="s">
        <v>1034</v>
      </c>
      <c r="L740">
        <v>29</v>
      </c>
      <c r="M740" t="s">
        <v>24</v>
      </c>
      <c r="N740">
        <v>4</v>
      </c>
      <c r="O740">
        <v>25</v>
      </c>
      <c r="P740">
        <v>100</v>
      </c>
      <c r="Q740">
        <v>1.5</v>
      </c>
      <c r="R740">
        <v>2</v>
      </c>
    </row>
    <row r="741" spans="1:18" x14ac:dyDescent="0.35">
      <c r="A741">
        <v>737</v>
      </c>
      <c r="B741">
        <v>29</v>
      </c>
      <c r="C741">
        <v>6</v>
      </c>
      <c r="D741">
        <v>2023</v>
      </c>
      <c r="E741" t="s">
        <v>1072</v>
      </c>
      <c r="F741" t="s">
        <v>1069</v>
      </c>
      <c r="G741" t="s">
        <v>1061</v>
      </c>
      <c r="H741" s="18">
        <v>45106</v>
      </c>
      <c r="I741" t="s">
        <v>762</v>
      </c>
      <c r="J741" t="s">
        <v>23</v>
      </c>
      <c r="K741" t="s">
        <v>1030</v>
      </c>
      <c r="L741">
        <v>33</v>
      </c>
      <c r="M741" t="s">
        <v>24</v>
      </c>
      <c r="N741">
        <v>1</v>
      </c>
      <c r="O741">
        <v>50</v>
      </c>
      <c r="P741">
        <v>50</v>
      </c>
      <c r="Q741">
        <v>0.75</v>
      </c>
      <c r="R741">
        <v>1</v>
      </c>
    </row>
    <row r="742" spans="1:18" x14ac:dyDescent="0.35">
      <c r="A742">
        <v>738</v>
      </c>
      <c r="B742">
        <v>25</v>
      </c>
      <c r="C742">
        <v>4</v>
      </c>
      <c r="D742">
        <v>2023</v>
      </c>
      <c r="E742" t="s">
        <v>1059</v>
      </c>
      <c r="F742" t="s">
        <v>1077</v>
      </c>
      <c r="G742" t="s">
        <v>1061</v>
      </c>
      <c r="H742" s="18">
        <v>45041</v>
      </c>
      <c r="I742" t="s">
        <v>763</v>
      </c>
      <c r="J742" t="s">
        <v>20</v>
      </c>
      <c r="K742" t="s">
        <v>1030</v>
      </c>
      <c r="L742">
        <v>41</v>
      </c>
      <c r="M742" t="s">
        <v>24</v>
      </c>
      <c r="N742">
        <v>2</v>
      </c>
      <c r="O742">
        <v>50</v>
      </c>
      <c r="P742">
        <v>100</v>
      </c>
      <c r="Q742">
        <v>1.5</v>
      </c>
      <c r="R742">
        <v>2</v>
      </c>
    </row>
    <row r="743" spans="1:18" x14ac:dyDescent="0.35">
      <c r="A743">
        <v>739</v>
      </c>
      <c r="B743">
        <v>29</v>
      </c>
      <c r="C743">
        <v>11</v>
      </c>
      <c r="D743">
        <v>2023</v>
      </c>
      <c r="E743" t="s">
        <v>1065</v>
      </c>
      <c r="F743" t="s">
        <v>1068</v>
      </c>
      <c r="G743" t="s">
        <v>1061</v>
      </c>
      <c r="H743" s="18">
        <v>45259</v>
      </c>
      <c r="I743" t="s">
        <v>764</v>
      </c>
      <c r="J743" t="s">
        <v>20</v>
      </c>
      <c r="K743" t="s">
        <v>1030</v>
      </c>
      <c r="L743">
        <v>36</v>
      </c>
      <c r="M743" t="s">
        <v>21</v>
      </c>
      <c r="N743">
        <v>1</v>
      </c>
      <c r="O743">
        <v>25</v>
      </c>
      <c r="P743">
        <v>25</v>
      </c>
      <c r="Q743">
        <v>0.375</v>
      </c>
      <c r="R743">
        <v>0.5</v>
      </c>
    </row>
    <row r="744" spans="1:18" x14ac:dyDescent="0.35">
      <c r="A744">
        <v>740</v>
      </c>
      <c r="B744">
        <v>5</v>
      </c>
      <c r="C744">
        <v>2</v>
      </c>
      <c r="D744">
        <v>2023</v>
      </c>
      <c r="E744" t="s">
        <v>1063</v>
      </c>
      <c r="F744" t="s">
        <v>1073</v>
      </c>
      <c r="G744" t="s">
        <v>1061</v>
      </c>
      <c r="H744" s="18">
        <v>44962</v>
      </c>
      <c r="I744" t="s">
        <v>765</v>
      </c>
      <c r="J744" t="s">
        <v>23</v>
      </c>
      <c r="K744" t="s">
        <v>1034</v>
      </c>
      <c r="L744">
        <v>25</v>
      </c>
      <c r="M744" t="s">
        <v>21</v>
      </c>
      <c r="N744">
        <v>4</v>
      </c>
      <c r="O744">
        <v>50</v>
      </c>
      <c r="P744">
        <v>200</v>
      </c>
      <c r="Q744">
        <v>3</v>
      </c>
      <c r="R744">
        <v>4</v>
      </c>
    </row>
    <row r="745" spans="1:18" x14ac:dyDescent="0.35">
      <c r="A745">
        <v>741</v>
      </c>
      <c r="B745">
        <v>30</v>
      </c>
      <c r="C745">
        <v>11</v>
      </c>
      <c r="D745">
        <v>2023</v>
      </c>
      <c r="E745" t="s">
        <v>1072</v>
      </c>
      <c r="F745" t="s">
        <v>1068</v>
      </c>
      <c r="G745" t="s">
        <v>1061</v>
      </c>
      <c r="H745" s="18">
        <v>45260</v>
      </c>
      <c r="I745" t="s">
        <v>766</v>
      </c>
      <c r="J745" t="s">
        <v>20</v>
      </c>
      <c r="K745" t="s">
        <v>1030</v>
      </c>
      <c r="L745">
        <v>48</v>
      </c>
      <c r="M745" t="s">
        <v>24</v>
      </c>
      <c r="N745">
        <v>1</v>
      </c>
      <c r="O745">
        <v>300</v>
      </c>
      <c r="P745">
        <v>300</v>
      </c>
      <c r="Q745">
        <v>4.5</v>
      </c>
      <c r="R745">
        <v>6</v>
      </c>
    </row>
    <row r="746" spans="1:18" x14ac:dyDescent="0.35">
      <c r="A746">
        <v>742</v>
      </c>
      <c r="B746">
        <v>21</v>
      </c>
      <c r="C746">
        <v>1</v>
      </c>
      <c r="D746">
        <v>2023</v>
      </c>
      <c r="E746" t="s">
        <v>1075</v>
      </c>
      <c r="F746" t="s">
        <v>1060</v>
      </c>
      <c r="G746" t="s">
        <v>1061</v>
      </c>
      <c r="H746" s="18">
        <v>44947</v>
      </c>
      <c r="I746" t="s">
        <v>767</v>
      </c>
      <c r="J746" t="s">
        <v>23</v>
      </c>
      <c r="K746" t="s">
        <v>1030</v>
      </c>
      <c r="L746">
        <v>38</v>
      </c>
      <c r="M746" t="s">
        <v>26</v>
      </c>
      <c r="N746">
        <v>4</v>
      </c>
      <c r="O746">
        <v>500</v>
      </c>
      <c r="P746">
        <v>2000</v>
      </c>
      <c r="Q746">
        <v>30</v>
      </c>
      <c r="R746">
        <v>40</v>
      </c>
    </row>
    <row r="747" spans="1:18" x14ac:dyDescent="0.35">
      <c r="A747">
        <v>743</v>
      </c>
      <c r="B747">
        <v>16</v>
      </c>
      <c r="C747">
        <v>1</v>
      </c>
      <c r="D747">
        <v>2023</v>
      </c>
      <c r="E747" t="s">
        <v>1067</v>
      </c>
      <c r="F747" t="s">
        <v>1060</v>
      </c>
      <c r="G747" t="s">
        <v>1061</v>
      </c>
      <c r="H747" s="18">
        <v>44942</v>
      </c>
      <c r="I747" t="s">
        <v>768</v>
      </c>
      <c r="J747" t="s">
        <v>23</v>
      </c>
      <c r="K747" t="s">
        <v>1030</v>
      </c>
      <c r="L747">
        <v>34</v>
      </c>
      <c r="M747" t="s">
        <v>21</v>
      </c>
      <c r="N747">
        <v>4</v>
      </c>
      <c r="O747">
        <v>500</v>
      </c>
      <c r="P747">
        <v>2000</v>
      </c>
      <c r="Q747">
        <v>30</v>
      </c>
      <c r="R747">
        <v>40</v>
      </c>
    </row>
    <row r="748" spans="1:18" x14ac:dyDescent="0.35">
      <c r="A748">
        <v>744</v>
      </c>
      <c r="B748">
        <v>7</v>
      </c>
      <c r="C748">
        <v>5</v>
      </c>
      <c r="D748">
        <v>2023</v>
      </c>
      <c r="E748" t="s">
        <v>1063</v>
      </c>
      <c r="F748" t="s">
        <v>1076</v>
      </c>
      <c r="G748" t="s">
        <v>1061</v>
      </c>
      <c r="H748" s="18">
        <v>45053</v>
      </c>
      <c r="I748" t="s">
        <v>769</v>
      </c>
      <c r="J748" t="s">
        <v>20</v>
      </c>
      <c r="K748" t="s">
        <v>1030</v>
      </c>
      <c r="L748">
        <v>40</v>
      </c>
      <c r="M748" t="s">
        <v>26</v>
      </c>
      <c r="N748">
        <v>1</v>
      </c>
      <c r="O748">
        <v>25</v>
      </c>
      <c r="P748">
        <v>25</v>
      </c>
      <c r="Q748">
        <v>0.375</v>
      </c>
      <c r="R748">
        <v>0.5</v>
      </c>
    </row>
    <row r="749" spans="1:18" x14ac:dyDescent="0.35">
      <c r="A749">
        <v>745</v>
      </c>
      <c r="B749">
        <v>13</v>
      </c>
      <c r="C749">
        <v>4</v>
      </c>
      <c r="D749">
        <v>2023</v>
      </c>
      <c r="E749" t="s">
        <v>1072</v>
      </c>
      <c r="F749" t="s">
        <v>1077</v>
      </c>
      <c r="G749" t="s">
        <v>1061</v>
      </c>
      <c r="H749" s="18">
        <v>45029</v>
      </c>
      <c r="I749" t="s">
        <v>770</v>
      </c>
      <c r="J749" t="s">
        <v>20</v>
      </c>
      <c r="K749" t="s">
        <v>1032</v>
      </c>
      <c r="L749">
        <v>54</v>
      </c>
      <c r="M749" t="s">
        <v>21</v>
      </c>
      <c r="N749">
        <v>2</v>
      </c>
      <c r="O749">
        <v>50</v>
      </c>
      <c r="P749">
        <v>100</v>
      </c>
      <c r="Q749">
        <v>1.5</v>
      </c>
      <c r="R749">
        <v>2</v>
      </c>
    </row>
    <row r="750" spans="1:18" x14ac:dyDescent="0.35">
      <c r="A750">
        <v>746</v>
      </c>
      <c r="B750">
        <v>11</v>
      </c>
      <c r="C750">
        <v>1</v>
      </c>
      <c r="D750">
        <v>2023</v>
      </c>
      <c r="E750" t="s">
        <v>1065</v>
      </c>
      <c r="F750" t="s">
        <v>1060</v>
      </c>
      <c r="G750" t="s">
        <v>1061</v>
      </c>
      <c r="H750" s="18">
        <v>44937</v>
      </c>
      <c r="I750" t="s">
        <v>771</v>
      </c>
      <c r="J750" t="s">
        <v>23</v>
      </c>
      <c r="K750" t="s">
        <v>1030</v>
      </c>
      <c r="L750">
        <v>33</v>
      </c>
      <c r="M750" t="s">
        <v>24</v>
      </c>
      <c r="N750">
        <v>3</v>
      </c>
      <c r="O750">
        <v>30</v>
      </c>
      <c r="P750">
        <v>90</v>
      </c>
      <c r="Q750">
        <v>1.3499999999999999</v>
      </c>
      <c r="R750">
        <v>1.8</v>
      </c>
    </row>
    <row r="751" spans="1:18" x14ac:dyDescent="0.35">
      <c r="A751">
        <v>747</v>
      </c>
      <c r="B751">
        <v>15</v>
      </c>
      <c r="C751">
        <v>11</v>
      </c>
      <c r="D751">
        <v>2023</v>
      </c>
      <c r="E751" t="s">
        <v>1065</v>
      </c>
      <c r="F751" t="s">
        <v>1068</v>
      </c>
      <c r="G751" t="s">
        <v>1061</v>
      </c>
      <c r="H751" s="18">
        <v>45245</v>
      </c>
      <c r="I751" t="s">
        <v>772</v>
      </c>
      <c r="J751" t="s">
        <v>20</v>
      </c>
      <c r="K751" t="s">
        <v>1034</v>
      </c>
      <c r="L751">
        <v>23</v>
      </c>
      <c r="M751" t="s">
        <v>21</v>
      </c>
      <c r="N751">
        <v>1</v>
      </c>
      <c r="O751">
        <v>30</v>
      </c>
      <c r="P751">
        <v>30</v>
      </c>
      <c r="Q751">
        <v>0.44999999999999996</v>
      </c>
      <c r="R751">
        <v>0.6</v>
      </c>
    </row>
    <row r="752" spans="1:18" x14ac:dyDescent="0.35">
      <c r="A752">
        <v>748</v>
      </c>
      <c r="B752">
        <v>20</v>
      </c>
      <c r="C752">
        <v>3</v>
      </c>
      <c r="D752">
        <v>2023</v>
      </c>
      <c r="E752" t="s">
        <v>1067</v>
      </c>
      <c r="F752" t="s">
        <v>1066</v>
      </c>
      <c r="G752" t="s">
        <v>1061</v>
      </c>
      <c r="H752" s="18">
        <v>45005</v>
      </c>
      <c r="I752" t="s">
        <v>773</v>
      </c>
      <c r="J752" t="s">
        <v>20</v>
      </c>
      <c r="K752" t="s">
        <v>1034</v>
      </c>
      <c r="L752">
        <v>25</v>
      </c>
      <c r="M752" t="s">
        <v>24</v>
      </c>
      <c r="N752">
        <v>3</v>
      </c>
      <c r="O752">
        <v>50</v>
      </c>
      <c r="P752">
        <v>150</v>
      </c>
      <c r="Q752">
        <v>2.25</v>
      </c>
      <c r="R752">
        <v>3</v>
      </c>
    </row>
    <row r="753" spans="1:18" x14ac:dyDescent="0.35">
      <c r="A753">
        <v>749</v>
      </c>
      <c r="B753">
        <v>3</v>
      </c>
      <c r="C753">
        <v>5</v>
      </c>
      <c r="D753">
        <v>2023</v>
      </c>
      <c r="E753" t="s">
        <v>1065</v>
      </c>
      <c r="F753" t="s">
        <v>1076</v>
      </c>
      <c r="G753" t="s">
        <v>1061</v>
      </c>
      <c r="H753" s="18">
        <v>45049</v>
      </c>
      <c r="I753" t="s">
        <v>774</v>
      </c>
      <c r="J753" t="s">
        <v>20</v>
      </c>
      <c r="K753" t="s">
        <v>1030</v>
      </c>
      <c r="L753">
        <v>42</v>
      </c>
      <c r="M753" t="s">
        <v>21</v>
      </c>
      <c r="N753">
        <v>1</v>
      </c>
      <c r="O753">
        <v>30</v>
      </c>
      <c r="P753">
        <v>30</v>
      </c>
      <c r="Q753">
        <v>0.44999999999999996</v>
      </c>
      <c r="R753">
        <v>0.6</v>
      </c>
    </row>
    <row r="754" spans="1:18" x14ac:dyDescent="0.35">
      <c r="A754">
        <v>750</v>
      </c>
      <c r="B754">
        <v>6</v>
      </c>
      <c r="C754">
        <v>3</v>
      </c>
      <c r="D754">
        <v>2023</v>
      </c>
      <c r="E754" t="s">
        <v>1067</v>
      </c>
      <c r="F754" t="s">
        <v>1066</v>
      </c>
      <c r="G754" t="s">
        <v>1061</v>
      </c>
      <c r="H754" s="18">
        <v>44991</v>
      </c>
      <c r="I754" t="s">
        <v>775</v>
      </c>
      <c r="J754" t="s">
        <v>23</v>
      </c>
      <c r="K754" t="s">
        <v>1030</v>
      </c>
      <c r="L754">
        <v>35</v>
      </c>
      <c r="M754" t="s">
        <v>24</v>
      </c>
      <c r="N754">
        <v>3</v>
      </c>
      <c r="O754">
        <v>25</v>
      </c>
      <c r="P754">
        <v>75</v>
      </c>
      <c r="Q754">
        <v>1.125</v>
      </c>
      <c r="R754">
        <v>1.5</v>
      </c>
    </row>
    <row r="755" spans="1:18" x14ac:dyDescent="0.35">
      <c r="A755">
        <v>751</v>
      </c>
      <c r="B755">
        <v>31</v>
      </c>
      <c r="C755">
        <v>8</v>
      </c>
      <c r="D755">
        <v>2023</v>
      </c>
      <c r="E755" t="s">
        <v>1072</v>
      </c>
      <c r="F755" t="s">
        <v>1074</v>
      </c>
      <c r="G755" t="s">
        <v>1061</v>
      </c>
      <c r="H755" s="18">
        <v>45169</v>
      </c>
      <c r="I755" t="s">
        <v>776</v>
      </c>
      <c r="J755" t="s">
        <v>23</v>
      </c>
      <c r="K755" t="s">
        <v>1030</v>
      </c>
      <c r="L755">
        <v>42</v>
      </c>
      <c r="M755" t="s">
        <v>24</v>
      </c>
      <c r="N755">
        <v>2</v>
      </c>
      <c r="O755">
        <v>25</v>
      </c>
      <c r="P755">
        <v>50</v>
      </c>
      <c r="Q755">
        <v>0.75</v>
      </c>
      <c r="R755">
        <v>1</v>
      </c>
    </row>
    <row r="756" spans="1:18" x14ac:dyDescent="0.35">
      <c r="A756">
        <v>752</v>
      </c>
      <c r="B756">
        <v>9</v>
      </c>
      <c r="C756">
        <v>12</v>
      </c>
      <c r="D756">
        <v>2023</v>
      </c>
      <c r="E756" t="s">
        <v>1075</v>
      </c>
      <c r="F756" t="s">
        <v>1062</v>
      </c>
      <c r="G756" t="s">
        <v>1061</v>
      </c>
      <c r="H756" s="18">
        <v>45269</v>
      </c>
      <c r="I756" t="s">
        <v>777</v>
      </c>
      <c r="J756" t="s">
        <v>20</v>
      </c>
      <c r="K756" t="s">
        <v>1034</v>
      </c>
      <c r="L756">
        <v>29</v>
      </c>
      <c r="M756" t="s">
        <v>24</v>
      </c>
      <c r="N756">
        <v>2</v>
      </c>
      <c r="O756">
        <v>50</v>
      </c>
      <c r="P756">
        <v>100</v>
      </c>
      <c r="Q756">
        <v>1.5</v>
      </c>
      <c r="R756">
        <v>2</v>
      </c>
    </row>
    <row r="757" spans="1:18" x14ac:dyDescent="0.35">
      <c r="A757">
        <v>753</v>
      </c>
      <c r="B757">
        <v>28</v>
      </c>
      <c r="C757">
        <v>2</v>
      </c>
      <c r="D757">
        <v>2023</v>
      </c>
      <c r="E757" t="s">
        <v>1059</v>
      </c>
      <c r="F757" t="s">
        <v>1073</v>
      </c>
      <c r="G757" t="s">
        <v>1061</v>
      </c>
      <c r="H757" s="18">
        <v>44985</v>
      </c>
      <c r="I757" t="s">
        <v>778</v>
      </c>
      <c r="J757" t="s">
        <v>23</v>
      </c>
      <c r="K757" t="s">
        <v>1030</v>
      </c>
      <c r="L757">
        <v>32</v>
      </c>
      <c r="M757" t="s">
        <v>24</v>
      </c>
      <c r="N757">
        <v>1</v>
      </c>
      <c r="O757">
        <v>30</v>
      </c>
      <c r="P757">
        <v>30</v>
      </c>
      <c r="Q757">
        <v>0.44999999999999996</v>
      </c>
      <c r="R757">
        <v>0.6</v>
      </c>
    </row>
    <row r="758" spans="1:18" x14ac:dyDescent="0.35">
      <c r="A758">
        <v>754</v>
      </c>
      <c r="B758">
        <v>16</v>
      </c>
      <c r="C758">
        <v>10</v>
      </c>
      <c r="D758">
        <v>2023</v>
      </c>
      <c r="E758" t="s">
        <v>1067</v>
      </c>
      <c r="F758" t="s">
        <v>1064</v>
      </c>
      <c r="G758" t="s">
        <v>1061</v>
      </c>
      <c r="H758" s="18">
        <v>45215</v>
      </c>
      <c r="I758" t="s">
        <v>779</v>
      </c>
      <c r="J758" t="s">
        <v>23</v>
      </c>
      <c r="K758" t="s">
        <v>1030</v>
      </c>
      <c r="L758">
        <v>43</v>
      </c>
      <c r="M758" t="s">
        <v>26</v>
      </c>
      <c r="N758">
        <v>4</v>
      </c>
      <c r="O758">
        <v>25</v>
      </c>
      <c r="P758">
        <v>100</v>
      </c>
      <c r="Q758">
        <v>1.5</v>
      </c>
      <c r="R758">
        <v>2</v>
      </c>
    </row>
    <row r="759" spans="1:18" x14ac:dyDescent="0.35">
      <c r="A759">
        <v>755</v>
      </c>
      <c r="B759">
        <v>22</v>
      </c>
      <c r="C759">
        <v>4</v>
      </c>
      <c r="D759">
        <v>2023</v>
      </c>
      <c r="E759" t="s">
        <v>1075</v>
      </c>
      <c r="F759" t="s">
        <v>1077</v>
      </c>
      <c r="G759" t="s">
        <v>1061</v>
      </c>
      <c r="H759" s="18">
        <v>45038</v>
      </c>
      <c r="I759" t="s">
        <v>780</v>
      </c>
      <c r="J759" t="s">
        <v>23</v>
      </c>
      <c r="K759" t="s">
        <v>1032</v>
      </c>
      <c r="L759">
        <v>58</v>
      </c>
      <c r="M759" t="s">
        <v>24</v>
      </c>
      <c r="N759">
        <v>3</v>
      </c>
      <c r="O759">
        <v>25</v>
      </c>
      <c r="P759">
        <v>75</v>
      </c>
      <c r="Q759">
        <v>1.125</v>
      </c>
      <c r="R759">
        <v>1.5</v>
      </c>
    </row>
    <row r="760" spans="1:18" x14ac:dyDescent="0.35">
      <c r="A760">
        <v>756</v>
      </c>
      <c r="B760">
        <v>27</v>
      </c>
      <c r="C760">
        <v>8</v>
      </c>
      <c r="D760">
        <v>2023</v>
      </c>
      <c r="E760" t="s">
        <v>1063</v>
      </c>
      <c r="F760" t="s">
        <v>1074</v>
      </c>
      <c r="G760" t="s">
        <v>1061</v>
      </c>
      <c r="H760" s="18">
        <v>45165</v>
      </c>
      <c r="I760" t="s">
        <v>781</v>
      </c>
      <c r="J760" t="s">
        <v>23</v>
      </c>
      <c r="K760" t="s">
        <v>1032</v>
      </c>
      <c r="L760">
        <v>62</v>
      </c>
      <c r="M760" t="s">
        <v>26</v>
      </c>
      <c r="N760">
        <v>4</v>
      </c>
      <c r="O760">
        <v>300</v>
      </c>
      <c r="P760">
        <v>1200</v>
      </c>
      <c r="Q760">
        <v>18</v>
      </c>
      <c r="R760">
        <v>24</v>
      </c>
    </row>
    <row r="761" spans="1:18" x14ac:dyDescent="0.35">
      <c r="A761">
        <v>757</v>
      </c>
      <c r="B761">
        <v>25</v>
      </c>
      <c r="C761">
        <v>12</v>
      </c>
      <c r="D761">
        <v>2023</v>
      </c>
      <c r="E761" t="s">
        <v>1067</v>
      </c>
      <c r="F761" t="s">
        <v>1062</v>
      </c>
      <c r="G761" t="s">
        <v>1061</v>
      </c>
      <c r="H761" s="18">
        <v>45285</v>
      </c>
      <c r="I761" t="s">
        <v>782</v>
      </c>
      <c r="J761" t="s">
        <v>23</v>
      </c>
      <c r="K761" t="s">
        <v>1030</v>
      </c>
      <c r="L761">
        <v>43</v>
      </c>
      <c r="M761" t="s">
        <v>26</v>
      </c>
      <c r="N761">
        <v>4</v>
      </c>
      <c r="O761">
        <v>300</v>
      </c>
      <c r="P761">
        <v>1200</v>
      </c>
      <c r="Q761">
        <v>18</v>
      </c>
      <c r="R761">
        <v>24</v>
      </c>
    </row>
    <row r="762" spans="1:18" x14ac:dyDescent="0.35">
      <c r="A762">
        <v>758</v>
      </c>
      <c r="B762">
        <v>12</v>
      </c>
      <c r="C762">
        <v>5</v>
      </c>
      <c r="D762">
        <v>2023</v>
      </c>
      <c r="E762" t="s">
        <v>1070</v>
      </c>
      <c r="F762" t="s">
        <v>1076</v>
      </c>
      <c r="G762" t="s">
        <v>1061</v>
      </c>
      <c r="H762" s="18">
        <v>45058</v>
      </c>
      <c r="I762" t="s">
        <v>783</v>
      </c>
      <c r="J762" t="s">
        <v>20</v>
      </c>
      <c r="K762" t="s">
        <v>1032</v>
      </c>
      <c r="L762">
        <v>64</v>
      </c>
      <c r="M762" t="s">
        <v>24</v>
      </c>
      <c r="N762">
        <v>4</v>
      </c>
      <c r="O762">
        <v>25</v>
      </c>
      <c r="P762">
        <v>100</v>
      </c>
      <c r="Q762">
        <v>1.5</v>
      </c>
      <c r="R762">
        <v>2</v>
      </c>
    </row>
    <row r="763" spans="1:18" x14ac:dyDescent="0.35">
      <c r="A763">
        <v>759</v>
      </c>
      <c r="B763">
        <v>8</v>
      </c>
      <c r="C763">
        <v>7</v>
      </c>
      <c r="D763">
        <v>2023</v>
      </c>
      <c r="E763" t="s">
        <v>1075</v>
      </c>
      <c r="F763" t="s">
        <v>1078</v>
      </c>
      <c r="G763" t="s">
        <v>1061</v>
      </c>
      <c r="H763" s="18">
        <v>45115</v>
      </c>
      <c r="I763" t="s">
        <v>784</v>
      </c>
      <c r="J763" t="s">
        <v>20</v>
      </c>
      <c r="K763" t="s">
        <v>1030</v>
      </c>
      <c r="L763">
        <v>49</v>
      </c>
      <c r="M763" t="s">
        <v>26</v>
      </c>
      <c r="N763">
        <v>2</v>
      </c>
      <c r="O763">
        <v>50</v>
      </c>
      <c r="P763">
        <v>100</v>
      </c>
      <c r="Q763">
        <v>1.5</v>
      </c>
      <c r="R763">
        <v>2</v>
      </c>
    </row>
    <row r="764" spans="1:18" x14ac:dyDescent="0.35">
      <c r="A764">
        <v>760</v>
      </c>
      <c r="B764">
        <v>27</v>
      </c>
      <c r="C764">
        <v>3</v>
      </c>
      <c r="D764">
        <v>2023</v>
      </c>
      <c r="E764" t="s">
        <v>1067</v>
      </c>
      <c r="F764" t="s">
        <v>1066</v>
      </c>
      <c r="G764" t="s">
        <v>1061</v>
      </c>
      <c r="H764" s="18">
        <v>45012</v>
      </c>
      <c r="I764" t="s">
        <v>785</v>
      </c>
      <c r="J764" t="s">
        <v>20</v>
      </c>
      <c r="K764" t="s">
        <v>1034</v>
      </c>
      <c r="L764">
        <v>27</v>
      </c>
      <c r="M764" t="s">
        <v>21</v>
      </c>
      <c r="N764">
        <v>1</v>
      </c>
      <c r="O764">
        <v>500</v>
      </c>
      <c r="P764">
        <v>500</v>
      </c>
      <c r="Q764">
        <v>7.5</v>
      </c>
      <c r="R764">
        <v>10</v>
      </c>
    </row>
    <row r="765" spans="1:18" x14ac:dyDescent="0.35">
      <c r="A765">
        <v>761</v>
      </c>
      <c r="B765">
        <v>7</v>
      </c>
      <c r="C765">
        <v>11</v>
      </c>
      <c r="D765">
        <v>2023</v>
      </c>
      <c r="E765" t="s">
        <v>1059</v>
      </c>
      <c r="F765" t="s">
        <v>1068</v>
      </c>
      <c r="G765" t="s">
        <v>1061</v>
      </c>
      <c r="H765" s="18">
        <v>45237</v>
      </c>
      <c r="I765" t="s">
        <v>786</v>
      </c>
      <c r="J765" t="s">
        <v>23</v>
      </c>
      <c r="K765" t="s">
        <v>1030</v>
      </c>
      <c r="L765">
        <v>33</v>
      </c>
      <c r="M765" t="s">
        <v>24</v>
      </c>
      <c r="N765">
        <v>1</v>
      </c>
      <c r="O765">
        <v>500</v>
      </c>
      <c r="P765">
        <v>500</v>
      </c>
      <c r="Q765">
        <v>7.5</v>
      </c>
      <c r="R765">
        <v>10</v>
      </c>
    </row>
    <row r="766" spans="1:18" x14ac:dyDescent="0.35">
      <c r="A766">
        <v>762</v>
      </c>
      <c r="B766">
        <v>7</v>
      </c>
      <c r="C766">
        <v>11</v>
      </c>
      <c r="D766">
        <v>2023</v>
      </c>
      <c r="E766" t="s">
        <v>1059</v>
      </c>
      <c r="F766" t="s">
        <v>1068</v>
      </c>
      <c r="G766" t="s">
        <v>1061</v>
      </c>
      <c r="H766" s="18">
        <v>45237</v>
      </c>
      <c r="I766" t="s">
        <v>787</v>
      </c>
      <c r="J766" t="s">
        <v>23</v>
      </c>
      <c r="K766" t="s">
        <v>1034</v>
      </c>
      <c r="L766">
        <v>24</v>
      </c>
      <c r="M766" t="s">
        <v>26</v>
      </c>
      <c r="N766">
        <v>2</v>
      </c>
      <c r="O766">
        <v>25</v>
      </c>
      <c r="P766">
        <v>50</v>
      </c>
      <c r="Q766">
        <v>0.75</v>
      </c>
      <c r="R766">
        <v>1</v>
      </c>
    </row>
    <row r="767" spans="1:18" x14ac:dyDescent="0.35">
      <c r="A767">
        <v>763</v>
      </c>
      <c r="B767">
        <v>28</v>
      </c>
      <c r="C767">
        <v>2</v>
      </c>
      <c r="D767">
        <v>2023</v>
      </c>
      <c r="E767" t="s">
        <v>1059</v>
      </c>
      <c r="F767" t="s">
        <v>1073</v>
      </c>
      <c r="G767" t="s">
        <v>1061</v>
      </c>
      <c r="H767" s="18">
        <v>44985</v>
      </c>
      <c r="I767" t="s">
        <v>788</v>
      </c>
      <c r="J767" t="s">
        <v>20</v>
      </c>
      <c r="K767" t="s">
        <v>1030</v>
      </c>
      <c r="L767">
        <v>34</v>
      </c>
      <c r="M767" t="s">
        <v>24</v>
      </c>
      <c r="N767">
        <v>2</v>
      </c>
      <c r="O767">
        <v>25</v>
      </c>
      <c r="P767">
        <v>50</v>
      </c>
      <c r="Q767">
        <v>0.75</v>
      </c>
      <c r="R767">
        <v>1</v>
      </c>
    </row>
    <row r="768" spans="1:18" x14ac:dyDescent="0.35">
      <c r="A768">
        <v>764</v>
      </c>
      <c r="B768">
        <v>25</v>
      </c>
      <c r="C768">
        <v>3</v>
      </c>
      <c r="D768">
        <v>2023</v>
      </c>
      <c r="E768" t="s">
        <v>1075</v>
      </c>
      <c r="F768" t="s">
        <v>1066</v>
      </c>
      <c r="G768" t="s">
        <v>1061</v>
      </c>
      <c r="H768" s="18">
        <v>45010</v>
      </c>
      <c r="I768" t="s">
        <v>789</v>
      </c>
      <c r="J768" t="s">
        <v>23</v>
      </c>
      <c r="K768" t="s">
        <v>1030</v>
      </c>
      <c r="L768">
        <v>40</v>
      </c>
      <c r="M768" t="s">
        <v>24</v>
      </c>
      <c r="N768">
        <v>1</v>
      </c>
      <c r="O768">
        <v>25</v>
      </c>
      <c r="P768">
        <v>25</v>
      </c>
      <c r="Q768">
        <v>0.375</v>
      </c>
      <c r="R768">
        <v>0.5</v>
      </c>
    </row>
    <row r="769" spans="1:18" x14ac:dyDescent="0.35">
      <c r="A769">
        <v>765</v>
      </c>
      <c r="B769">
        <v>9</v>
      </c>
      <c r="C769">
        <v>6</v>
      </c>
      <c r="D769">
        <v>2023</v>
      </c>
      <c r="E769" t="s">
        <v>1070</v>
      </c>
      <c r="F769" t="s">
        <v>1069</v>
      </c>
      <c r="G769" t="s">
        <v>1061</v>
      </c>
      <c r="H769" s="18">
        <v>45086</v>
      </c>
      <c r="I769" t="s">
        <v>790</v>
      </c>
      <c r="J769" t="s">
        <v>20</v>
      </c>
      <c r="K769" t="s">
        <v>1030</v>
      </c>
      <c r="L769">
        <v>43</v>
      </c>
      <c r="M769" t="s">
        <v>24</v>
      </c>
      <c r="N769">
        <v>4</v>
      </c>
      <c r="O769">
        <v>50</v>
      </c>
      <c r="P769">
        <v>200</v>
      </c>
      <c r="Q769">
        <v>3</v>
      </c>
      <c r="R769">
        <v>4</v>
      </c>
    </row>
    <row r="770" spans="1:18" x14ac:dyDescent="0.35">
      <c r="A770">
        <v>766</v>
      </c>
      <c r="B770">
        <v>25</v>
      </c>
      <c r="C770">
        <v>2</v>
      </c>
      <c r="D770">
        <v>2023</v>
      </c>
      <c r="E770" t="s">
        <v>1075</v>
      </c>
      <c r="F770" t="s">
        <v>1073</v>
      </c>
      <c r="G770" t="s">
        <v>1061</v>
      </c>
      <c r="H770" s="18">
        <v>44982</v>
      </c>
      <c r="I770" t="s">
        <v>791</v>
      </c>
      <c r="J770" t="s">
        <v>20</v>
      </c>
      <c r="K770" t="s">
        <v>1030</v>
      </c>
      <c r="L770">
        <v>38</v>
      </c>
      <c r="M770" t="s">
        <v>26</v>
      </c>
      <c r="N770">
        <v>3</v>
      </c>
      <c r="O770">
        <v>300</v>
      </c>
      <c r="P770">
        <v>900</v>
      </c>
      <c r="Q770">
        <v>13.5</v>
      </c>
      <c r="R770">
        <v>18</v>
      </c>
    </row>
    <row r="771" spans="1:18" x14ac:dyDescent="0.35">
      <c r="A771">
        <v>767</v>
      </c>
      <c r="B771">
        <v>24</v>
      </c>
      <c r="C771">
        <v>10</v>
      </c>
      <c r="D771">
        <v>2023</v>
      </c>
      <c r="E771" t="s">
        <v>1059</v>
      </c>
      <c r="F771" t="s">
        <v>1064</v>
      </c>
      <c r="G771" t="s">
        <v>1061</v>
      </c>
      <c r="H771" s="18">
        <v>45223</v>
      </c>
      <c r="I771" t="s">
        <v>792</v>
      </c>
      <c r="J771" t="s">
        <v>20</v>
      </c>
      <c r="K771" t="s">
        <v>1030</v>
      </c>
      <c r="L771">
        <v>39</v>
      </c>
      <c r="M771" t="s">
        <v>21</v>
      </c>
      <c r="N771">
        <v>3</v>
      </c>
      <c r="O771">
        <v>25</v>
      </c>
      <c r="P771">
        <v>75</v>
      </c>
      <c r="Q771">
        <v>1.125</v>
      </c>
      <c r="R771">
        <v>1.5</v>
      </c>
    </row>
    <row r="772" spans="1:18" x14ac:dyDescent="0.35">
      <c r="A772">
        <v>768</v>
      </c>
      <c r="B772">
        <v>14</v>
      </c>
      <c r="C772">
        <v>1</v>
      </c>
      <c r="D772">
        <v>2023</v>
      </c>
      <c r="E772" t="s">
        <v>1075</v>
      </c>
      <c r="F772" t="s">
        <v>1060</v>
      </c>
      <c r="G772" t="s">
        <v>1061</v>
      </c>
      <c r="H772" s="18">
        <v>44940</v>
      </c>
      <c r="I772" t="s">
        <v>793</v>
      </c>
      <c r="J772" t="s">
        <v>23</v>
      </c>
      <c r="K772" t="s">
        <v>1034</v>
      </c>
      <c r="L772">
        <v>24</v>
      </c>
      <c r="M772" t="s">
        <v>21</v>
      </c>
      <c r="N772">
        <v>3</v>
      </c>
      <c r="O772">
        <v>25</v>
      </c>
      <c r="P772">
        <v>75</v>
      </c>
      <c r="Q772">
        <v>1.125</v>
      </c>
      <c r="R772">
        <v>1.5</v>
      </c>
    </row>
    <row r="773" spans="1:18" x14ac:dyDescent="0.35">
      <c r="A773">
        <v>769</v>
      </c>
      <c r="B773">
        <v>9</v>
      </c>
      <c r="C773">
        <v>6</v>
      </c>
      <c r="D773">
        <v>2023</v>
      </c>
      <c r="E773" t="s">
        <v>1070</v>
      </c>
      <c r="F773" t="s">
        <v>1069</v>
      </c>
      <c r="G773" t="s">
        <v>1061</v>
      </c>
      <c r="H773" s="18">
        <v>45086</v>
      </c>
      <c r="I773" t="s">
        <v>794</v>
      </c>
      <c r="J773" t="s">
        <v>23</v>
      </c>
      <c r="K773" t="s">
        <v>1030</v>
      </c>
      <c r="L773">
        <v>31</v>
      </c>
      <c r="M773" t="s">
        <v>26</v>
      </c>
      <c r="N773">
        <v>4</v>
      </c>
      <c r="O773">
        <v>30</v>
      </c>
      <c r="P773">
        <v>120</v>
      </c>
      <c r="Q773">
        <v>1.7999999999999998</v>
      </c>
      <c r="R773">
        <v>2.4</v>
      </c>
    </row>
    <row r="774" spans="1:18" x14ac:dyDescent="0.35">
      <c r="A774">
        <v>770</v>
      </c>
      <c r="B774">
        <v>22</v>
      </c>
      <c r="C774">
        <v>10</v>
      </c>
      <c r="D774">
        <v>2023</v>
      </c>
      <c r="E774" t="s">
        <v>1063</v>
      </c>
      <c r="F774" t="s">
        <v>1064</v>
      </c>
      <c r="G774" t="s">
        <v>1061</v>
      </c>
      <c r="H774" s="18">
        <v>45221</v>
      </c>
      <c r="I774" t="s">
        <v>795</v>
      </c>
      <c r="J774" t="s">
        <v>20</v>
      </c>
      <c r="K774" t="s">
        <v>1030</v>
      </c>
      <c r="L774">
        <v>32</v>
      </c>
      <c r="M774" t="s">
        <v>24</v>
      </c>
      <c r="N774">
        <v>1</v>
      </c>
      <c r="O774">
        <v>50</v>
      </c>
      <c r="P774">
        <v>50</v>
      </c>
      <c r="Q774">
        <v>0.75</v>
      </c>
      <c r="R774">
        <v>1</v>
      </c>
    </row>
    <row r="775" spans="1:18" x14ac:dyDescent="0.35">
      <c r="A775">
        <v>771</v>
      </c>
      <c r="B775">
        <v>13</v>
      </c>
      <c r="C775">
        <v>12</v>
      </c>
      <c r="D775">
        <v>2023</v>
      </c>
      <c r="E775" t="s">
        <v>1065</v>
      </c>
      <c r="F775" t="s">
        <v>1062</v>
      </c>
      <c r="G775" t="s">
        <v>1061</v>
      </c>
      <c r="H775" s="18">
        <v>45273</v>
      </c>
      <c r="I775" t="s">
        <v>796</v>
      </c>
      <c r="J775" t="s">
        <v>20</v>
      </c>
      <c r="K775" t="s">
        <v>1034</v>
      </c>
      <c r="L775">
        <v>24</v>
      </c>
      <c r="M775" t="s">
        <v>26</v>
      </c>
      <c r="N775">
        <v>2</v>
      </c>
      <c r="O775">
        <v>25</v>
      </c>
      <c r="P775">
        <v>50</v>
      </c>
      <c r="Q775">
        <v>0.75</v>
      </c>
      <c r="R775">
        <v>1</v>
      </c>
    </row>
    <row r="776" spans="1:18" x14ac:dyDescent="0.35">
      <c r="A776">
        <v>772</v>
      </c>
      <c r="B776">
        <v>12</v>
      </c>
      <c r="C776">
        <v>7</v>
      </c>
      <c r="D776">
        <v>2023</v>
      </c>
      <c r="E776" t="s">
        <v>1065</v>
      </c>
      <c r="F776" t="s">
        <v>1078</v>
      </c>
      <c r="G776" t="s">
        <v>1061</v>
      </c>
      <c r="H776" s="18">
        <v>45119</v>
      </c>
      <c r="I776" t="s">
        <v>797</v>
      </c>
      <c r="J776" t="s">
        <v>20</v>
      </c>
      <c r="K776" t="s">
        <v>1034</v>
      </c>
      <c r="L776">
        <v>26</v>
      </c>
      <c r="M776" t="s">
        <v>26</v>
      </c>
      <c r="N776">
        <v>1</v>
      </c>
      <c r="O776">
        <v>30</v>
      </c>
      <c r="P776">
        <v>30</v>
      </c>
      <c r="Q776">
        <v>0.44999999999999996</v>
      </c>
      <c r="R776">
        <v>0.6</v>
      </c>
    </row>
    <row r="777" spans="1:18" x14ac:dyDescent="0.35">
      <c r="A777">
        <v>773</v>
      </c>
      <c r="B777">
        <v>23</v>
      </c>
      <c r="C777">
        <v>7</v>
      </c>
      <c r="D777">
        <v>2023</v>
      </c>
      <c r="E777" t="s">
        <v>1063</v>
      </c>
      <c r="F777" t="s">
        <v>1078</v>
      </c>
      <c r="G777" t="s">
        <v>1061</v>
      </c>
      <c r="H777" s="18">
        <v>45130</v>
      </c>
      <c r="I777" t="s">
        <v>798</v>
      </c>
      <c r="J777" t="s">
        <v>20</v>
      </c>
      <c r="K777" t="s">
        <v>1034</v>
      </c>
      <c r="L777">
        <v>25</v>
      </c>
      <c r="M777" t="s">
        <v>26</v>
      </c>
      <c r="N777">
        <v>4</v>
      </c>
      <c r="O777">
        <v>500</v>
      </c>
      <c r="P777">
        <v>2000</v>
      </c>
      <c r="Q777">
        <v>30</v>
      </c>
      <c r="R777">
        <v>40</v>
      </c>
    </row>
    <row r="778" spans="1:18" x14ac:dyDescent="0.35">
      <c r="A778">
        <v>774</v>
      </c>
      <c r="B778">
        <v>12</v>
      </c>
      <c r="C778">
        <v>4</v>
      </c>
      <c r="D778">
        <v>2023</v>
      </c>
      <c r="E778" t="s">
        <v>1065</v>
      </c>
      <c r="F778" t="s">
        <v>1077</v>
      </c>
      <c r="G778" t="s">
        <v>1061</v>
      </c>
      <c r="H778" s="18">
        <v>45028</v>
      </c>
      <c r="I778" t="s">
        <v>799</v>
      </c>
      <c r="J778" t="s">
        <v>23</v>
      </c>
      <c r="K778" t="s">
        <v>1030</v>
      </c>
      <c r="L778">
        <v>40</v>
      </c>
      <c r="M778" t="s">
        <v>24</v>
      </c>
      <c r="N778">
        <v>2</v>
      </c>
      <c r="O778">
        <v>25</v>
      </c>
      <c r="P778">
        <v>50</v>
      </c>
      <c r="Q778">
        <v>0.75</v>
      </c>
      <c r="R778">
        <v>1</v>
      </c>
    </row>
    <row r="779" spans="1:18" x14ac:dyDescent="0.35">
      <c r="A779">
        <v>775</v>
      </c>
      <c r="B779">
        <v>8</v>
      </c>
      <c r="C779">
        <v>2</v>
      </c>
      <c r="D779">
        <v>2023</v>
      </c>
      <c r="E779" t="s">
        <v>1065</v>
      </c>
      <c r="F779" t="s">
        <v>1073</v>
      </c>
      <c r="G779" t="s">
        <v>1061</v>
      </c>
      <c r="H779" s="18">
        <v>44965</v>
      </c>
      <c r="I779" t="s">
        <v>800</v>
      </c>
      <c r="J779" t="s">
        <v>23</v>
      </c>
      <c r="K779" t="s">
        <v>1030</v>
      </c>
      <c r="L779">
        <v>46</v>
      </c>
      <c r="M779" t="s">
        <v>26</v>
      </c>
      <c r="N779">
        <v>4</v>
      </c>
      <c r="O779">
        <v>25</v>
      </c>
      <c r="P779">
        <v>100</v>
      </c>
      <c r="Q779">
        <v>1.5</v>
      </c>
      <c r="R779">
        <v>2</v>
      </c>
    </row>
    <row r="780" spans="1:18" x14ac:dyDescent="0.35">
      <c r="A780">
        <v>776</v>
      </c>
      <c r="B780">
        <v>31</v>
      </c>
      <c r="C780">
        <v>10</v>
      </c>
      <c r="D780">
        <v>2023</v>
      </c>
      <c r="E780" t="s">
        <v>1059</v>
      </c>
      <c r="F780" t="s">
        <v>1064</v>
      </c>
      <c r="G780" t="s">
        <v>1061</v>
      </c>
      <c r="H780" s="18">
        <v>45230</v>
      </c>
      <c r="I780" t="s">
        <v>801</v>
      </c>
      <c r="J780" t="s">
        <v>20</v>
      </c>
      <c r="K780" t="s">
        <v>1030</v>
      </c>
      <c r="L780">
        <v>35</v>
      </c>
      <c r="M780" t="s">
        <v>24</v>
      </c>
      <c r="N780">
        <v>3</v>
      </c>
      <c r="O780">
        <v>30</v>
      </c>
      <c r="P780">
        <v>90</v>
      </c>
      <c r="Q780">
        <v>1.3499999999999999</v>
      </c>
      <c r="R780">
        <v>1.8</v>
      </c>
    </row>
    <row r="781" spans="1:18" x14ac:dyDescent="0.35">
      <c r="A781">
        <v>777</v>
      </c>
      <c r="B781">
        <v>20</v>
      </c>
      <c r="C781">
        <v>12</v>
      </c>
      <c r="D781">
        <v>2023</v>
      </c>
      <c r="E781" t="s">
        <v>1065</v>
      </c>
      <c r="F781" t="s">
        <v>1062</v>
      </c>
      <c r="G781" t="s">
        <v>1061</v>
      </c>
      <c r="H781" s="18">
        <v>45280</v>
      </c>
      <c r="I781" t="s">
        <v>802</v>
      </c>
      <c r="J781" t="s">
        <v>20</v>
      </c>
      <c r="K781" t="s">
        <v>1030</v>
      </c>
      <c r="L781">
        <v>48</v>
      </c>
      <c r="M781" t="s">
        <v>26</v>
      </c>
      <c r="N781">
        <v>3</v>
      </c>
      <c r="O781">
        <v>50</v>
      </c>
      <c r="P781">
        <v>150</v>
      </c>
      <c r="Q781">
        <v>2.25</v>
      </c>
      <c r="R781">
        <v>3</v>
      </c>
    </row>
    <row r="782" spans="1:18" x14ac:dyDescent="0.35">
      <c r="A782">
        <v>778</v>
      </c>
      <c r="B782">
        <v>18</v>
      </c>
      <c r="C782">
        <v>11</v>
      </c>
      <c r="D782">
        <v>2023</v>
      </c>
      <c r="E782" t="s">
        <v>1075</v>
      </c>
      <c r="F782" t="s">
        <v>1068</v>
      </c>
      <c r="G782" t="s">
        <v>1061</v>
      </c>
      <c r="H782" s="18">
        <v>45248</v>
      </c>
      <c r="I782" t="s">
        <v>803</v>
      </c>
      <c r="J782" t="s">
        <v>23</v>
      </c>
      <c r="K782" t="s">
        <v>1030</v>
      </c>
      <c r="L782">
        <v>47</v>
      </c>
      <c r="M782" t="s">
        <v>21</v>
      </c>
      <c r="N782">
        <v>4</v>
      </c>
      <c r="O782">
        <v>25</v>
      </c>
      <c r="P782">
        <v>100</v>
      </c>
      <c r="Q782">
        <v>1.5</v>
      </c>
      <c r="R782">
        <v>2</v>
      </c>
    </row>
    <row r="783" spans="1:18" x14ac:dyDescent="0.35">
      <c r="A783">
        <v>779</v>
      </c>
      <c r="B783">
        <v>5</v>
      </c>
      <c r="C783">
        <v>5</v>
      </c>
      <c r="D783">
        <v>2023</v>
      </c>
      <c r="E783" t="s">
        <v>1070</v>
      </c>
      <c r="F783" t="s">
        <v>1076</v>
      </c>
      <c r="G783" t="s">
        <v>1061</v>
      </c>
      <c r="H783" s="18">
        <v>45051</v>
      </c>
      <c r="I783" t="s">
        <v>804</v>
      </c>
      <c r="J783" t="s">
        <v>23</v>
      </c>
      <c r="K783" t="s">
        <v>1032</v>
      </c>
      <c r="L783">
        <v>56</v>
      </c>
      <c r="M783" t="s">
        <v>26</v>
      </c>
      <c r="N783">
        <v>2</v>
      </c>
      <c r="O783">
        <v>500</v>
      </c>
      <c r="P783">
        <v>1000</v>
      </c>
      <c r="Q783">
        <v>15</v>
      </c>
      <c r="R783">
        <v>20</v>
      </c>
    </row>
    <row r="784" spans="1:18" x14ac:dyDescent="0.35">
      <c r="A784">
        <v>780</v>
      </c>
      <c r="B784">
        <v>22</v>
      </c>
      <c r="C784">
        <v>2</v>
      </c>
      <c r="D784">
        <v>2023</v>
      </c>
      <c r="E784" t="s">
        <v>1065</v>
      </c>
      <c r="F784" t="s">
        <v>1073</v>
      </c>
      <c r="G784" t="s">
        <v>1061</v>
      </c>
      <c r="H784" s="18">
        <v>44979</v>
      </c>
      <c r="I784" t="s">
        <v>805</v>
      </c>
      <c r="J784" t="s">
        <v>20</v>
      </c>
      <c r="K784" t="s">
        <v>1032</v>
      </c>
      <c r="L784">
        <v>52</v>
      </c>
      <c r="M784" t="s">
        <v>26</v>
      </c>
      <c r="N784">
        <v>2</v>
      </c>
      <c r="O784">
        <v>25</v>
      </c>
      <c r="P784">
        <v>50</v>
      </c>
      <c r="Q784">
        <v>0.75</v>
      </c>
      <c r="R784">
        <v>1</v>
      </c>
    </row>
    <row r="785" spans="1:18" x14ac:dyDescent="0.35">
      <c r="A785">
        <v>781</v>
      </c>
      <c r="B785">
        <v>23</v>
      </c>
      <c r="C785">
        <v>12</v>
      </c>
      <c r="D785">
        <v>2023</v>
      </c>
      <c r="E785" t="s">
        <v>1075</v>
      </c>
      <c r="F785" t="s">
        <v>1062</v>
      </c>
      <c r="G785" t="s">
        <v>1061</v>
      </c>
      <c r="H785" s="18">
        <v>45283</v>
      </c>
      <c r="I785" t="s">
        <v>806</v>
      </c>
      <c r="J785" t="s">
        <v>20</v>
      </c>
      <c r="K785" t="s">
        <v>1030</v>
      </c>
      <c r="L785">
        <v>35</v>
      </c>
      <c r="M785" t="s">
        <v>21</v>
      </c>
      <c r="N785">
        <v>1</v>
      </c>
      <c r="O785">
        <v>500</v>
      </c>
      <c r="P785">
        <v>500</v>
      </c>
      <c r="Q785">
        <v>7.5</v>
      </c>
      <c r="R785">
        <v>10</v>
      </c>
    </row>
    <row r="786" spans="1:18" x14ac:dyDescent="0.35">
      <c r="A786">
        <v>782</v>
      </c>
      <c r="B786">
        <v>4</v>
      </c>
      <c r="C786">
        <v>6</v>
      </c>
      <c r="D786">
        <v>2023</v>
      </c>
      <c r="E786" t="s">
        <v>1063</v>
      </c>
      <c r="F786" t="s">
        <v>1069</v>
      </c>
      <c r="G786" t="s">
        <v>1061</v>
      </c>
      <c r="H786" s="18">
        <v>45081</v>
      </c>
      <c r="I786" t="s">
        <v>807</v>
      </c>
      <c r="J786" t="s">
        <v>20</v>
      </c>
      <c r="K786" t="s">
        <v>1032</v>
      </c>
      <c r="L786">
        <v>59</v>
      </c>
      <c r="M786" t="s">
        <v>24</v>
      </c>
      <c r="N786">
        <v>3</v>
      </c>
      <c r="O786">
        <v>300</v>
      </c>
      <c r="P786">
        <v>900</v>
      </c>
      <c r="Q786">
        <v>13.5</v>
      </c>
      <c r="R786">
        <v>18</v>
      </c>
    </row>
    <row r="787" spans="1:18" x14ac:dyDescent="0.35">
      <c r="A787">
        <v>783</v>
      </c>
      <c r="B787">
        <v>17</v>
      </c>
      <c r="C787">
        <v>12</v>
      </c>
      <c r="D787">
        <v>2023</v>
      </c>
      <c r="E787" t="s">
        <v>1063</v>
      </c>
      <c r="F787" t="s">
        <v>1062</v>
      </c>
      <c r="G787" t="s">
        <v>1061</v>
      </c>
      <c r="H787" s="18">
        <v>45277</v>
      </c>
      <c r="I787" t="s">
        <v>808</v>
      </c>
      <c r="J787" t="s">
        <v>23</v>
      </c>
      <c r="K787" t="s">
        <v>1032</v>
      </c>
      <c r="L787">
        <v>56</v>
      </c>
      <c r="M787" t="s">
        <v>24</v>
      </c>
      <c r="N787">
        <v>1</v>
      </c>
      <c r="O787">
        <v>300</v>
      </c>
      <c r="P787">
        <v>300</v>
      </c>
      <c r="Q787">
        <v>4.5</v>
      </c>
      <c r="R787">
        <v>6</v>
      </c>
    </row>
    <row r="788" spans="1:18" x14ac:dyDescent="0.35">
      <c r="A788">
        <v>784</v>
      </c>
      <c r="B788">
        <v>4</v>
      </c>
      <c r="C788">
        <v>11</v>
      </c>
      <c r="D788">
        <v>2023</v>
      </c>
      <c r="E788" t="s">
        <v>1075</v>
      </c>
      <c r="F788" t="s">
        <v>1068</v>
      </c>
      <c r="G788" t="s">
        <v>1061</v>
      </c>
      <c r="H788" s="18">
        <v>45234</v>
      </c>
      <c r="I788" t="s">
        <v>809</v>
      </c>
      <c r="J788" t="s">
        <v>23</v>
      </c>
      <c r="K788" t="s">
        <v>1030</v>
      </c>
      <c r="L788">
        <v>34</v>
      </c>
      <c r="M788" t="s">
        <v>26</v>
      </c>
      <c r="N788">
        <v>1</v>
      </c>
      <c r="O788">
        <v>500</v>
      </c>
      <c r="P788">
        <v>500</v>
      </c>
      <c r="Q788">
        <v>7.5</v>
      </c>
      <c r="R788">
        <v>10</v>
      </c>
    </row>
    <row r="789" spans="1:18" x14ac:dyDescent="0.35">
      <c r="A789">
        <v>785</v>
      </c>
      <c r="B789">
        <v>3</v>
      </c>
      <c r="C789">
        <v>3</v>
      </c>
      <c r="D789">
        <v>2023</v>
      </c>
      <c r="E789" t="s">
        <v>1070</v>
      </c>
      <c r="F789" t="s">
        <v>1066</v>
      </c>
      <c r="G789" t="s">
        <v>1061</v>
      </c>
      <c r="H789" s="18">
        <v>44988</v>
      </c>
      <c r="I789" t="s">
        <v>810</v>
      </c>
      <c r="J789" t="s">
        <v>23</v>
      </c>
      <c r="K789" t="s">
        <v>1030</v>
      </c>
      <c r="L789">
        <v>31</v>
      </c>
      <c r="M789" t="s">
        <v>21</v>
      </c>
      <c r="N789">
        <v>4</v>
      </c>
      <c r="O789">
        <v>50</v>
      </c>
      <c r="P789">
        <v>200</v>
      </c>
      <c r="Q789">
        <v>3</v>
      </c>
      <c r="R789">
        <v>4</v>
      </c>
    </row>
    <row r="790" spans="1:18" x14ac:dyDescent="0.35">
      <c r="A790">
        <v>786</v>
      </c>
      <c r="B790">
        <v>17</v>
      </c>
      <c r="C790">
        <v>10</v>
      </c>
      <c r="D790">
        <v>2023</v>
      </c>
      <c r="E790" t="s">
        <v>1059</v>
      </c>
      <c r="F790" t="s">
        <v>1064</v>
      </c>
      <c r="G790" t="s">
        <v>1061</v>
      </c>
      <c r="H790" s="18">
        <v>45216</v>
      </c>
      <c r="I790" t="s">
        <v>811</v>
      </c>
      <c r="J790" t="s">
        <v>20</v>
      </c>
      <c r="K790" t="s">
        <v>1030</v>
      </c>
      <c r="L790">
        <v>48</v>
      </c>
      <c r="M790" t="s">
        <v>24</v>
      </c>
      <c r="N790">
        <v>4</v>
      </c>
      <c r="O790">
        <v>25</v>
      </c>
      <c r="P790">
        <v>100</v>
      </c>
      <c r="Q790">
        <v>1.5</v>
      </c>
      <c r="R790">
        <v>2</v>
      </c>
    </row>
    <row r="791" spans="1:18" x14ac:dyDescent="0.35">
      <c r="A791">
        <v>787</v>
      </c>
      <c r="B791">
        <v>22</v>
      </c>
      <c r="C791">
        <v>1</v>
      </c>
      <c r="D791">
        <v>2023</v>
      </c>
      <c r="E791" t="s">
        <v>1063</v>
      </c>
      <c r="F791" t="s">
        <v>1060</v>
      </c>
      <c r="G791" t="s">
        <v>1061</v>
      </c>
      <c r="H791" s="18">
        <v>44948</v>
      </c>
      <c r="I791" t="s">
        <v>812</v>
      </c>
      <c r="J791" t="s">
        <v>20</v>
      </c>
      <c r="K791" t="s">
        <v>1030</v>
      </c>
      <c r="L791">
        <v>41</v>
      </c>
      <c r="M791" t="s">
        <v>26</v>
      </c>
      <c r="N791">
        <v>1</v>
      </c>
      <c r="O791">
        <v>25</v>
      </c>
      <c r="P791">
        <v>25</v>
      </c>
      <c r="Q791">
        <v>0.375</v>
      </c>
      <c r="R791">
        <v>0.5</v>
      </c>
    </row>
    <row r="792" spans="1:18" x14ac:dyDescent="0.35">
      <c r="A792">
        <v>788</v>
      </c>
      <c r="B792">
        <v>27</v>
      </c>
      <c r="C792">
        <v>6</v>
      </c>
      <c r="D792">
        <v>2023</v>
      </c>
      <c r="E792" t="s">
        <v>1059</v>
      </c>
      <c r="F792" t="s">
        <v>1069</v>
      </c>
      <c r="G792" t="s">
        <v>1061</v>
      </c>
      <c r="H792" s="18">
        <v>45104</v>
      </c>
      <c r="I792" t="s">
        <v>813</v>
      </c>
      <c r="J792" t="s">
        <v>23</v>
      </c>
      <c r="K792" t="s">
        <v>1032</v>
      </c>
      <c r="L792">
        <v>52</v>
      </c>
      <c r="M792" t="s">
        <v>21</v>
      </c>
      <c r="N792">
        <v>3</v>
      </c>
      <c r="O792">
        <v>300</v>
      </c>
      <c r="P792">
        <v>900</v>
      </c>
      <c r="Q792">
        <v>13.5</v>
      </c>
      <c r="R792">
        <v>18</v>
      </c>
    </row>
    <row r="793" spans="1:18" x14ac:dyDescent="0.35">
      <c r="A793">
        <v>789</v>
      </c>
      <c r="B793">
        <v>30</v>
      </c>
      <c r="C793">
        <v>9</v>
      </c>
      <c r="D793">
        <v>2023</v>
      </c>
      <c r="E793" t="s">
        <v>1075</v>
      </c>
      <c r="F793" t="s">
        <v>1071</v>
      </c>
      <c r="G793" t="s">
        <v>1061</v>
      </c>
      <c r="H793" s="18">
        <v>45199</v>
      </c>
      <c r="I793" t="s">
        <v>814</v>
      </c>
      <c r="J793" t="s">
        <v>23</v>
      </c>
      <c r="K793" t="s">
        <v>1032</v>
      </c>
      <c r="L793">
        <v>61</v>
      </c>
      <c r="M793" t="s">
        <v>24</v>
      </c>
      <c r="N793">
        <v>4</v>
      </c>
      <c r="O793">
        <v>500</v>
      </c>
      <c r="P793">
        <v>2000</v>
      </c>
      <c r="Q793">
        <v>30</v>
      </c>
      <c r="R793">
        <v>40</v>
      </c>
    </row>
    <row r="794" spans="1:18" x14ac:dyDescent="0.35">
      <c r="A794">
        <v>790</v>
      </c>
      <c r="B794">
        <v>8</v>
      </c>
      <c r="C794">
        <v>8</v>
      </c>
      <c r="D794">
        <v>2023</v>
      </c>
      <c r="E794" t="s">
        <v>1059</v>
      </c>
      <c r="F794" t="s">
        <v>1074</v>
      </c>
      <c r="G794" t="s">
        <v>1061</v>
      </c>
      <c r="H794" s="18">
        <v>45146</v>
      </c>
      <c r="I794" t="s">
        <v>815</v>
      </c>
      <c r="J794" t="s">
        <v>20</v>
      </c>
      <c r="K794" t="s">
        <v>1032</v>
      </c>
      <c r="L794">
        <v>62</v>
      </c>
      <c r="M794" t="s">
        <v>24</v>
      </c>
      <c r="N794">
        <v>1</v>
      </c>
      <c r="O794">
        <v>25</v>
      </c>
      <c r="P794">
        <v>25</v>
      </c>
      <c r="Q794">
        <v>0.375</v>
      </c>
      <c r="R794">
        <v>0.5</v>
      </c>
    </row>
    <row r="795" spans="1:18" x14ac:dyDescent="0.35">
      <c r="A795">
        <v>791</v>
      </c>
      <c r="B795">
        <v>5</v>
      </c>
      <c r="C795">
        <v>12</v>
      </c>
      <c r="D795">
        <v>2023</v>
      </c>
      <c r="E795" t="s">
        <v>1059</v>
      </c>
      <c r="F795" t="s">
        <v>1062</v>
      </c>
      <c r="G795" t="s">
        <v>1061</v>
      </c>
      <c r="H795" s="18">
        <v>45265</v>
      </c>
      <c r="I795" t="s">
        <v>816</v>
      </c>
      <c r="J795" t="s">
        <v>23</v>
      </c>
      <c r="K795" t="s">
        <v>1032</v>
      </c>
      <c r="L795">
        <v>51</v>
      </c>
      <c r="M795" t="s">
        <v>21</v>
      </c>
      <c r="N795">
        <v>1</v>
      </c>
      <c r="O795">
        <v>25</v>
      </c>
      <c r="P795">
        <v>25</v>
      </c>
      <c r="Q795">
        <v>0.375</v>
      </c>
      <c r="R795">
        <v>0.5</v>
      </c>
    </row>
    <row r="796" spans="1:18" x14ac:dyDescent="0.35">
      <c r="A796">
        <v>792</v>
      </c>
      <c r="B796">
        <v>9</v>
      </c>
      <c r="C796">
        <v>7</v>
      </c>
      <c r="D796">
        <v>2023</v>
      </c>
      <c r="E796" t="s">
        <v>1063</v>
      </c>
      <c r="F796" t="s">
        <v>1078</v>
      </c>
      <c r="G796" t="s">
        <v>1061</v>
      </c>
      <c r="H796" s="18">
        <v>45116</v>
      </c>
      <c r="I796" t="s">
        <v>817</v>
      </c>
      <c r="J796" t="s">
        <v>23</v>
      </c>
      <c r="K796" t="s">
        <v>1034</v>
      </c>
      <c r="L796">
        <v>20</v>
      </c>
      <c r="M796" t="s">
        <v>21</v>
      </c>
      <c r="N796">
        <v>1</v>
      </c>
      <c r="O796">
        <v>50</v>
      </c>
      <c r="P796">
        <v>50</v>
      </c>
      <c r="Q796">
        <v>0.75</v>
      </c>
      <c r="R796">
        <v>1</v>
      </c>
    </row>
    <row r="797" spans="1:18" x14ac:dyDescent="0.35">
      <c r="A797">
        <v>793</v>
      </c>
      <c r="B797">
        <v>5</v>
      </c>
      <c r="C797">
        <v>2</v>
      </c>
      <c r="D797">
        <v>2023</v>
      </c>
      <c r="E797" t="s">
        <v>1063</v>
      </c>
      <c r="F797" t="s">
        <v>1073</v>
      </c>
      <c r="G797" t="s">
        <v>1061</v>
      </c>
      <c r="H797" s="18">
        <v>44962</v>
      </c>
      <c r="I797" t="s">
        <v>818</v>
      </c>
      <c r="J797" t="s">
        <v>20</v>
      </c>
      <c r="K797" t="s">
        <v>1032</v>
      </c>
      <c r="L797">
        <v>54</v>
      </c>
      <c r="M797" t="s">
        <v>21</v>
      </c>
      <c r="N797">
        <v>1</v>
      </c>
      <c r="O797">
        <v>30</v>
      </c>
      <c r="P797">
        <v>30</v>
      </c>
      <c r="Q797">
        <v>0.44999999999999996</v>
      </c>
      <c r="R797">
        <v>0.6</v>
      </c>
    </row>
    <row r="798" spans="1:18" x14ac:dyDescent="0.35">
      <c r="A798">
        <v>794</v>
      </c>
      <c r="B798">
        <v>17</v>
      </c>
      <c r="C798">
        <v>9</v>
      </c>
      <c r="D798">
        <v>2023</v>
      </c>
      <c r="E798" t="s">
        <v>1063</v>
      </c>
      <c r="F798" t="s">
        <v>1071</v>
      </c>
      <c r="G798" t="s">
        <v>1061</v>
      </c>
      <c r="H798" s="18">
        <v>45186</v>
      </c>
      <c r="I798" t="s">
        <v>819</v>
      </c>
      <c r="J798" t="s">
        <v>23</v>
      </c>
      <c r="K798" t="s">
        <v>1032</v>
      </c>
      <c r="L798">
        <v>60</v>
      </c>
      <c r="M798" t="s">
        <v>21</v>
      </c>
      <c r="N798">
        <v>1</v>
      </c>
      <c r="O798">
        <v>300</v>
      </c>
      <c r="P798">
        <v>300</v>
      </c>
      <c r="Q798">
        <v>4.5</v>
      </c>
      <c r="R798">
        <v>6</v>
      </c>
    </row>
    <row r="799" spans="1:18" x14ac:dyDescent="0.35">
      <c r="A799">
        <v>795</v>
      </c>
      <c r="B799">
        <v>28</v>
      </c>
      <c r="C799">
        <v>11</v>
      </c>
      <c r="D799">
        <v>2023</v>
      </c>
      <c r="E799" t="s">
        <v>1059</v>
      </c>
      <c r="F799" t="s">
        <v>1068</v>
      </c>
      <c r="G799" t="s">
        <v>1061</v>
      </c>
      <c r="H799" s="18">
        <v>45258</v>
      </c>
      <c r="I799" t="s">
        <v>820</v>
      </c>
      <c r="J799" t="s">
        <v>20</v>
      </c>
      <c r="K799" t="s">
        <v>1032</v>
      </c>
      <c r="L799">
        <v>57</v>
      </c>
      <c r="M799" t="s">
        <v>26</v>
      </c>
      <c r="N799">
        <v>1</v>
      </c>
      <c r="O799">
        <v>300</v>
      </c>
      <c r="P799">
        <v>300</v>
      </c>
      <c r="Q799">
        <v>4.5</v>
      </c>
      <c r="R799">
        <v>6</v>
      </c>
    </row>
    <row r="800" spans="1:18" x14ac:dyDescent="0.35">
      <c r="A800">
        <v>796</v>
      </c>
      <c r="B800">
        <v>24</v>
      </c>
      <c r="C800">
        <v>6</v>
      </c>
      <c r="D800">
        <v>2023</v>
      </c>
      <c r="E800" t="s">
        <v>1075</v>
      </c>
      <c r="F800" t="s">
        <v>1069</v>
      </c>
      <c r="G800" t="s">
        <v>1061</v>
      </c>
      <c r="H800" s="18">
        <v>45101</v>
      </c>
      <c r="I800" t="s">
        <v>821</v>
      </c>
      <c r="J800" t="s">
        <v>20</v>
      </c>
      <c r="K800" t="s">
        <v>1030</v>
      </c>
      <c r="L800">
        <v>43</v>
      </c>
      <c r="M800" t="s">
        <v>21</v>
      </c>
      <c r="N800">
        <v>4</v>
      </c>
      <c r="O800">
        <v>30</v>
      </c>
      <c r="P800">
        <v>120</v>
      </c>
      <c r="Q800">
        <v>1.7999999999999998</v>
      </c>
      <c r="R800">
        <v>2.4</v>
      </c>
    </row>
    <row r="801" spans="1:18" x14ac:dyDescent="0.35">
      <c r="A801">
        <v>797</v>
      </c>
      <c r="B801">
        <v>7</v>
      </c>
      <c r="C801">
        <v>1</v>
      </c>
      <c r="D801">
        <v>2023</v>
      </c>
      <c r="E801" t="s">
        <v>1075</v>
      </c>
      <c r="F801" t="s">
        <v>1060</v>
      </c>
      <c r="G801" t="s">
        <v>1061</v>
      </c>
      <c r="H801" s="18">
        <v>44933</v>
      </c>
      <c r="I801" t="s">
        <v>822</v>
      </c>
      <c r="J801" t="s">
        <v>20</v>
      </c>
      <c r="K801" t="s">
        <v>1030</v>
      </c>
      <c r="L801">
        <v>40</v>
      </c>
      <c r="M801" t="s">
        <v>24</v>
      </c>
      <c r="N801">
        <v>3</v>
      </c>
      <c r="O801">
        <v>25</v>
      </c>
      <c r="P801">
        <v>75</v>
      </c>
      <c r="Q801">
        <v>1.125</v>
      </c>
      <c r="R801">
        <v>1.5</v>
      </c>
    </row>
    <row r="802" spans="1:18" x14ac:dyDescent="0.35">
      <c r="A802">
        <v>798</v>
      </c>
      <c r="B802">
        <v>4</v>
      </c>
      <c r="C802">
        <v>8</v>
      </c>
      <c r="D802">
        <v>2023</v>
      </c>
      <c r="E802" t="s">
        <v>1070</v>
      </c>
      <c r="F802" t="s">
        <v>1074</v>
      </c>
      <c r="G802" t="s">
        <v>1061</v>
      </c>
      <c r="H802" s="18">
        <v>45142</v>
      </c>
      <c r="I802" t="s">
        <v>823</v>
      </c>
      <c r="J802" t="s">
        <v>20</v>
      </c>
      <c r="K802" t="s">
        <v>1032</v>
      </c>
      <c r="L802">
        <v>61</v>
      </c>
      <c r="M802" t="s">
        <v>24</v>
      </c>
      <c r="N802">
        <v>1</v>
      </c>
      <c r="O802">
        <v>50</v>
      </c>
      <c r="P802">
        <v>50</v>
      </c>
      <c r="Q802">
        <v>0.75</v>
      </c>
      <c r="R802">
        <v>1</v>
      </c>
    </row>
    <row r="803" spans="1:18" x14ac:dyDescent="0.35">
      <c r="A803">
        <v>799</v>
      </c>
      <c r="B803">
        <v>8</v>
      </c>
      <c r="C803">
        <v>9</v>
      </c>
      <c r="D803">
        <v>2023</v>
      </c>
      <c r="E803" t="s">
        <v>1070</v>
      </c>
      <c r="F803" t="s">
        <v>1071</v>
      </c>
      <c r="G803" t="s">
        <v>1061</v>
      </c>
      <c r="H803" s="18">
        <v>45177</v>
      </c>
      <c r="I803" t="s">
        <v>824</v>
      </c>
      <c r="J803" t="s">
        <v>20</v>
      </c>
      <c r="K803" t="s">
        <v>1032</v>
      </c>
      <c r="L803">
        <v>56</v>
      </c>
      <c r="M803" t="s">
        <v>26</v>
      </c>
      <c r="N803">
        <v>2</v>
      </c>
      <c r="O803">
        <v>50</v>
      </c>
      <c r="P803">
        <v>100</v>
      </c>
      <c r="Q803">
        <v>1.5</v>
      </c>
      <c r="R803">
        <v>2</v>
      </c>
    </row>
    <row r="804" spans="1:18" x14ac:dyDescent="0.35">
      <c r="A804">
        <v>800</v>
      </c>
      <c r="B804">
        <v>24</v>
      </c>
      <c r="C804">
        <v>2</v>
      </c>
      <c r="D804">
        <v>2023</v>
      </c>
      <c r="E804" t="s">
        <v>1070</v>
      </c>
      <c r="F804" t="s">
        <v>1073</v>
      </c>
      <c r="G804" t="s">
        <v>1061</v>
      </c>
      <c r="H804" s="18">
        <v>44981</v>
      </c>
      <c r="I804" t="s">
        <v>825</v>
      </c>
      <c r="J804" t="s">
        <v>20</v>
      </c>
      <c r="K804" t="s">
        <v>1030</v>
      </c>
      <c r="L804">
        <v>32</v>
      </c>
      <c r="M804" t="s">
        <v>24</v>
      </c>
      <c r="N804">
        <v>4</v>
      </c>
      <c r="O804">
        <v>300</v>
      </c>
      <c r="P804">
        <v>1200</v>
      </c>
      <c r="Q804">
        <v>18</v>
      </c>
      <c r="R804">
        <v>24</v>
      </c>
    </row>
    <row r="805" spans="1:18" x14ac:dyDescent="0.35">
      <c r="A805">
        <v>801</v>
      </c>
      <c r="B805">
        <v>10</v>
      </c>
      <c r="C805">
        <v>8</v>
      </c>
      <c r="D805">
        <v>2023</v>
      </c>
      <c r="E805" t="s">
        <v>1072</v>
      </c>
      <c r="F805" t="s">
        <v>1074</v>
      </c>
      <c r="G805" t="s">
        <v>1061</v>
      </c>
      <c r="H805" s="18">
        <v>45148</v>
      </c>
      <c r="I805" t="s">
        <v>826</v>
      </c>
      <c r="J805" t="s">
        <v>20</v>
      </c>
      <c r="K805" t="s">
        <v>1034</v>
      </c>
      <c r="L805">
        <v>21</v>
      </c>
      <c r="M805" t="s">
        <v>24</v>
      </c>
      <c r="N805">
        <v>4</v>
      </c>
      <c r="O805">
        <v>50</v>
      </c>
      <c r="P805">
        <v>200</v>
      </c>
      <c r="Q805">
        <v>3</v>
      </c>
      <c r="R805">
        <v>4</v>
      </c>
    </row>
    <row r="806" spans="1:18" x14ac:dyDescent="0.35">
      <c r="A806">
        <v>802</v>
      </c>
      <c r="B806">
        <v>5</v>
      </c>
      <c r="C806">
        <v>7</v>
      </c>
      <c r="D806">
        <v>2023</v>
      </c>
      <c r="E806" t="s">
        <v>1065</v>
      </c>
      <c r="F806" t="s">
        <v>1078</v>
      </c>
      <c r="G806" t="s">
        <v>1061</v>
      </c>
      <c r="H806" s="18">
        <v>45112</v>
      </c>
      <c r="I806" t="s">
        <v>827</v>
      </c>
      <c r="J806" t="s">
        <v>23</v>
      </c>
      <c r="K806" t="s">
        <v>1030</v>
      </c>
      <c r="L806">
        <v>46</v>
      </c>
      <c r="M806" t="s">
        <v>21</v>
      </c>
      <c r="N806">
        <v>1</v>
      </c>
      <c r="O806">
        <v>30</v>
      </c>
      <c r="P806">
        <v>30</v>
      </c>
      <c r="Q806">
        <v>0.44999999999999996</v>
      </c>
      <c r="R806">
        <v>0.6</v>
      </c>
    </row>
    <row r="807" spans="1:18" x14ac:dyDescent="0.35">
      <c r="A807">
        <v>803</v>
      </c>
      <c r="B807">
        <v>22</v>
      </c>
      <c r="C807">
        <v>11</v>
      </c>
      <c r="D807">
        <v>2023</v>
      </c>
      <c r="E807" t="s">
        <v>1065</v>
      </c>
      <c r="F807" t="s">
        <v>1068</v>
      </c>
      <c r="G807" t="s">
        <v>1061</v>
      </c>
      <c r="H807" s="18">
        <v>45252</v>
      </c>
      <c r="I807" t="s">
        <v>828</v>
      </c>
      <c r="J807" t="s">
        <v>20</v>
      </c>
      <c r="K807" t="s">
        <v>1030</v>
      </c>
      <c r="L807">
        <v>39</v>
      </c>
      <c r="M807" t="s">
        <v>24</v>
      </c>
      <c r="N807">
        <v>4</v>
      </c>
      <c r="O807">
        <v>25</v>
      </c>
      <c r="P807">
        <v>100</v>
      </c>
      <c r="Q807">
        <v>1.5</v>
      </c>
      <c r="R807">
        <v>2</v>
      </c>
    </row>
    <row r="808" spans="1:18" x14ac:dyDescent="0.35">
      <c r="A808">
        <v>804</v>
      </c>
      <c r="B808">
        <v>24</v>
      </c>
      <c r="C808">
        <v>8</v>
      </c>
      <c r="D808">
        <v>2023</v>
      </c>
      <c r="E808" t="s">
        <v>1072</v>
      </c>
      <c r="F808" t="s">
        <v>1074</v>
      </c>
      <c r="G808" t="s">
        <v>1061</v>
      </c>
      <c r="H808" s="18">
        <v>45162</v>
      </c>
      <c r="I808" t="s">
        <v>829</v>
      </c>
      <c r="J808" t="s">
        <v>20</v>
      </c>
      <c r="K808" t="s">
        <v>1030</v>
      </c>
      <c r="L808">
        <v>42</v>
      </c>
      <c r="M808" t="s">
        <v>26</v>
      </c>
      <c r="N808">
        <v>1</v>
      </c>
      <c r="O808">
        <v>30</v>
      </c>
      <c r="P808">
        <v>30</v>
      </c>
      <c r="Q808">
        <v>0.44999999999999996</v>
      </c>
      <c r="R808">
        <v>0.6</v>
      </c>
    </row>
    <row r="809" spans="1:18" x14ac:dyDescent="0.35">
      <c r="A809">
        <v>805</v>
      </c>
      <c r="B809">
        <v>29</v>
      </c>
      <c r="C809">
        <v>12</v>
      </c>
      <c r="D809">
        <v>2023</v>
      </c>
      <c r="E809" t="s">
        <v>1070</v>
      </c>
      <c r="F809" t="s">
        <v>1062</v>
      </c>
      <c r="G809" t="s">
        <v>1061</v>
      </c>
      <c r="H809" s="18">
        <v>45289</v>
      </c>
      <c r="I809" t="s">
        <v>830</v>
      </c>
      <c r="J809" t="s">
        <v>23</v>
      </c>
      <c r="K809" t="s">
        <v>1030</v>
      </c>
      <c r="L809">
        <v>30</v>
      </c>
      <c r="M809" t="s">
        <v>21</v>
      </c>
      <c r="N809">
        <v>3</v>
      </c>
      <c r="O809">
        <v>500</v>
      </c>
      <c r="P809">
        <v>1500</v>
      </c>
      <c r="Q809">
        <v>22.5</v>
      </c>
      <c r="R809">
        <v>30</v>
      </c>
    </row>
    <row r="810" spans="1:18" x14ac:dyDescent="0.35">
      <c r="A810">
        <v>806</v>
      </c>
      <c r="B810">
        <v>20</v>
      </c>
      <c r="C810">
        <v>3</v>
      </c>
      <c r="D810">
        <v>2023</v>
      </c>
      <c r="E810" t="s">
        <v>1067</v>
      </c>
      <c r="F810" t="s">
        <v>1066</v>
      </c>
      <c r="G810" t="s">
        <v>1061</v>
      </c>
      <c r="H810" s="18">
        <v>45005</v>
      </c>
      <c r="I810" t="s">
        <v>831</v>
      </c>
      <c r="J810" t="s">
        <v>23</v>
      </c>
      <c r="K810" t="s">
        <v>1030</v>
      </c>
      <c r="L810">
        <v>35</v>
      </c>
      <c r="M810" t="s">
        <v>21</v>
      </c>
      <c r="N810">
        <v>3</v>
      </c>
      <c r="O810">
        <v>300</v>
      </c>
      <c r="P810">
        <v>900</v>
      </c>
      <c r="Q810">
        <v>13.5</v>
      </c>
      <c r="R810">
        <v>18</v>
      </c>
    </row>
    <row r="811" spans="1:18" x14ac:dyDescent="0.35">
      <c r="A811">
        <v>807</v>
      </c>
      <c r="B811">
        <v>11</v>
      </c>
      <c r="C811">
        <v>8</v>
      </c>
      <c r="D811">
        <v>2023</v>
      </c>
      <c r="E811" t="s">
        <v>1070</v>
      </c>
      <c r="F811" t="s">
        <v>1074</v>
      </c>
      <c r="G811" t="s">
        <v>1061</v>
      </c>
      <c r="H811" s="18">
        <v>45149</v>
      </c>
      <c r="I811" t="s">
        <v>832</v>
      </c>
      <c r="J811" t="s">
        <v>23</v>
      </c>
      <c r="K811" t="s">
        <v>1030</v>
      </c>
      <c r="L811">
        <v>50</v>
      </c>
      <c r="M811" t="s">
        <v>26</v>
      </c>
      <c r="N811">
        <v>4</v>
      </c>
      <c r="O811">
        <v>50</v>
      </c>
      <c r="P811">
        <v>200</v>
      </c>
      <c r="Q811">
        <v>3</v>
      </c>
      <c r="R811">
        <v>4</v>
      </c>
    </row>
    <row r="812" spans="1:18" x14ac:dyDescent="0.35">
      <c r="A812">
        <v>808</v>
      </c>
      <c r="B812">
        <v>1</v>
      </c>
      <c r="C812">
        <v>4</v>
      </c>
      <c r="D812">
        <v>2023</v>
      </c>
      <c r="E812" t="s">
        <v>1075</v>
      </c>
      <c r="F812" t="s">
        <v>1077</v>
      </c>
      <c r="G812" t="s">
        <v>1061</v>
      </c>
      <c r="H812" s="18">
        <v>45017</v>
      </c>
      <c r="I812" t="s">
        <v>833</v>
      </c>
      <c r="J812" t="s">
        <v>20</v>
      </c>
      <c r="K812" t="s">
        <v>1030</v>
      </c>
      <c r="L812">
        <v>33</v>
      </c>
      <c r="M812" t="s">
        <v>21</v>
      </c>
      <c r="N812">
        <v>4</v>
      </c>
      <c r="O812">
        <v>500</v>
      </c>
      <c r="P812">
        <v>2000</v>
      </c>
      <c r="Q812">
        <v>30</v>
      </c>
      <c r="R812">
        <v>40</v>
      </c>
    </row>
    <row r="813" spans="1:18" x14ac:dyDescent="0.35">
      <c r="A813">
        <v>809</v>
      </c>
      <c r="B813">
        <v>25</v>
      </c>
      <c r="C813">
        <v>9</v>
      </c>
      <c r="D813">
        <v>2023</v>
      </c>
      <c r="E813" t="s">
        <v>1067</v>
      </c>
      <c r="F813" t="s">
        <v>1071</v>
      </c>
      <c r="G813" t="s">
        <v>1061</v>
      </c>
      <c r="H813" s="18">
        <v>45194</v>
      </c>
      <c r="I813" t="s">
        <v>834</v>
      </c>
      <c r="J813" t="s">
        <v>23</v>
      </c>
      <c r="K813" t="s">
        <v>1032</v>
      </c>
      <c r="L813">
        <v>62</v>
      </c>
      <c r="M813" t="s">
        <v>21</v>
      </c>
      <c r="N813">
        <v>2</v>
      </c>
      <c r="O813">
        <v>50</v>
      </c>
      <c r="P813">
        <v>100</v>
      </c>
      <c r="Q813">
        <v>1.5</v>
      </c>
      <c r="R813">
        <v>2</v>
      </c>
    </row>
    <row r="814" spans="1:18" x14ac:dyDescent="0.35">
      <c r="A814">
        <v>810</v>
      </c>
      <c r="B814">
        <v>30</v>
      </c>
      <c r="C814">
        <v>11</v>
      </c>
      <c r="D814">
        <v>2023</v>
      </c>
      <c r="E814" t="s">
        <v>1072</v>
      </c>
      <c r="F814" t="s">
        <v>1068</v>
      </c>
      <c r="G814" t="s">
        <v>1061</v>
      </c>
      <c r="H814" s="18">
        <v>45260</v>
      </c>
      <c r="I814" t="s">
        <v>835</v>
      </c>
      <c r="J814" t="s">
        <v>20</v>
      </c>
      <c r="K814" t="s">
        <v>1032</v>
      </c>
      <c r="L814">
        <v>59</v>
      </c>
      <c r="M814" t="s">
        <v>26</v>
      </c>
      <c r="N814">
        <v>4</v>
      </c>
      <c r="O814">
        <v>25</v>
      </c>
      <c r="P814">
        <v>100</v>
      </c>
      <c r="Q814">
        <v>1.5</v>
      </c>
      <c r="R814">
        <v>2</v>
      </c>
    </row>
    <row r="815" spans="1:18" x14ac:dyDescent="0.35">
      <c r="A815">
        <v>811</v>
      </c>
      <c r="B815">
        <v>19</v>
      </c>
      <c r="C815">
        <v>5</v>
      </c>
      <c r="D815">
        <v>2023</v>
      </c>
      <c r="E815" t="s">
        <v>1070</v>
      </c>
      <c r="F815" t="s">
        <v>1076</v>
      </c>
      <c r="G815" t="s">
        <v>1061</v>
      </c>
      <c r="H815" s="18">
        <v>45065</v>
      </c>
      <c r="I815" t="s">
        <v>836</v>
      </c>
      <c r="J815" t="s">
        <v>20</v>
      </c>
      <c r="K815" t="s">
        <v>1032</v>
      </c>
      <c r="L815">
        <v>61</v>
      </c>
      <c r="M815" t="s">
        <v>21</v>
      </c>
      <c r="N815">
        <v>2</v>
      </c>
      <c r="O815">
        <v>25</v>
      </c>
      <c r="P815">
        <v>50</v>
      </c>
      <c r="Q815">
        <v>0.75</v>
      </c>
      <c r="R815">
        <v>1</v>
      </c>
    </row>
    <row r="816" spans="1:18" x14ac:dyDescent="0.35">
      <c r="A816">
        <v>812</v>
      </c>
      <c r="B816">
        <v>12</v>
      </c>
      <c r="C816">
        <v>11</v>
      </c>
      <c r="D816">
        <v>2023</v>
      </c>
      <c r="E816" t="s">
        <v>1063</v>
      </c>
      <c r="F816" t="s">
        <v>1068</v>
      </c>
      <c r="G816" t="s">
        <v>1061</v>
      </c>
      <c r="H816" s="18">
        <v>45242</v>
      </c>
      <c r="I816" t="s">
        <v>837</v>
      </c>
      <c r="J816" t="s">
        <v>20</v>
      </c>
      <c r="K816" t="s">
        <v>1034</v>
      </c>
      <c r="L816">
        <v>19</v>
      </c>
      <c r="M816" t="s">
        <v>26</v>
      </c>
      <c r="N816">
        <v>3</v>
      </c>
      <c r="O816">
        <v>25</v>
      </c>
      <c r="P816">
        <v>75</v>
      </c>
      <c r="Q816">
        <v>1.125</v>
      </c>
      <c r="R816">
        <v>1.5</v>
      </c>
    </row>
    <row r="817" spans="1:18" x14ac:dyDescent="0.35">
      <c r="A817">
        <v>813</v>
      </c>
      <c r="B817">
        <v>3</v>
      </c>
      <c r="C817">
        <v>10</v>
      </c>
      <c r="D817">
        <v>2023</v>
      </c>
      <c r="E817" t="s">
        <v>1059</v>
      </c>
      <c r="F817" t="s">
        <v>1064</v>
      </c>
      <c r="G817" t="s">
        <v>1061</v>
      </c>
      <c r="H817" s="18">
        <v>45202</v>
      </c>
      <c r="I817" t="s">
        <v>838</v>
      </c>
      <c r="J817" t="s">
        <v>20</v>
      </c>
      <c r="K817" t="s">
        <v>1032</v>
      </c>
      <c r="L817">
        <v>52</v>
      </c>
      <c r="M817" t="s">
        <v>26</v>
      </c>
      <c r="N817">
        <v>3</v>
      </c>
      <c r="O817">
        <v>50</v>
      </c>
      <c r="P817">
        <v>150</v>
      </c>
      <c r="Q817">
        <v>2.25</v>
      </c>
      <c r="R817">
        <v>3</v>
      </c>
    </row>
    <row r="818" spans="1:18" x14ac:dyDescent="0.35">
      <c r="A818">
        <v>814</v>
      </c>
      <c r="B818">
        <v>5</v>
      </c>
      <c r="C818">
        <v>9</v>
      </c>
      <c r="D818">
        <v>2023</v>
      </c>
      <c r="E818" t="s">
        <v>1059</v>
      </c>
      <c r="F818" t="s">
        <v>1071</v>
      </c>
      <c r="G818" t="s">
        <v>1061</v>
      </c>
      <c r="H818" s="18">
        <v>45174</v>
      </c>
      <c r="I818" t="s">
        <v>839</v>
      </c>
      <c r="J818" t="s">
        <v>23</v>
      </c>
      <c r="K818" t="s">
        <v>1032</v>
      </c>
      <c r="L818">
        <v>59</v>
      </c>
      <c r="M818" t="s">
        <v>24</v>
      </c>
      <c r="N818">
        <v>1</v>
      </c>
      <c r="O818">
        <v>500</v>
      </c>
      <c r="P818">
        <v>500</v>
      </c>
      <c r="Q818">
        <v>7.5</v>
      </c>
      <c r="R818">
        <v>10</v>
      </c>
    </row>
    <row r="819" spans="1:18" x14ac:dyDescent="0.35">
      <c r="A819">
        <v>815</v>
      </c>
      <c r="B819">
        <v>27</v>
      </c>
      <c r="C819">
        <v>8</v>
      </c>
      <c r="D819">
        <v>2023</v>
      </c>
      <c r="E819" t="s">
        <v>1063</v>
      </c>
      <c r="F819" t="s">
        <v>1074</v>
      </c>
      <c r="G819" t="s">
        <v>1061</v>
      </c>
      <c r="H819" s="18">
        <v>45165</v>
      </c>
      <c r="I819" t="s">
        <v>840</v>
      </c>
      <c r="J819" t="s">
        <v>23</v>
      </c>
      <c r="K819" t="s">
        <v>1032</v>
      </c>
      <c r="L819">
        <v>51</v>
      </c>
      <c r="M819" t="s">
        <v>24</v>
      </c>
      <c r="N819">
        <v>3</v>
      </c>
      <c r="O819">
        <v>25</v>
      </c>
      <c r="P819">
        <v>75</v>
      </c>
      <c r="Q819">
        <v>1.125</v>
      </c>
      <c r="R819">
        <v>1.5</v>
      </c>
    </row>
    <row r="820" spans="1:18" x14ac:dyDescent="0.35">
      <c r="A820">
        <v>816</v>
      </c>
      <c r="B820">
        <v>12</v>
      </c>
      <c r="C820">
        <v>8</v>
      </c>
      <c r="D820">
        <v>2023</v>
      </c>
      <c r="E820" t="s">
        <v>1075</v>
      </c>
      <c r="F820" t="s">
        <v>1074</v>
      </c>
      <c r="G820" t="s">
        <v>1061</v>
      </c>
      <c r="H820" s="18">
        <v>45150</v>
      </c>
      <c r="I820" t="s">
        <v>841</v>
      </c>
      <c r="J820" t="s">
        <v>20</v>
      </c>
      <c r="K820" t="s">
        <v>1030</v>
      </c>
      <c r="L820">
        <v>47</v>
      </c>
      <c r="M820" t="s">
        <v>21</v>
      </c>
      <c r="N820">
        <v>2</v>
      </c>
      <c r="O820">
        <v>500</v>
      </c>
      <c r="P820">
        <v>1000</v>
      </c>
      <c r="Q820">
        <v>15</v>
      </c>
      <c r="R820">
        <v>20</v>
      </c>
    </row>
    <row r="821" spans="1:18" x14ac:dyDescent="0.35">
      <c r="A821">
        <v>817</v>
      </c>
      <c r="B821">
        <v>31</v>
      </c>
      <c r="C821">
        <v>10</v>
      </c>
      <c r="D821">
        <v>2023</v>
      </c>
      <c r="E821" t="s">
        <v>1059</v>
      </c>
      <c r="F821" t="s">
        <v>1064</v>
      </c>
      <c r="G821" t="s">
        <v>1061</v>
      </c>
      <c r="H821" s="18">
        <v>45230</v>
      </c>
      <c r="I821" t="s">
        <v>842</v>
      </c>
      <c r="J821" t="s">
        <v>20</v>
      </c>
      <c r="K821" t="s">
        <v>1030</v>
      </c>
      <c r="L821">
        <v>30</v>
      </c>
      <c r="M821" t="s">
        <v>21</v>
      </c>
      <c r="N821">
        <v>4</v>
      </c>
      <c r="O821">
        <v>50</v>
      </c>
      <c r="P821">
        <v>200</v>
      </c>
      <c r="Q821">
        <v>3</v>
      </c>
      <c r="R821">
        <v>4</v>
      </c>
    </row>
    <row r="822" spans="1:18" x14ac:dyDescent="0.35">
      <c r="A822">
        <v>818</v>
      </c>
      <c r="B822">
        <v>18</v>
      </c>
      <c r="C822">
        <v>5</v>
      </c>
      <c r="D822">
        <v>2023</v>
      </c>
      <c r="E822" t="s">
        <v>1072</v>
      </c>
      <c r="F822" t="s">
        <v>1076</v>
      </c>
      <c r="G822" t="s">
        <v>1061</v>
      </c>
      <c r="H822" s="18">
        <v>45064</v>
      </c>
      <c r="I822" t="s">
        <v>843</v>
      </c>
      <c r="J822" t="s">
        <v>20</v>
      </c>
      <c r="K822" t="s">
        <v>1030</v>
      </c>
      <c r="L822">
        <v>30</v>
      </c>
      <c r="M822" t="s">
        <v>26</v>
      </c>
      <c r="N822">
        <v>1</v>
      </c>
      <c r="O822">
        <v>500</v>
      </c>
      <c r="P822">
        <v>500</v>
      </c>
      <c r="Q822">
        <v>7.5</v>
      </c>
      <c r="R822">
        <v>10</v>
      </c>
    </row>
    <row r="823" spans="1:18" x14ac:dyDescent="0.35">
      <c r="A823">
        <v>819</v>
      </c>
      <c r="B823">
        <v>15</v>
      </c>
      <c r="C823">
        <v>6</v>
      </c>
      <c r="D823">
        <v>2023</v>
      </c>
      <c r="E823" t="s">
        <v>1072</v>
      </c>
      <c r="F823" t="s">
        <v>1069</v>
      </c>
      <c r="G823" t="s">
        <v>1061</v>
      </c>
      <c r="H823" s="18">
        <v>45092</v>
      </c>
      <c r="I823" t="s">
        <v>844</v>
      </c>
      <c r="J823" t="s">
        <v>23</v>
      </c>
      <c r="K823" t="s">
        <v>1030</v>
      </c>
      <c r="L823">
        <v>35</v>
      </c>
      <c r="M823" t="s">
        <v>21</v>
      </c>
      <c r="N823">
        <v>2</v>
      </c>
      <c r="O823">
        <v>50</v>
      </c>
      <c r="P823">
        <v>100</v>
      </c>
      <c r="Q823">
        <v>1.5</v>
      </c>
      <c r="R823">
        <v>2</v>
      </c>
    </row>
    <row r="824" spans="1:18" x14ac:dyDescent="0.35">
      <c r="A824">
        <v>820</v>
      </c>
      <c r="B824">
        <v>6</v>
      </c>
      <c r="C824">
        <v>5</v>
      </c>
      <c r="D824">
        <v>2023</v>
      </c>
      <c r="E824" t="s">
        <v>1075</v>
      </c>
      <c r="F824" t="s">
        <v>1076</v>
      </c>
      <c r="G824" t="s">
        <v>1061</v>
      </c>
      <c r="H824" s="18">
        <v>45052</v>
      </c>
      <c r="I824" t="s">
        <v>845</v>
      </c>
      <c r="J824" t="s">
        <v>20</v>
      </c>
      <c r="K824" t="s">
        <v>1030</v>
      </c>
      <c r="L824">
        <v>49</v>
      </c>
      <c r="M824" t="s">
        <v>26</v>
      </c>
      <c r="N824">
        <v>4</v>
      </c>
      <c r="O824">
        <v>50</v>
      </c>
      <c r="P824">
        <v>200</v>
      </c>
      <c r="Q824">
        <v>3</v>
      </c>
      <c r="R824">
        <v>4</v>
      </c>
    </row>
    <row r="825" spans="1:18" x14ac:dyDescent="0.35">
      <c r="A825">
        <v>821</v>
      </c>
      <c r="B825">
        <v>14</v>
      </c>
      <c r="C825">
        <v>2</v>
      </c>
      <c r="D825">
        <v>2023</v>
      </c>
      <c r="E825" t="s">
        <v>1059</v>
      </c>
      <c r="F825" t="s">
        <v>1073</v>
      </c>
      <c r="G825" t="s">
        <v>1061</v>
      </c>
      <c r="H825" s="18">
        <v>44971</v>
      </c>
      <c r="I825" t="s">
        <v>846</v>
      </c>
      <c r="J825" t="s">
        <v>20</v>
      </c>
      <c r="K825" t="s">
        <v>1030</v>
      </c>
      <c r="L825">
        <v>49</v>
      </c>
      <c r="M825" t="s">
        <v>26</v>
      </c>
      <c r="N825">
        <v>1</v>
      </c>
      <c r="O825">
        <v>300</v>
      </c>
      <c r="P825">
        <v>300</v>
      </c>
      <c r="Q825">
        <v>4.5</v>
      </c>
      <c r="R825">
        <v>6</v>
      </c>
    </row>
    <row r="826" spans="1:18" x14ac:dyDescent="0.35">
      <c r="A826">
        <v>822</v>
      </c>
      <c r="B826">
        <v>23</v>
      </c>
      <c r="C826">
        <v>5</v>
      </c>
      <c r="D826">
        <v>2023</v>
      </c>
      <c r="E826" t="s">
        <v>1059</v>
      </c>
      <c r="F826" t="s">
        <v>1076</v>
      </c>
      <c r="G826" t="s">
        <v>1061</v>
      </c>
      <c r="H826" s="18">
        <v>45069</v>
      </c>
      <c r="I826" t="s">
        <v>847</v>
      </c>
      <c r="J826" t="s">
        <v>23</v>
      </c>
      <c r="K826" t="s">
        <v>1032</v>
      </c>
      <c r="L826">
        <v>52</v>
      </c>
      <c r="M826" t="s">
        <v>21</v>
      </c>
      <c r="N826">
        <v>3</v>
      </c>
      <c r="O826">
        <v>50</v>
      </c>
      <c r="P826">
        <v>150</v>
      </c>
      <c r="Q826">
        <v>2.25</v>
      </c>
      <c r="R826">
        <v>3</v>
      </c>
    </row>
    <row r="827" spans="1:18" x14ac:dyDescent="0.35">
      <c r="A827">
        <v>823</v>
      </c>
      <c r="B827">
        <v>19</v>
      </c>
      <c r="C827">
        <v>8</v>
      </c>
      <c r="D827">
        <v>2023</v>
      </c>
      <c r="E827" t="s">
        <v>1075</v>
      </c>
      <c r="F827" t="s">
        <v>1074</v>
      </c>
      <c r="G827" t="s">
        <v>1061</v>
      </c>
      <c r="H827" s="18">
        <v>45157</v>
      </c>
      <c r="I827" t="s">
        <v>848</v>
      </c>
      <c r="J827" t="s">
        <v>23</v>
      </c>
      <c r="K827" t="s">
        <v>1032</v>
      </c>
      <c r="L827">
        <v>56</v>
      </c>
      <c r="M827" t="s">
        <v>26</v>
      </c>
      <c r="N827">
        <v>2</v>
      </c>
      <c r="O827">
        <v>50</v>
      </c>
      <c r="P827">
        <v>100</v>
      </c>
      <c r="Q827">
        <v>1.5</v>
      </c>
      <c r="R827">
        <v>2</v>
      </c>
    </row>
    <row r="828" spans="1:18" x14ac:dyDescent="0.35">
      <c r="A828">
        <v>824</v>
      </c>
      <c r="B828">
        <v>5</v>
      </c>
      <c r="C828">
        <v>5</v>
      </c>
      <c r="D828">
        <v>2023</v>
      </c>
      <c r="E828" t="s">
        <v>1070</v>
      </c>
      <c r="F828" t="s">
        <v>1076</v>
      </c>
      <c r="G828" t="s">
        <v>1061</v>
      </c>
      <c r="H828" s="18">
        <v>45051</v>
      </c>
      <c r="I828" t="s">
        <v>849</v>
      </c>
      <c r="J828" t="s">
        <v>20</v>
      </c>
      <c r="K828" t="s">
        <v>1032</v>
      </c>
      <c r="L828">
        <v>63</v>
      </c>
      <c r="M828" t="s">
        <v>24</v>
      </c>
      <c r="N828">
        <v>4</v>
      </c>
      <c r="O828">
        <v>30</v>
      </c>
      <c r="P828">
        <v>120</v>
      </c>
      <c r="Q828">
        <v>1.7999999999999998</v>
      </c>
      <c r="R828">
        <v>2.4</v>
      </c>
    </row>
    <row r="829" spans="1:18" x14ac:dyDescent="0.35">
      <c r="A829">
        <v>825</v>
      </c>
      <c r="B829">
        <v>26</v>
      </c>
      <c r="C829">
        <v>8</v>
      </c>
      <c r="D829">
        <v>2023</v>
      </c>
      <c r="E829" t="s">
        <v>1075</v>
      </c>
      <c r="F829" t="s">
        <v>1074</v>
      </c>
      <c r="G829" t="s">
        <v>1061</v>
      </c>
      <c r="H829" s="18">
        <v>45164</v>
      </c>
      <c r="I829" t="s">
        <v>850</v>
      </c>
      <c r="J829" t="s">
        <v>23</v>
      </c>
      <c r="K829" t="s">
        <v>1030</v>
      </c>
      <c r="L829">
        <v>46</v>
      </c>
      <c r="M829" t="s">
        <v>21</v>
      </c>
      <c r="N829">
        <v>1</v>
      </c>
      <c r="O829">
        <v>25</v>
      </c>
      <c r="P829">
        <v>25</v>
      </c>
      <c r="Q829">
        <v>0.375</v>
      </c>
      <c r="R829">
        <v>0.5</v>
      </c>
    </row>
    <row r="830" spans="1:18" x14ac:dyDescent="0.35">
      <c r="A830">
        <v>826</v>
      </c>
      <c r="B830">
        <v>19</v>
      </c>
      <c r="C830">
        <v>10</v>
      </c>
      <c r="D830">
        <v>2023</v>
      </c>
      <c r="E830" t="s">
        <v>1072</v>
      </c>
      <c r="F830" t="s">
        <v>1064</v>
      </c>
      <c r="G830" t="s">
        <v>1061</v>
      </c>
      <c r="H830" s="18">
        <v>45218</v>
      </c>
      <c r="I830" t="s">
        <v>851</v>
      </c>
      <c r="J830" t="s">
        <v>23</v>
      </c>
      <c r="K830" t="s">
        <v>1030</v>
      </c>
      <c r="L830">
        <v>46</v>
      </c>
      <c r="M830" t="s">
        <v>24</v>
      </c>
      <c r="N830">
        <v>1</v>
      </c>
      <c r="O830">
        <v>300</v>
      </c>
      <c r="P830">
        <v>300</v>
      </c>
      <c r="Q830">
        <v>4.5</v>
      </c>
      <c r="R830">
        <v>6</v>
      </c>
    </row>
    <row r="831" spans="1:18" x14ac:dyDescent="0.35">
      <c r="A831">
        <v>827</v>
      </c>
      <c r="B831">
        <v>9</v>
      </c>
      <c r="C831">
        <v>11</v>
      </c>
      <c r="D831">
        <v>2023</v>
      </c>
      <c r="E831" t="s">
        <v>1072</v>
      </c>
      <c r="F831" t="s">
        <v>1068</v>
      </c>
      <c r="G831" t="s">
        <v>1061</v>
      </c>
      <c r="H831" s="18">
        <v>45239</v>
      </c>
      <c r="I831" t="s">
        <v>852</v>
      </c>
      <c r="J831" t="s">
        <v>20</v>
      </c>
      <c r="K831" t="s">
        <v>1032</v>
      </c>
      <c r="L831">
        <v>61</v>
      </c>
      <c r="M831" t="s">
        <v>21</v>
      </c>
      <c r="N831">
        <v>3</v>
      </c>
      <c r="O831">
        <v>300</v>
      </c>
      <c r="P831">
        <v>900</v>
      </c>
      <c r="Q831">
        <v>13.5</v>
      </c>
      <c r="R831">
        <v>18</v>
      </c>
    </row>
    <row r="832" spans="1:18" x14ac:dyDescent="0.35">
      <c r="A832">
        <v>828</v>
      </c>
      <c r="B832">
        <v>9</v>
      </c>
      <c r="C832">
        <v>12</v>
      </c>
      <c r="D832">
        <v>2023</v>
      </c>
      <c r="E832" t="s">
        <v>1075</v>
      </c>
      <c r="F832" t="s">
        <v>1062</v>
      </c>
      <c r="G832" t="s">
        <v>1061</v>
      </c>
      <c r="H832" s="18">
        <v>45269</v>
      </c>
      <c r="I832" t="s">
        <v>853</v>
      </c>
      <c r="J832" t="s">
        <v>23</v>
      </c>
      <c r="K832" t="s">
        <v>1030</v>
      </c>
      <c r="L832">
        <v>33</v>
      </c>
      <c r="M832" t="s">
        <v>26</v>
      </c>
      <c r="N832">
        <v>4</v>
      </c>
      <c r="O832">
        <v>300</v>
      </c>
      <c r="P832">
        <v>1200</v>
      </c>
      <c r="Q832">
        <v>18</v>
      </c>
      <c r="R832">
        <v>24</v>
      </c>
    </row>
    <row r="833" spans="1:18" x14ac:dyDescent="0.35">
      <c r="A833">
        <v>829</v>
      </c>
      <c r="B833">
        <v>14</v>
      </c>
      <c r="C833">
        <v>7</v>
      </c>
      <c r="D833">
        <v>2023</v>
      </c>
      <c r="E833" t="s">
        <v>1070</v>
      </c>
      <c r="F833" t="s">
        <v>1078</v>
      </c>
      <c r="G833" t="s">
        <v>1061</v>
      </c>
      <c r="H833" s="18">
        <v>45121</v>
      </c>
      <c r="I833" t="s">
        <v>854</v>
      </c>
      <c r="J833" t="s">
        <v>20</v>
      </c>
      <c r="K833" t="s">
        <v>1032</v>
      </c>
      <c r="L833">
        <v>61</v>
      </c>
      <c r="M833" t="s">
        <v>21</v>
      </c>
      <c r="N833">
        <v>3</v>
      </c>
      <c r="O833">
        <v>30</v>
      </c>
      <c r="P833">
        <v>90</v>
      </c>
      <c r="Q833">
        <v>1.3499999999999999</v>
      </c>
      <c r="R833">
        <v>1.8</v>
      </c>
    </row>
    <row r="834" spans="1:18" x14ac:dyDescent="0.35">
      <c r="A834">
        <v>830</v>
      </c>
      <c r="B834">
        <v>22</v>
      </c>
      <c r="C834">
        <v>6</v>
      </c>
      <c r="D834">
        <v>2023</v>
      </c>
      <c r="E834" t="s">
        <v>1072</v>
      </c>
      <c r="F834" t="s">
        <v>1069</v>
      </c>
      <c r="G834" t="s">
        <v>1061</v>
      </c>
      <c r="H834" s="18">
        <v>45099</v>
      </c>
      <c r="I834" t="s">
        <v>855</v>
      </c>
      <c r="J834" t="s">
        <v>23</v>
      </c>
      <c r="K834" t="s">
        <v>1032</v>
      </c>
      <c r="L834">
        <v>64</v>
      </c>
      <c r="M834" t="s">
        <v>24</v>
      </c>
      <c r="N834">
        <v>3</v>
      </c>
      <c r="O834">
        <v>50</v>
      </c>
      <c r="P834">
        <v>150</v>
      </c>
      <c r="Q834">
        <v>2.25</v>
      </c>
      <c r="R834">
        <v>3</v>
      </c>
    </row>
    <row r="835" spans="1:18" x14ac:dyDescent="0.35">
      <c r="A835">
        <v>831</v>
      </c>
      <c r="B835">
        <v>15</v>
      </c>
      <c r="C835">
        <v>1</v>
      </c>
      <c r="D835">
        <v>2023</v>
      </c>
      <c r="E835" t="s">
        <v>1063</v>
      </c>
      <c r="F835" t="s">
        <v>1060</v>
      </c>
      <c r="G835" t="s">
        <v>1061</v>
      </c>
      <c r="H835" s="18">
        <v>44941</v>
      </c>
      <c r="I835" t="s">
        <v>856</v>
      </c>
      <c r="J835" t="s">
        <v>20</v>
      </c>
      <c r="K835" t="s">
        <v>1034</v>
      </c>
      <c r="L835">
        <v>27</v>
      </c>
      <c r="M835" t="s">
        <v>26</v>
      </c>
      <c r="N835">
        <v>4</v>
      </c>
      <c r="O835">
        <v>25</v>
      </c>
      <c r="P835">
        <v>100</v>
      </c>
      <c r="Q835">
        <v>1.5</v>
      </c>
      <c r="R835">
        <v>2</v>
      </c>
    </row>
    <row r="836" spans="1:18" x14ac:dyDescent="0.35">
      <c r="A836">
        <v>832</v>
      </c>
      <c r="B836">
        <v>11</v>
      </c>
      <c r="C836">
        <v>9</v>
      </c>
      <c r="D836">
        <v>2023</v>
      </c>
      <c r="E836" t="s">
        <v>1067</v>
      </c>
      <c r="F836" t="s">
        <v>1071</v>
      </c>
      <c r="G836" t="s">
        <v>1061</v>
      </c>
      <c r="H836" s="18">
        <v>45180</v>
      </c>
      <c r="I836" t="s">
        <v>857</v>
      </c>
      <c r="J836" t="s">
        <v>20</v>
      </c>
      <c r="K836" t="s">
        <v>1030</v>
      </c>
      <c r="L836">
        <v>47</v>
      </c>
      <c r="M836" t="s">
        <v>21</v>
      </c>
      <c r="N836">
        <v>4</v>
      </c>
      <c r="O836">
        <v>500</v>
      </c>
      <c r="P836">
        <v>2000</v>
      </c>
      <c r="Q836">
        <v>30</v>
      </c>
      <c r="R836">
        <v>40</v>
      </c>
    </row>
    <row r="837" spans="1:18" x14ac:dyDescent="0.35">
      <c r="A837">
        <v>833</v>
      </c>
      <c r="B837">
        <v>16</v>
      </c>
      <c r="C837">
        <v>6</v>
      </c>
      <c r="D837">
        <v>2023</v>
      </c>
      <c r="E837" t="s">
        <v>1070</v>
      </c>
      <c r="F837" t="s">
        <v>1069</v>
      </c>
      <c r="G837" t="s">
        <v>1061</v>
      </c>
      <c r="H837" s="18">
        <v>45093</v>
      </c>
      <c r="I837" t="s">
        <v>858</v>
      </c>
      <c r="J837" t="s">
        <v>20</v>
      </c>
      <c r="K837" t="s">
        <v>1030</v>
      </c>
      <c r="L837">
        <v>42</v>
      </c>
      <c r="M837" t="s">
        <v>21</v>
      </c>
      <c r="N837">
        <v>4</v>
      </c>
      <c r="O837">
        <v>50</v>
      </c>
      <c r="P837">
        <v>200</v>
      </c>
      <c r="Q837">
        <v>3</v>
      </c>
      <c r="R837">
        <v>4</v>
      </c>
    </row>
    <row r="838" spans="1:18" x14ac:dyDescent="0.35">
      <c r="A838">
        <v>834</v>
      </c>
      <c r="B838">
        <v>4</v>
      </c>
      <c r="C838">
        <v>4</v>
      </c>
      <c r="D838">
        <v>2023</v>
      </c>
      <c r="E838" t="s">
        <v>1059</v>
      </c>
      <c r="F838" t="s">
        <v>1077</v>
      </c>
      <c r="G838" t="s">
        <v>1061</v>
      </c>
      <c r="H838" s="18">
        <v>45020</v>
      </c>
      <c r="I838" t="s">
        <v>859</v>
      </c>
      <c r="J838" t="s">
        <v>23</v>
      </c>
      <c r="K838" t="s">
        <v>1032</v>
      </c>
      <c r="L838">
        <v>56</v>
      </c>
      <c r="M838" t="s">
        <v>21</v>
      </c>
      <c r="N838">
        <v>2</v>
      </c>
      <c r="O838">
        <v>30</v>
      </c>
      <c r="P838">
        <v>60</v>
      </c>
      <c r="Q838">
        <v>0.89999999999999991</v>
      </c>
      <c r="R838">
        <v>1.2</v>
      </c>
    </row>
    <row r="839" spans="1:18" x14ac:dyDescent="0.35">
      <c r="A839">
        <v>835</v>
      </c>
      <c r="B839">
        <v>7</v>
      </c>
      <c r="C839">
        <v>9</v>
      </c>
      <c r="D839">
        <v>2023</v>
      </c>
      <c r="E839" t="s">
        <v>1072</v>
      </c>
      <c r="F839" t="s">
        <v>1071</v>
      </c>
      <c r="G839" t="s">
        <v>1061</v>
      </c>
      <c r="H839" s="18">
        <v>45176</v>
      </c>
      <c r="I839" t="s">
        <v>860</v>
      </c>
      <c r="J839" t="s">
        <v>20</v>
      </c>
      <c r="K839" t="s">
        <v>1030</v>
      </c>
      <c r="L839">
        <v>37</v>
      </c>
      <c r="M839" t="s">
        <v>24</v>
      </c>
      <c r="N839">
        <v>4</v>
      </c>
      <c r="O839">
        <v>50</v>
      </c>
      <c r="P839">
        <v>200</v>
      </c>
      <c r="Q839">
        <v>3</v>
      </c>
      <c r="R839">
        <v>4</v>
      </c>
    </row>
    <row r="840" spans="1:18" x14ac:dyDescent="0.35">
      <c r="A840">
        <v>836</v>
      </c>
      <c r="B840">
        <v>19</v>
      </c>
      <c r="C840">
        <v>4</v>
      </c>
      <c r="D840">
        <v>2023</v>
      </c>
      <c r="E840" t="s">
        <v>1065</v>
      </c>
      <c r="F840" t="s">
        <v>1077</v>
      </c>
      <c r="G840" t="s">
        <v>1061</v>
      </c>
      <c r="H840" s="18">
        <v>45035</v>
      </c>
      <c r="I840" t="s">
        <v>861</v>
      </c>
      <c r="J840" t="s">
        <v>23</v>
      </c>
      <c r="K840" t="s">
        <v>1034</v>
      </c>
      <c r="L840">
        <v>22</v>
      </c>
      <c r="M840" t="s">
        <v>24</v>
      </c>
      <c r="N840">
        <v>1</v>
      </c>
      <c r="O840">
        <v>50</v>
      </c>
      <c r="P840">
        <v>50</v>
      </c>
      <c r="Q840">
        <v>0.75</v>
      </c>
      <c r="R840">
        <v>1</v>
      </c>
    </row>
    <row r="841" spans="1:18" x14ac:dyDescent="0.35">
      <c r="A841">
        <v>837</v>
      </c>
      <c r="B841">
        <v>1</v>
      </c>
      <c r="C841">
        <v>7</v>
      </c>
      <c r="D841">
        <v>2023</v>
      </c>
      <c r="E841" t="s">
        <v>1075</v>
      </c>
      <c r="F841" t="s">
        <v>1078</v>
      </c>
      <c r="G841" t="s">
        <v>1061</v>
      </c>
      <c r="H841" s="18">
        <v>45108</v>
      </c>
      <c r="I841" t="s">
        <v>862</v>
      </c>
      <c r="J841" t="s">
        <v>20</v>
      </c>
      <c r="K841" t="s">
        <v>1034</v>
      </c>
      <c r="L841">
        <v>18</v>
      </c>
      <c r="M841" t="s">
        <v>21</v>
      </c>
      <c r="N841">
        <v>3</v>
      </c>
      <c r="O841">
        <v>30</v>
      </c>
      <c r="P841">
        <v>90</v>
      </c>
      <c r="Q841">
        <v>1.3499999999999999</v>
      </c>
      <c r="R841">
        <v>1.8</v>
      </c>
    </row>
    <row r="842" spans="1:18" x14ac:dyDescent="0.35">
      <c r="A842">
        <v>838</v>
      </c>
      <c r="B842">
        <v>13</v>
      </c>
      <c r="C842">
        <v>5</v>
      </c>
      <c r="D842">
        <v>2023</v>
      </c>
      <c r="E842" t="s">
        <v>1075</v>
      </c>
      <c r="F842" t="s">
        <v>1076</v>
      </c>
      <c r="G842" t="s">
        <v>1061</v>
      </c>
      <c r="H842" s="18">
        <v>45059</v>
      </c>
      <c r="I842" t="s">
        <v>863</v>
      </c>
      <c r="J842" t="s">
        <v>20</v>
      </c>
      <c r="K842" t="s">
        <v>1030</v>
      </c>
      <c r="L842">
        <v>47</v>
      </c>
      <c r="M842" t="s">
        <v>26</v>
      </c>
      <c r="N842">
        <v>2</v>
      </c>
      <c r="O842">
        <v>300</v>
      </c>
      <c r="P842">
        <v>600</v>
      </c>
      <c r="Q842">
        <v>9</v>
      </c>
      <c r="R842">
        <v>12</v>
      </c>
    </row>
    <row r="843" spans="1:18" x14ac:dyDescent="0.35">
      <c r="A843">
        <v>839</v>
      </c>
      <c r="B843">
        <v>24</v>
      </c>
      <c r="C843">
        <v>6</v>
      </c>
      <c r="D843">
        <v>2023</v>
      </c>
      <c r="E843" t="s">
        <v>1075</v>
      </c>
      <c r="F843" t="s">
        <v>1069</v>
      </c>
      <c r="G843" t="s">
        <v>1061</v>
      </c>
      <c r="H843" s="18">
        <v>45101</v>
      </c>
      <c r="I843" t="s">
        <v>864</v>
      </c>
      <c r="J843" t="s">
        <v>23</v>
      </c>
      <c r="K843" t="s">
        <v>1034</v>
      </c>
      <c r="L843">
        <v>20</v>
      </c>
      <c r="M843" t="s">
        <v>26</v>
      </c>
      <c r="N843">
        <v>4</v>
      </c>
      <c r="O843">
        <v>300</v>
      </c>
      <c r="P843">
        <v>1200</v>
      </c>
      <c r="Q843">
        <v>18</v>
      </c>
      <c r="R843">
        <v>24</v>
      </c>
    </row>
    <row r="844" spans="1:18" x14ac:dyDescent="0.35">
      <c r="A844">
        <v>840</v>
      </c>
      <c r="B844">
        <v>24</v>
      </c>
      <c r="C844">
        <v>5</v>
      </c>
      <c r="D844">
        <v>2023</v>
      </c>
      <c r="E844" t="s">
        <v>1065</v>
      </c>
      <c r="F844" t="s">
        <v>1076</v>
      </c>
      <c r="G844" t="s">
        <v>1061</v>
      </c>
      <c r="H844" s="18">
        <v>45070</v>
      </c>
      <c r="I844" t="s">
        <v>865</v>
      </c>
      <c r="J844" t="s">
        <v>20</v>
      </c>
      <c r="K844" t="s">
        <v>1032</v>
      </c>
      <c r="L844">
        <v>62</v>
      </c>
      <c r="M844" t="s">
        <v>24</v>
      </c>
      <c r="N844">
        <v>2</v>
      </c>
      <c r="O844">
        <v>25</v>
      </c>
      <c r="P844">
        <v>50</v>
      </c>
      <c r="Q844">
        <v>0.75</v>
      </c>
      <c r="R844">
        <v>1</v>
      </c>
    </row>
    <row r="845" spans="1:18" x14ac:dyDescent="0.35">
      <c r="A845">
        <v>841</v>
      </c>
      <c r="B845">
        <v>2</v>
      </c>
      <c r="C845">
        <v>11</v>
      </c>
      <c r="D845">
        <v>2023</v>
      </c>
      <c r="E845" t="s">
        <v>1072</v>
      </c>
      <c r="F845" t="s">
        <v>1068</v>
      </c>
      <c r="G845" t="s">
        <v>1061</v>
      </c>
      <c r="H845" s="18">
        <v>45232</v>
      </c>
      <c r="I845" t="s">
        <v>866</v>
      </c>
      <c r="J845" t="s">
        <v>20</v>
      </c>
      <c r="K845" t="s">
        <v>1030</v>
      </c>
      <c r="L845">
        <v>31</v>
      </c>
      <c r="M845" t="s">
        <v>26</v>
      </c>
      <c r="N845">
        <v>4</v>
      </c>
      <c r="O845">
        <v>25</v>
      </c>
      <c r="P845">
        <v>100</v>
      </c>
      <c r="Q845">
        <v>1.5</v>
      </c>
      <c r="R845">
        <v>2</v>
      </c>
    </row>
    <row r="846" spans="1:18" x14ac:dyDescent="0.35">
      <c r="A846">
        <v>842</v>
      </c>
      <c r="B846">
        <v>26</v>
      </c>
      <c r="C846">
        <v>12</v>
      </c>
      <c r="D846">
        <v>2023</v>
      </c>
      <c r="E846" t="s">
        <v>1059</v>
      </c>
      <c r="F846" t="s">
        <v>1062</v>
      </c>
      <c r="G846" t="s">
        <v>1061</v>
      </c>
      <c r="H846" s="18">
        <v>45286</v>
      </c>
      <c r="I846" t="s">
        <v>867</v>
      </c>
      <c r="J846" t="s">
        <v>23</v>
      </c>
      <c r="K846" t="s">
        <v>1030</v>
      </c>
      <c r="L846">
        <v>47</v>
      </c>
      <c r="M846" t="s">
        <v>24</v>
      </c>
      <c r="N846">
        <v>2</v>
      </c>
      <c r="O846">
        <v>300</v>
      </c>
      <c r="P846">
        <v>600</v>
      </c>
      <c r="Q846">
        <v>9</v>
      </c>
      <c r="R846">
        <v>12</v>
      </c>
    </row>
    <row r="847" spans="1:18" x14ac:dyDescent="0.35">
      <c r="A847">
        <v>843</v>
      </c>
      <c r="B847">
        <v>22</v>
      </c>
      <c r="C847">
        <v>5</v>
      </c>
      <c r="D847">
        <v>2023</v>
      </c>
      <c r="E847" t="s">
        <v>1067</v>
      </c>
      <c r="F847" t="s">
        <v>1076</v>
      </c>
      <c r="G847" t="s">
        <v>1061</v>
      </c>
      <c r="H847" s="18">
        <v>45068</v>
      </c>
      <c r="I847" t="s">
        <v>868</v>
      </c>
      <c r="J847" t="s">
        <v>20</v>
      </c>
      <c r="K847" t="s">
        <v>1034</v>
      </c>
      <c r="L847">
        <v>21</v>
      </c>
      <c r="M847" t="s">
        <v>21</v>
      </c>
      <c r="N847">
        <v>3</v>
      </c>
      <c r="O847">
        <v>500</v>
      </c>
      <c r="P847">
        <v>1500</v>
      </c>
      <c r="Q847">
        <v>22.5</v>
      </c>
      <c r="R847">
        <v>30</v>
      </c>
    </row>
    <row r="848" spans="1:18" x14ac:dyDescent="0.35">
      <c r="A848">
        <v>844</v>
      </c>
      <c r="B848">
        <v>12</v>
      </c>
      <c r="C848">
        <v>10</v>
      </c>
      <c r="D848">
        <v>2023</v>
      </c>
      <c r="E848" t="s">
        <v>1072</v>
      </c>
      <c r="F848" t="s">
        <v>1064</v>
      </c>
      <c r="G848" t="s">
        <v>1061</v>
      </c>
      <c r="H848" s="18">
        <v>45211</v>
      </c>
      <c r="I848" t="s">
        <v>869</v>
      </c>
      <c r="J848" t="s">
        <v>20</v>
      </c>
      <c r="K848" t="s">
        <v>1030</v>
      </c>
      <c r="L848">
        <v>35</v>
      </c>
      <c r="M848" t="s">
        <v>24</v>
      </c>
      <c r="N848">
        <v>3</v>
      </c>
      <c r="O848">
        <v>50</v>
      </c>
      <c r="P848">
        <v>150</v>
      </c>
      <c r="Q848">
        <v>2.25</v>
      </c>
      <c r="R848">
        <v>3</v>
      </c>
    </row>
    <row r="849" spans="1:18" x14ac:dyDescent="0.35">
      <c r="A849">
        <v>845</v>
      </c>
      <c r="B849">
        <v>6</v>
      </c>
      <c r="C849">
        <v>1</v>
      </c>
      <c r="D849">
        <v>2023</v>
      </c>
      <c r="E849" t="s">
        <v>1070</v>
      </c>
      <c r="F849" t="s">
        <v>1060</v>
      </c>
      <c r="G849" t="s">
        <v>1061</v>
      </c>
      <c r="H849" s="18">
        <v>44932</v>
      </c>
      <c r="I849" t="s">
        <v>870</v>
      </c>
      <c r="J849" t="s">
        <v>20</v>
      </c>
      <c r="K849" t="s">
        <v>1032</v>
      </c>
      <c r="L849">
        <v>54</v>
      </c>
      <c r="M849" t="s">
        <v>24</v>
      </c>
      <c r="N849">
        <v>1</v>
      </c>
      <c r="O849">
        <v>500</v>
      </c>
      <c r="P849">
        <v>500</v>
      </c>
      <c r="Q849">
        <v>7.5</v>
      </c>
      <c r="R849">
        <v>10</v>
      </c>
    </row>
    <row r="850" spans="1:18" x14ac:dyDescent="0.35">
      <c r="A850">
        <v>846</v>
      </c>
      <c r="B850">
        <v>22</v>
      </c>
      <c r="C850">
        <v>9</v>
      </c>
      <c r="D850">
        <v>2023</v>
      </c>
      <c r="E850" t="s">
        <v>1070</v>
      </c>
      <c r="F850" t="s">
        <v>1071</v>
      </c>
      <c r="G850" t="s">
        <v>1061</v>
      </c>
      <c r="H850" s="18">
        <v>45191</v>
      </c>
      <c r="I850" t="s">
        <v>871</v>
      </c>
      <c r="J850" t="s">
        <v>20</v>
      </c>
      <c r="K850" t="s">
        <v>1030</v>
      </c>
      <c r="L850">
        <v>42</v>
      </c>
      <c r="M850" t="s">
        <v>21</v>
      </c>
      <c r="N850">
        <v>1</v>
      </c>
      <c r="O850">
        <v>50</v>
      </c>
      <c r="P850">
        <v>50</v>
      </c>
      <c r="Q850">
        <v>0.75</v>
      </c>
      <c r="R850">
        <v>1</v>
      </c>
    </row>
    <row r="851" spans="1:18" x14ac:dyDescent="0.35">
      <c r="A851">
        <v>847</v>
      </c>
      <c r="B851">
        <v>8</v>
      </c>
      <c r="C851">
        <v>4</v>
      </c>
      <c r="D851">
        <v>2023</v>
      </c>
      <c r="E851" t="s">
        <v>1075</v>
      </c>
      <c r="F851" t="s">
        <v>1077</v>
      </c>
      <c r="G851" t="s">
        <v>1061</v>
      </c>
      <c r="H851" s="18">
        <v>45024</v>
      </c>
      <c r="I851" t="s">
        <v>872</v>
      </c>
      <c r="J851" t="s">
        <v>23</v>
      </c>
      <c r="K851" t="s">
        <v>1034</v>
      </c>
      <c r="L851">
        <v>18</v>
      </c>
      <c r="M851" t="s">
        <v>26</v>
      </c>
      <c r="N851">
        <v>4</v>
      </c>
      <c r="O851">
        <v>300</v>
      </c>
      <c r="P851">
        <v>1200</v>
      </c>
      <c r="Q851">
        <v>18</v>
      </c>
      <c r="R851">
        <v>24</v>
      </c>
    </row>
    <row r="852" spans="1:18" x14ac:dyDescent="0.35">
      <c r="A852">
        <v>848</v>
      </c>
      <c r="B852">
        <v>13</v>
      </c>
      <c r="C852">
        <v>2</v>
      </c>
      <c r="D852">
        <v>2023</v>
      </c>
      <c r="E852" t="s">
        <v>1067</v>
      </c>
      <c r="F852" t="s">
        <v>1073</v>
      </c>
      <c r="G852" t="s">
        <v>1061</v>
      </c>
      <c r="H852" s="18">
        <v>44970</v>
      </c>
      <c r="I852" t="s">
        <v>873</v>
      </c>
      <c r="J852" t="s">
        <v>23</v>
      </c>
      <c r="K852" t="s">
        <v>1032</v>
      </c>
      <c r="L852">
        <v>63</v>
      </c>
      <c r="M852" t="s">
        <v>24</v>
      </c>
      <c r="N852">
        <v>3</v>
      </c>
      <c r="O852">
        <v>25</v>
      </c>
      <c r="P852">
        <v>75</v>
      </c>
      <c r="Q852">
        <v>1.125</v>
      </c>
      <c r="R852">
        <v>1.5</v>
      </c>
    </row>
    <row r="853" spans="1:18" x14ac:dyDescent="0.35">
      <c r="A853">
        <v>849</v>
      </c>
      <c r="B853">
        <v>4</v>
      </c>
      <c r="C853">
        <v>5</v>
      </c>
      <c r="D853">
        <v>2023</v>
      </c>
      <c r="E853" t="s">
        <v>1072</v>
      </c>
      <c r="F853" t="s">
        <v>1076</v>
      </c>
      <c r="G853" t="s">
        <v>1061</v>
      </c>
      <c r="H853" s="18">
        <v>45050</v>
      </c>
      <c r="I853" t="s">
        <v>874</v>
      </c>
      <c r="J853" t="s">
        <v>20</v>
      </c>
      <c r="K853" t="s">
        <v>1030</v>
      </c>
      <c r="L853">
        <v>32</v>
      </c>
      <c r="M853" t="s">
        <v>24</v>
      </c>
      <c r="N853">
        <v>2</v>
      </c>
      <c r="O853">
        <v>25</v>
      </c>
      <c r="P853">
        <v>50</v>
      </c>
      <c r="Q853">
        <v>0.75</v>
      </c>
      <c r="R853">
        <v>1</v>
      </c>
    </row>
    <row r="854" spans="1:18" x14ac:dyDescent="0.35">
      <c r="A854">
        <v>850</v>
      </c>
      <c r="B854">
        <v>28</v>
      </c>
      <c r="C854">
        <v>7</v>
      </c>
      <c r="D854">
        <v>2023</v>
      </c>
      <c r="E854" t="s">
        <v>1070</v>
      </c>
      <c r="F854" t="s">
        <v>1078</v>
      </c>
      <c r="G854" t="s">
        <v>1061</v>
      </c>
      <c r="H854" s="18">
        <v>45135</v>
      </c>
      <c r="I854" t="s">
        <v>875</v>
      </c>
      <c r="J854" t="s">
        <v>23</v>
      </c>
      <c r="K854" t="s">
        <v>1034</v>
      </c>
      <c r="L854">
        <v>26</v>
      </c>
      <c r="M854" t="s">
        <v>21</v>
      </c>
      <c r="N854">
        <v>2</v>
      </c>
      <c r="O854">
        <v>500</v>
      </c>
      <c r="P854">
        <v>1000</v>
      </c>
      <c r="Q854">
        <v>15</v>
      </c>
      <c r="R854">
        <v>20</v>
      </c>
    </row>
    <row r="855" spans="1:18" x14ac:dyDescent="0.35">
      <c r="A855">
        <v>851</v>
      </c>
      <c r="B855">
        <v>8</v>
      </c>
      <c r="C855">
        <v>9</v>
      </c>
      <c r="D855">
        <v>2023</v>
      </c>
      <c r="E855" t="s">
        <v>1070</v>
      </c>
      <c r="F855" t="s">
        <v>1071</v>
      </c>
      <c r="G855" t="s">
        <v>1061</v>
      </c>
      <c r="H855" s="18">
        <v>45177</v>
      </c>
      <c r="I855" t="s">
        <v>876</v>
      </c>
      <c r="J855" t="s">
        <v>20</v>
      </c>
      <c r="K855" t="s">
        <v>1030</v>
      </c>
      <c r="L855">
        <v>32</v>
      </c>
      <c r="M855" t="s">
        <v>26</v>
      </c>
      <c r="N855">
        <v>2</v>
      </c>
      <c r="O855">
        <v>25</v>
      </c>
      <c r="P855">
        <v>50</v>
      </c>
      <c r="Q855">
        <v>0.75</v>
      </c>
      <c r="R855">
        <v>1</v>
      </c>
    </row>
    <row r="856" spans="1:18" x14ac:dyDescent="0.35">
      <c r="A856">
        <v>852</v>
      </c>
      <c r="B856">
        <v>12</v>
      </c>
      <c r="C856">
        <v>10</v>
      </c>
      <c r="D856">
        <v>2023</v>
      </c>
      <c r="E856" t="s">
        <v>1072</v>
      </c>
      <c r="F856" t="s">
        <v>1064</v>
      </c>
      <c r="G856" t="s">
        <v>1061</v>
      </c>
      <c r="H856" s="18">
        <v>45211</v>
      </c>
      <c r="I856" t="s">
        <v>877</v>
      </c>
      <c r="J856" t="s">
        <v>23</v>
      </c>
      <c r="K856" t="s">
        <v>1030</v>
      </c>
      <c r="L856">
        <v>41</v>
      </c>
      <c r="M856" t="s">
        <v>24</v>
      </c>
      <c r="N856">
        <v>1</v>
      </c>
      <c r="O856">
        <v>300</v>
      </c>
      <c r="P856">
        <v>300</v>
      </c>
      <c r="Q856">
        <v>4.5</v>
      </c>
      <c r="R856">
        <v>6</v>
      </c>
    </row>
    <row r="857" spans="1:18" x14ac:dyDescent="0.35">
      <c r="A857">
        <v>853</v>
      </c>
      <c r="B857">
        <v>4</v>
      </c>
      <c r="C857">
        <v>5</v>
      </c>
      <c r="D857">
        <v>2023</v>
      </c>
      <c r="E857" t="s">
        <v>1072</v>
      </c>
      <c r="F857" t="s">
        <v>1076</v>
      </c>
      <c r="G857" t="s">
        <v>1061</v>
      </c>
      <c r="H857" s="18">
        <v>45050</v>
      </c>
      <c r="I857" t="s">
        <v>878</v>
      </c>
      <c r="J857" t="s">
        <v>20</v>
      </c>
      <c r="K857" t="s">
        <v>1034</v>
      </c>
      <c r="L857">
        <v>21</v>
      </c>
      <c r="M857" t="s">
        <v>21</v>
      </c>
      <c r="N857">
        <v>2</v>
      </c>
      <c r="O857">
        <v>500</v>
      </c>
      <c r="P857">
        <v>1000</v>
      </c>
      <c r="Q857">
        <v>15</v>
      </c>
      <c r="R857">
        <v>20</v>
      </c>
    </row>
    <row r="858" spans="1:18" x14ac:dyDescent="0.35">
      <c r="A858">
        <v>854</v>
      </c>
      <c r="B858">
        <v>20</v>
      </c>
      <c r="C858">
        <v>12</v>
      </c>
      <c r="D858">
        <v>2023</v>
      </c>
      <c r="E858" t="s">
        <v>1065</v>
      </c>
      <c r="F858" t="s">
        <v>1062</v>
      </c>
      <c r="G858" t="s">
        <v>1061</v>
      </c>
      <c r="H858" s="18">
        <v>45280</v>
      </c>
      <c r="I858" t="s">
        <v>879</v>
      </c>
      <c r="J858" t="s">
        <v>20</v>
      </c>
      <c r="K858" t="s">
        <v>1034</v>
      </c>
      <c r="L858">
        <v>29</v>
      </c>
      <c r="M858" t="s">
        <v>24</v>
      </c>
      <c r="N858">
        <v>1</v>
      </c>
      <c r="O858">
        <v>50</v>
      </c>
      <c r="P858">
        <v>50</v>
      </c>
      <c r="Q858">
        <v>0.75</v>
      </c>
      <c r="R858">
        <v>1</v>
      </c>
    </row>
    <row r="859" spans="1:18" x14ac:dyDescent="0.35">
      <c r="A859">
        <v>855</v>
      </c>
      <c r="B859">
        <v>1</v>
      </c>
      <c r="C859">
        <v>9</v>
      </c>
      <c r="D859">
        <v>2023</v>
      </c>
      <c r="E859" t="s">
        <v>1070</v>
      </c>
      <c r="F859" t="s">
        <v>1071</v>
      </c>
      <c r="G859" t="s">
        <v>1061</v>
      </c>
      <c r="H859" s="18">
        <v>45170</v>
      </c>
      <c r="I859" t="s">
        <v>880</v>
      </c>
      <c r="J859" t="s">
        <v>20</v>
      </c>
      <c r="K859" t="s">
        <v>1032</v>
      </c>
      <c r="L859">
        <v>54</v>
      </c>
      <c r="M859" t="s">
        <v>21</v>
      </c>
      <c r="N859">
        <v>1</v>
      </c>
      <c r="O859">
        <v>25</v>
      </c>
      <c r="P859">
        <v>25</v>
      </c>
      <c r="Q859">
        <v>0.375</v>
      </c>
      <c r="R859">
        <v>0.5</v>
      </c>
    </row>
    <row r="860" spans="1:18" x14ac:dyDescent="0.35">
      <c r="A860">
        <v>856</v>
      </c>
      <c r="B860">
        <v>27</v>
      </c>
      <c r="C860">
        <v>11</v>
      </c>
      <c r="D860">
        <v>2023</v>
      </c>
      <c r="E860" t="s">
        <v>1067</v>
      </c>
      <c r="F860" t="s">
        <v>1068</v>
      </c>
      <c r="G860" t="s">
        <v>1061</v>
      </c>
      <c r="H860" s="18">
        <v>45257</v>
      </c>
      <c r="I860" t="s">
        <v>881</v>
      </c>
      <c r="J860" t="s">
        <v>20</v>
      </c>
      <c r="K860" t="s">
        <v>1032</v>
      </c>
      <c r="L860">
        <v>54</v>
      </c>
      <c r="M860" t="s">
        <v>26</v>
      </c>
      <c r="N860">
        <v>4</v>
      </c>
      <c r="O860">
        <v>30</v>
      </c>
      <c r="P860">
        <v>120</v>
      </c>
      <c r="Q860">
        <v>1.7999999999999998</v>
      </c>
      <c r="R860">
        <v>2.4</v>
      </c>
    </row>
    <row r="861" spans="1:18" x14ac:dyDescent="0.35">
      <c r="A861">
        <v>857</v>
      </c>
      <c r="B861">
        <v>31</v>
      </c>
      <c r="C861">
        <v>12</v>
      </c>
      <c r="D861">
        <v>2023</v>
      </c>
      <c r="E861" t="s">
        <v>1063</v>
      </c>
      <c r="F861" t="s">
        <v>1062</v>
      </c>
      <c r="G861" t="s">
        <v>1061</v>
      </c>
      <c r="H861" s="18">
        <v>45291</v>
      </c>
      <c r="I861" t="s">
        <v>882</v>
      </c>
      <c r="J861" t="s">
        <v>20</v>
      </c>
      <c r="K861" t="s">
        <v>1032</v>
      </c>
      <c r="L861">
        <v>60</v>
      </c>
      <c r="M861" t="s">
        <v>26</v>
      </c>
      <c r="N861">
        <v>2</v>
      </c>
      <c r="O861">
        <v>25</v>
      </c>
      <c r="P861">
        <v>50</v>
      </c>
      <c r="Q861">
        <v>0.75</v>
      </c>
      <c r="R861">
        <v>1</v>
      </c>
    </row>
    <row r="862" spans="1:18" x14ac:dyDescent="0.35">
      <c r="A862">
        <v>858</v>
      </c>
      <c r="B862">
        <v>9</v>
      </c>
      <c r="C862">
        <v>9</v>
      </c>
      <c r="D862">
        <v>2023</v>
      </c>
      <c r="E862" t="s">
        <v>1075</v>
      </c>
      <c r="F862" t="s">
        <v>1071</v>
      </c>
      <c r="G862" t="s">
        <v>1061</v>
      </c>
      <c r="H862" s="18">
        <v>45178</v>
      </c>
      <c r="I862" t="s">
        <v>883</v>
      </c>
      <c r="J862" t="s">
        <v>20</v>
      </c>
      <c r="K862" t="s">
        <v>1034</v>
      </c>
      <c r="L862">
        <v>23</v>
      </c>
      <c r="M862" t="s">
        <v>26</v>
      </c>
      <c r="N862">
        <v>2</v>
      </c>
      <c r="O862">
        <v>50</v>
      </c>
      <c r="P862">
        <v>100</v>
      </c>
      <c r="Q862">
        <v>1.5</v>
      </c>
      <c r="R862">
        <v>2</v>
      </c>
    </row>
    <row r="863" spans="1:18" x14ac:dyDescent="0.35">
      <c r="A863">
        <v>859</v>
      </c>
      <c r="B863">
        <v>18</v>
      </c>
      <c r="C863">
        <v>8</v>
      </c>
      <c r="D863">
        <v>2023</v>
      </c>
      <c r="E863" t="s">
        <v>1070</v>
      </c>
      <c r="F863" t="s">
        <v>1074</v>
      </c>
      <c r="G863" t="s">
        <v>1061</v>
      </c>
      <c r="H863" s="18">
        <v>45156</v>
      </c>
      <c r="I863" t="s">
        <v>884</v>
      </c>
      <c r="J863" t="s">
        <v>23</v>
      </c>
      <c r="K863" t="s">
        <v>1032</v>
      </c>
      <c r="L863">
        <v>56</v>
      </c>
      <c r="M863" t="s">
        <v>26</v>
      </c>
      <c r="N863">
        <v>3</v>
      </c>
      <c r="O863">
        <v>500</v>
      </c>
      <c r="P863">
        <v>1500</v>
      </c>
      <c r="Q863">
        <v>22.5</v>
      </c>
      <c r="R863">
        <v>30</v>
      </c>
    </row>
    <row r="864" spans="1:18" x14ac:dyDescent="0.35">
      <c r="A864">
        <v>860</v>
      </c>
      <c r="B864">
        <v>9</v>
      </c>
      <c r="C864">
        <v>1</v>
      </c>
      <c r="D864">
        <v>2023</v>
      </c>
      <c r="E864" t="s">
        <v>1067</v>
      </c>
      <c r="F864" t="s">
        <v>1060</v>
      </c>
      <c r="G864" t="s">
        <v>1061</v>
      </c>
      <c r="H864" s="18">
        <v>44935</v>
      </c>
      <c r="I864" t="s">
        <v>885</v>
      </c>
      <c r="J864" t="s">
        <v>20</v>
      </c>
      <c r="K864" t="s">
        <v>1032</v>
      </c>
      <c r="L864">
        <v>63</v>
      </c>
      <c r="M864" t="s">
        <v>24</v>
      </c>
      <c r="N864">
        <v>4</v>
      </c>
      <c r="O864">
        <v>50</v>
      </c>
      <c r="P864">
        <v>200</v>
      </c>
      <c r="Q864">
        <v>3</v>
      </c>
      <c r="R864">
        <v>4</v>
      </c>
    </row>
    <row r="865" spans="1:18" x14ac:dyDescent="0.35">
      <c r="A865">
        <v>861</v>
      </c>
      <c r="B865">
        <v>17</v>
      </c>
      <c r="C865">
        <v>2</v>
      </c>
      <c r="D865">
        <v>2023</v>
      </c>
      <c r="E865" t="s">
        <v>1070</v>
      </c>
      <c r="F865" t="s">
        <v>1073</v>
      </c>
      <c r="G865" t="s">
        <v>1061</v>
      </c>
      <c r="H865" s="18">
        <v>44974</v>
      </c>
      <c r="I865" t="s">
        <v>886</v>
      </c>
      <c r="J865" t="s">
        <v>23</v>
      </c>
      <c r="K865" t="s">
        <v>1030</v>
      </c>
      <c r="L865">
        <v>41</v>
      </c>
      <c r="M865" t="s">
        <v>24</v>
      </c>
      <c r="N865">
        <v>3</v>
      </c>
      <c r="O865">
        <v>30</v>
      </c>
      <c r="P865">
        <v>90</v>
      </c>
      <c r="Q865">
        <v>1.3499999999999999</v>
      </c>
      <c r="R865">
        <v>1.8</v>
      </c>
    </row>
    <row r="866" spans="1:18" x14ac:dyDescent="0.35">
      <c r="A866">
        <v>862</v>
      </c>
      <c r="B866">
        <v>31</v>
      </c>
      <c r="C866">
        <v>5</v>
      </c>
      <c r="D866">
        <v>2023</v>
      </c>
      <c r="E866" t="s">
        <v>1065</v>
      </c>
      <c r="F866" t="s">
        <v>1076</v>
      </c>
      <c r="G866" t="s">
        <v>1061</v>
      </c>
      <c r="H866" s="18">
        <v>45077</v>
      </c>
      <c r="I866" t="s">
        <v>887</v>
      </c>
      <c r="J866" t="s">
        <v>20</v>
      </c>
      <c r="K866" t="s">
        <v>1034</v>
      </c>
      <c r="L866">
        <v>28</v>
      </c>
      <c r="M866" t="s">
        <v>26</v>
      </c>
      <c r="N866">
        <v>4</v>
      </c>
      <c r="O866">
        <v>300</v>
      </c>
      <c r="P866">
        <v>1200</v>
      </c>
      <c r="Q866">
        <v>18</v>
      </c>
      <c r="R866">
        <v>24</v>
      </c>
    </row>
    <row r="867" spans="1:18" x14ac:dyDescent="0.35">
      <c r="A867">
        <v>863</v>
      </c>
      <c r="B867">
        <v>24</v>
      </c>
      <c r="C867">
        <v>4</v>
      </c>
      <c r="D867">
        <v>2023</v>
      </c>
      <c r="E867" t="s">
        <v>1067</v>
      </c>
      <c r="F867" t="s">
        <v>1077</v>
      </c>
      <c r="G867" t="s">
        <v>1061</v>
      </c>
      <c r="H867" s="18">
        <v>45040</v>
      </c>
      <c r="I867" t="s">
        <v>888</v>
      </c>
      <c r="J867" t="s">
        <v>23</v>
      </c>
      <c r="K867" t="s">
        <v>1030</v>
      </c>
      <c r="L867">
        <v>30</v>
      </c>
      <c r="M867" t="s">
        <v>26</v>
      </c>
      <c r="N867">
        <v>2</v>
      </c>
      <c r="O867">
        <v>25</v>
      </c>
      <c r="P867">
        <v>50</v>
      </c>
      <c r="Q867">
        <v>0.75</v>
      </c>
      <c r="R867">
        <v>1</v>
      </c>
    </row>
    <row r="868" spans="1:18" x14ac:dyDescent="0.35">
      <c r="A868">
        <v>864</v>
      </c>
      <c r="B868">
        <v>27</v>
      </c>
      <c r="C868">
        <v>7</v>
      </c>
      <c r="D868">
        <v>2023</v>
      </c>
      <c r="E868" t="s">
        <v>1072</v>
      </c>
      <c r="F868" t="s">
        <v>1078</v>
      </c>
      <c r="G868" t="s">
        <v>1061</v>
      </c>
      <c r="H868" s="18">
        <v>45134</v>
      </c>
      <c r="I868" t="s">
        <v>889</v>
      </c>
      <c r="J868" t="s">
        <v>23</v>
      </c>
      <c r="K868" t="s">
        <v>1032</v>
      </c>
      <c r="L868">
        <v>51</v>
      </c>
      <c r="M868" t="s">
        <v>26</v>
      </c>
      <c r="N868">
        <v>1</v>
      </c>
      <c r="O868">
        <v>500</v>
      </c>
      <c r="P868">
        <v>500</v>
      </c>
      <c r="Q868">
        <v>7.5</v>
      </c>
      <c r="R868">
        <v>10</v>
      </c>
    </row>
    <row r="869" spans="1:18" x14ac:dyDescent="0.35">
      <c r="A869">
        <v>865</v>
      </c>
      <c r="B869">
        <v>21</v>
      </c>
      <c r="C869">
        <v>12</v>
      </c>
      <c r="D869">
        <v>2023</v>
      </c>
      <c r="E869" t="s">
        <v>1072</v>
      </c>
      <c r="F869" t="s">
        <v>1062</v>
      </c>
      <c r="G869" t="s">
        <v>1061</v>
      </c>
      <c r="H869" s="18">
        <v>45281</v>
      </c>
      <c r="I869" t="s">
        <v>890</v>
      </c>
      <c r="J869" t="s">
        <v>23</v>
      </c>
      <c r="K869" t="s">
        <v>1030</v>
      </c>
      <c r="L869">
        <v>42</v>
      </c>
      <c r="M869" t="s">
        <v>24</v>
      </c>
      <c r="N869">
        <v>1</v>
      </c>
      <c r="O869">
        <v>300</v>
      </c>
      <c r="P869">
        <v>300</v>
      </c>
      <c r="Q869">
        <v>4.5</v>
      </c>
      <c r="R869">
        <v>6</v>
      </c>
    </row>
    <row r="870" spans="1:18" x14ac:dyDescent="0.35">
      <c r="A870">
        <v>866</v>
      </c>
      <c r="B870">
        <v>5</v>
      </c>
      <c r="C870">
        <v>5</v>
      </c>
      <c r="D870">
        <v>2023</v>
      </c>
      <c r="E870" t="s">
        <v>1070</v>
      </c>
      <c r="F870" t="s">
        <v>1076</v>
      </c>
      <c r="G870" t="s">
        <v>1061</v>
      </c>
      <c r="H870" s="18">
        <v>45051</v>
      </c>
      <c r="I870" t="s">
        <v>891</v>
      </c>
      <c r="J870" t="s">
        <v>20</v>
      </c>
      <c r="K870" t="s">
        <v>1034</v>
      </c>
      <c r="L870">
        <v>24</v>
      </c>
      <c r="M870" t="s">
        <v>26</v>
      </c>
      <c r="N870">
        <v>1</v>
      </c>
      <c r="O870">
        <v>50</v>
      </c>
      <c r="P870">
        <v>50</v>
      </c>
      <c r="Q870">
        <v>0.75</v>
      </c>
      <c r="R870">
        <v>1</v>
      </c>
    </row>
    <row r="871" spans="1:18" x14ac:dyDescent="0.35">
      <c r="A871">
        <v>867</v>
      </c>
      <c r="B871">
        <v>6</v>
      </c>
      <c r="C871">
        <v>6</v>
      </c>
      <c r="D871">
        <v>2023</v>
      </c>
      <c r="E871" t="s">
        <v>1059</v>
      </c>
      <c r="F871" t="s">
        <v>1069</v>
      </c>
      <c r="G871" t="s">
        <v>1061</v>
      </c>
      <c r="H871" s="18">
        <v>45083</v>
      </c>
      <c r="I871" t="s">
        <v>892</v>
      </c>
      <c r="J871" t="s">
        <v>20</v>
      </c>
      <c r="K871" t="s">
        <v>1034</v>
      </c>
      <c r="L871">
        <v>21</v>
      </c>
      <c r="M871" t="s">
        <v>26</v>
      </c>
      <c r="N871">
        <v>1</v>
      </c>
      <c r="O871">
        <v>500</v>
      </c>
      <c r="P871">
        <v>500</v>
      </c>
      <c r="Q871">
        <v>7.5</v>
      </c>
      <c r="R871">
        <v>10</v>
      </c>
    </row>
    <row r="872" spans="1:18" x14ac:dyDescent="0.35">
      <c r="A872">
        <v>868</v>
      </c>
      <c r="B872">
        <v>6</v>
      </c>
      <c r="C872">
        <v>12</v>
      </c>
      <c r="D872">
        <v>2023</v>
      </c>
      <c r="E872" t="s">
        <v>1065</v>
      </c>
      <c r="F872" t="s">
        <v>1062</v>
      </c>
      <c r="G872" t="s">
        <v>1061</v>
      </c>
      <c r="H872" s="18">
        <v>45266</v>
      </c>
      <c r="I872" t="s">
        <v>893</v>
      </c>
      <c r="J872" t="s">
        <v>23</v>
      </c>
      <c r="K872" t="s">
        <v>1034</v>
      </c>
      <c r="L872">
        <v>25</v>
      </c>
      <c r="M872" t="s">
        <v>26</v>
      </c>
      <c r="N872">
        <v>1</v>
      </c>
      <c r="O872">
        <v>300</v>
      </c>
      <c r="P872">
        <v>300</v>
      </c>
      <c r="Q872">
        <v>4.5</v>
      </c>
      <c r="R872">
        <v>6</v>
      </c>
    </row>
    <row r="873" spans="1:18" x14ac:dyDescent="0.35">
      <c r="A873">
        <v>869</v>
      </c>
      <c r="B873">
        <v>25</v>
      </c>
      <c r="C873">
        <v>10</v>
      </c>
      <c r="D873">
        <v>2023</v>
      </c>
      <c r="E873" t="s">
        <v>1065</v>
      </c>
      <c r="F873" t="s">
        <v>1064</v>
      </c>
      <c r="G873" t="s">
        <v>1061</v>
      </c>
      <c r="H873" s="18">
        <v>45224</v>
      </c>
      <c r="I873" t="s">
        <v>894</v>
      </c>
      <c r="J873" t="s">
        <v>20</v>
      </c>
      <c r="K873" t="s">
        <v>1030</v>
      </c>
      <c r="L873">
        <v>37</v>
      </c>
      <c r="M873" t="s">
        <v>21</v>
      </c>
      <c r="N873">
        <v>3</v>
      </c>
      <c r="O873">
        <v>500</v>
      </c>
      <c r="P873">
        <v>1500</v>
      </c>
      <c r="Q873">
        <v>22.5</v>
      </c>
      <c r="R873">
        <v>30</v>
      </c>
    </row>
    <row r="874" spans="1:18" x14ac:dyDescent="0.35">
      <c r="A874">
        <v>870</v>
      </c>
      <c r="B874">
        <v>8</v>
      </c>
      <c r="C874">
        <v>7</v>
      </c>
      <c r="D874">
        <v>2023</v>
      </c>
      <c r="E874" t="s">
        <v>1075</v>
      </c>
      <c r="F874" t="s">
        <v>1078</v>
      </c>
      <c r="G874" t="s">
        <v>1061</v>
      </c>
      <c r="H874" s="18">
        <v>45115</v>
      </c>
      <c r="I874" t="s">
        <v>895</v>
      </c>
      <c r="J874" t="s">
        <v>23</v>
      </c>
      <c r="K874" t="s">
        <v>1030</v>
      </c>
      <c r="L874">
        <v>46</v>
      </c>
      <c r="M874" t="s">
        <v>26</v>
      </c>
      <c r="N874">
        <v>4</v>
      </c>
      <c r="O874">
        <v>30</v>
      </c>
      <c r="P874">
        <v>120</v>
      </c>
      <c r="Q874">
        <v>1.7999999999999998</v>
      </c>
      <c r="R874">
        <v>2.4</v>
      </c>
    </row>
    <row r="875" spans="1:18" x14ac:dyDescent="0.35">
      <c r="A875">
        <v>871</v>
      </c>
      <c r="B875">
        <v>31</v>
      </c>
      <c r="C875">
        <v>8</v>
      </c>
      <c r="D875">
        <v>2023</v>
      </c>
      <c r="E875" t="s">
        <v>1072</v>
      </c>
      <c r="F875" t="s">
        <v>1074</v>
      </c>
      <c r="G875" t="s">
        <v>1061</v>
      </c>
      <c r="H875" s="18">
        <v>45169</v>
      </c>
      <c r="I875" t="s">
        <v>896</v>
      </c>
      <c r="J875" t="s">
        <v>20</v>
      </c>
      <c r="K875" t="s">
        <v>1032</v>
      </c>
      <c r="L875">
        <v>62</v>
      </c>
      <c r="M875" t="s">
        <v>21</v>
      </c>
      <c r="N875">
        <v>2</v>
      </c>
      <c r="O875">
        <v>30</v>
      </c>
      <c r="P875">
        <v>60</v>
      </c>
      <c r="Q875">
        <v>0.89999999999999991</v>
      </c>
      <c r="R875">
        <v>1.2</v>
      </c>
    </row>
    <row r="876" spans="1:18" x14ac:dyDescent="0.35">
      <c r="A876">
        <v>872</v>
      </c>
      <c r="B876">
        <v>11</v>
      </c>
      <c r="C876">
        <v>10</v>
      </c>
      <c r="D876">
        <v>2023</v>
      </c>
      <c r="E876" t="s">
        <v>1065</v>
      </c>
      <c r="F876" t="s">
        <v>1064</v>
      </c>
      <c r="G876" t="s">
        <v>1061</v>
      </c>
      <c r="H876" s="18">
        <v>45210</v>
      </c>
      <c r="I876" t="s">
        <v>897</v>
      </c>
      <c r="J876" t="s">
        <v>23</v>
      </c>
      <c r="K876" t="s">
        <v>1032</v>
      </c>
      <c r="L876">
        <v>63</v>
      </c>
      <c r="M876" t="s">
        <v>21</v>
      </c>
      <c r="N876">
        <v>3</v>
      </c>
      <c r="O876">
        <v>25</v>
      </c>
      <c r="P876">
        <v>75</v>
      </c>
      <c r="Q876">
        <v>1.125</v>
      </c>
      <c r="R876">
        <v>1.5</v>
      </c>
    </row>
    <row r="877" spans="1:18" x14ac:dyDescent="0.35">
      <c r="A877">
        <v>873</v>
      </c>
      <c r="B877">
        <v>29</v>
      </c>
      <c r="C877">
        <v>9</v>
      </c>
      <c r="D877">
        <v>2023</v>
      </c>
      <c r="E877" t="s">
        <v>1070</v>
      </c>
      <c r="F877" t="s">
        <v>1071</v>
      </c>
      <c r="G877" t="s">
        <v>1061</v>
      </c>
      <c r="H877" s="18">
        <v>45198</v>
      </c>
      <c r="I877" t="s">
        <v>898</v>
      </c>
      <c r="J877" t="s">
        <v>23</v>
      </c>
      <c r="K877" t="s">
        <v>1034</v>
      </c>
      <c r="L877">
        <v>27</v>
      </c>
      <c r="M877" t="s">
        <v>26</v>
      </c>
      <c r="N877">
        <v>4</v>
      </c>
      <c r="O877">
        <v>25</v>
      </c>
      <c r="P877">
        <v>100</v>
      </c>
      <c r="Q877">
        <v>1.5</v>
      </c>
      <c r="R877">
        <v>2</v>
      </c>
    </row>
    <row r="878" spans="1:18" x14ac:dyDescent="0.35">
      <c r="A878">
        <v>874</v>
      </c>
      <c r="B878">
        <v>26</v>
      </c>
      <c r="C878">
        <v>6</v>
      </c>
      <c r="D878">
        <v>2023</v>
      </c>
      <c r="E878" t="s">
        <v>1067</v>
      </c>
      <c r="F878" t="s">
        <v>1069</v>
      </c>
      <c r="G878" t="s">
        <v>1061</v>
      </c>
      <c r="H878" s="18">
        <v>45103</v>
      </c>
      <c r="I878" t="s">
        <v>899</v>
      </c>
      <c r="J878" t="s">
        <v>20</v>
      </c>
      <c r="K878" t="s">
        <v>1032</v>
      </c>
      <c r="L878">
        <v>60</v>
      </c>
      <c r="M878" t="s">
        <v>21</v>
      </c>
      <c r="N878">
        <v>1</v>
      </c>
      <c r="O878">
        <v>30</v>
      </c>
      <c r="P878">
        <v>30</v>
      </c>
      <c r="Q878">
        <v>0.44999999999999996</v>
      </c>
      <c r="R878">
        <v>0.6</v>
      </c>
    </row>
    <row r="879" spans="1:18" x14ac:dyDescent="0.35">
      <c r="A879">
        <v>875</v>
      </c>
      <c r="B879">
        <v>6</v>
      </c>
      <c r="C879">
        <v>8</v>
      </c>
      <c r="D879">
        <v>2023</v>
      </c>
      <c r="E879" t="s">
        <v>1063</v>
      </c>
      <c r="F879" t="s">
        <v>1074</v>
      </c>
      <c r="G879" t="s">
        <v>1061</v>
      </c>
      <c r="H879" s="18">
        <v>45144</v>
      </c>
      <c r="I879" t="s">
        <v>900</v>
      </c>
      <c r="J879" t="s">
        <v>23</v>
      </c>
      <c r="K879" t="s">
        <v>1032</v>
      </c>
      <c r="L879">
        <v>51</v>
      </c>
      <c r="M879" t="s">
        <v>26</v>
      </c>
      <c r="N879">
        <v>4</v>
      </c>
      <c r="O879">
        <v>500</v>
      </c>
      <c r="P879">
        <v>2000</v>
      </c>
      <c r="Q879">
        <v>30</v>
      </c>
      <c r="R879">
        <v>40</v>
      </c>
    </row>
    <row r="880" spans="1:18" x14ac:dyDescent="0.35">
      <c r="A880">
        <v>876</v>
      </c>
      <c r="B880">
        <v>9</v>
      </c>
      <c r="C880">
        <v>10</v>
      </c>
      <c r="D880">
        <v>2023</v>
      </c>
      <c r="E880" t="s">
        <v>1067</v>
      </c>
      <c r="F880" t="s">
        <v>1064</v>
      </c>
      <c r="G880" t="s">
        <v>1061</v>
      </c>
      <c r="H880" s="18">
        <v>45208</v>
      </c>
      <c r="I880" t="s">
        <v>901</v>
      </c>
      <c r="J880" t="s">
        <v>20</v>
      </c>
      <c r="K880" t="s">
        <v>1030</v>
      </c>
      <c r="L880">
        <v>43</v>
      </c>
      <c r="M880" t="s">
        <v>24</v>
      </c>
      <c r="N880">
        <v>4</v>
      </c>
      <c r="O880">
        <v>30</v>
      </c>
      <c r="P880">
        <v>120</v>
      </c>
      <c r="Q880">
        <v>1.7999999999999998</v>
      </c>
      <c r="R880">
        <v>2.4</v>
      </c>
    </row>
    <row r="881" spans="1:18" x14ac:dyDescent="0.35">
      <c r="A881">
        <v>877</v>
      </c>
      <c r="B881">
        <v>19</v>
      </c>
      <c r="C881">
        <v>6</v>
      </c>
      <c r="D881">
        <v>2023</v>
      </c>
      <c r="E881" t="s">
        <v>1067</v>
      </c>
      <c r="F881" t="s">
        <v>1069</v>
      </c>
      <c r="G881" t="s">
        <v>1061</v>
      </c>
      <c r="H881" s="18">
        <v>45096</v>
      </c>
      <c r="I881" t="s">
        <v>902</v>
      </c>
      <c r="J881" t="s">
        <v>23</v>
      </c>
      <c r="K881" t="s">
        <v>1032</v>
      </c>
      <c r="L881">
        <v>58</v>
      </c>
      <c r="M881" t="s">
        <v>24</v>
      </c>
      <c r="N881">
        <v>1</v>
      </c>
      <c r="O881">
        <v>25</v>
      </c>
      <c r="P881">
        <v>25</v>
      </c>
      <c r="Q881">
        <v>0.375</v>
      </c>
      <c r="R881">
        <v>0.5</v>
      </c>
    </row>
    <row r="882" spans="1:18" x14ac:dyDescent="0.35">
      <c r="A882">
        <v>878</v>
      </c>
      <c r="B882">
        <v>30</v>
      </c>
      <c r="C882">
        <v>6</v>
      </c>
      <c r="D882">
        <v>2023</v>
      </c>
      <c r="E882" t="s">
        <v>1070</v>
      </c>
      <c r="F882" t="s">
        <v>1069</v>
      </c>
      <c r="G882" t="s">
        <v>1061</v>
      </c>
      <c r="H882" s="18">
        <v>45107</v>
      </c>
      <c r="I882" t="s">
        <v>903</v>
      </c>
      <c r="J882" t="s">
        <v>23</v>
      </c>
      <c r="K882" t="s">
        <v>1034</v>
      </c>
      <c r="L882">
        <v>20</v>
      </c>
      <c r="M882" t="s">
        <v>24</v>
      </c>
      <c r="N882">
        <v>1</v>
      </c>
      <c r="O882">
        <v>30</v>
      </c>
      <c r="P882">
        <v>30</v>
      </c>
      <c r="Q882">
        <v>0.44999999999999996</v>
      </c>
      <c r="R882">
        <v>0.6</v>
      </c>
    </row>
    <row r="883" spans="1:18" x14ac:dyDescent="0.35">
      <c r="A883">
        <v>879</v>
      </c>
      <c r="B883">
        <v>26</v>
      </c>
      <c r="C883">
        <v>12</v>
      </c>
      <c r="D883">
        <v>2023</v>
      </c>
      <c r="E883" t="s">
        <v>1059</v>
      </c>
      <c r="F883" t="s">
        <v>1062</v>
      </c>
      <c r="G883" t="s">
        <v>1061</v>
      </c>
      <c r="H883" s="18">
        <v>45286</v>
      </c>
      <c r="I883" t="s">
        <v>904</v>
      </c>
      <c r="J883" t="s">
        <v>20</v>
      </c>
      <c r="K883" t="s">
        <v>1034</v>
      </c>
      <c r="L883">
        <v>23</v>
      </c>
      <c r="M883" t="s">
        <v>24</v>
      </c>
      <c r="N883">
        <v>1</v>
      </c>
      <c r="O883">
        <v>30</v>
      </c>
      <c r="P883">
        <v>30</v>
      </c>
      <c r="Q883">
        <v>0.44999999999999996</v>
      </c>
      <c r="R883">
        <v>0.6</v>
      </c>
    </row>
    <row r="884" spans="1:18" x14ac:dyDescent="0.35">
      <c r="A884">
        <v>880</v>
      </c>
      <c r="B884">
        <v>21</v>
      </c>
      <c r="C884">
        <v>8</v>
      </c>
      <c r="D884">
        <v>2023</v>
      </c>
      <c r="E884" t="s">
        <v>1067</v>
      </c>
      <c r="F884" t="s">
        <v>1074</v>
      </c>
      <c r="G884" t="s">
        <v>1061</v>
      </c>
      <c r="H884" s="18">
        <v>45159</v>
      </c>
      <c r="I884" t="s">
        <v>905</v>
      </c>
      <c r="J884" t="s">
        <v>20</v>
      </c>
      <c r="K884" t="s">
        <v>1034</v>
      </c>
      <c r="L884">
        <v>22</v>
      </c>
      <c r="M884" t="s">
        <v>21</v>
      </c>
      <c r="N884">
        <v>2</v>
      </c>
      <c r="O884">
        <v>500</v>
      </c>
      <c r="P884">
        <v>1000</v>
      </c>
      <c r="Q884">
        <v>15</v>
      </c>
      <c r="R884">
        <v>20</v>
      </c>
    </row>
    <row r="885" spans="1:18" x14ac:dyDescent="0.35">
      <c r="A885">
        <v>881</v>
      </c>
      <c r="B885">
        <v>19</v>
      </c>
      <c r="C885">
        <v>5</v>
      </c>
      <c r="D885">
        <v>2023</v>
      </c>
      <c r="E885" t="s">
        <v>1070</v>
      </c>
      <c r="F885" t="s">
        <v>1076</v>
      </c>
      <c r="G885" t="s">
        <v>1061</v>
      </c>
      <c r="H885" s="18">
        <v>45065</v>
      </c>
      <c r="I885" t="s">
        <v>906</v>
      </c>
      <c r="J885" t="s">
        <v>20</v>
      </c>
      <c r="K885" t="s">
        <v>1034</v>
      </c>
      <c r="L885">
        <v>22</v>
      </c>
      <c r="M885" t="s">
        <v>26</v>
      </c>
      <c r="N885">
        <v>1</v>
      </c>
      <c r="O885">
        <v>300</v>
      </c>
      <c r="P885">
        <v>300</v>
      </c>
      <c r="Q885">
        <v>4.5</v>
      </c>
      <c r="R885">
        <v>6</v>
      </c>
    </row>
    <row r="886" spans="1:18" x14ac:dyDescent="0.35">
      <c r="A886">
        <v>882</v>
      </c>
      <c r="B886">
        <v>6</v>
      </c>
      <c r="C886">
        <v>6</v>
      </c>
      <c r="D886">
        <v>2023</v>
      </c>
      <c r="E886" t="s">
        <v>1059</v>
      </c>
      <c r="F886" t="s">
        <v>1069</v>
      </c>
      <c r="G886" t="s">
        <v>1061</v>
      </c>
      <c r="H886" s="18">
        <v>45083</v>
      </c>
      <c r="I886" t="s">
        <v>907</v>
      </c>
      <c r="J886" t="s">
        <v>23</v>
      </c>
      <c r="K886" t="s">
        <v>1032</v>
      </c>
      <c r="L886">
        <v>64</v>
      </c>
      <c r="M886" t="s">
        <v>26</v>
      </c>
      <c r="N886">
        <v>2</v>
      </c>
      <c r="O886">
        <v>25</v>
      </c>
      <c r="P886">
        <v>50</v>
      </c>
      <c r="Q886">
        <v>0.75</v>
      </c>
      <c r="R886">
        <v>1</v>
      </c>
    </row>
    <row r="887" spans="1:18" x14ac:dyDescent="0.35">
      <c r="A887">
        <v>883</v>
      </c>
      <c r="B887">
        <v>9</v>
      </c>
      <c r="C887">
        <v>5</v>
      </c>
      <c r="D887">
        <v>2023</v>
      </c>
      <c r="E887" t="s">
        <v>1059</v>
      </c>
      <c r="F887" t="s">
        <v>1076</v>
      </c>
      <c r="G887" t="s">
        <v>1061</v>
      </c>
      <c r="H887" s="18">
        <v>45055</v>
      </c>
      <c r="I887" t="s">
        <v>908</v>
      </c>
      <c r="J887" t="s">
        <v>20</v>
      </c>
      <c r="K887" t="s">
        <v>1030</v>
      </c>
      <c r="L887">
        <v>40</v>
      </c>
      <c r="M887" t="s">
        <v>26</v>
      </c>
      <c r="N887">
        <v>1</v>
      </c>
      <c r="O887">
        <v>500</v>
      </c>
      <c r="P887">
        <v>500</v>
      </c>
      <c r="Q887">
        <v>7.5</v>
      </c>
      <c r="R887">
        <v>10</v>
      </c>
    </row>
    <row r="888" spans="1:18" x14ac:dyDescent="0.35">
      <c r="A888">
        <v>884</v>
      </c>
      <c r="B888">
        <v>29</v>
      </c>
      <c r="C888">
        <v>4</v>
      </c>
      <c r="D888">
        <v>2023</v>
      </c>
      <c r="E888" t="s">
        <v>1075</v>
      </c>
      <c r="F888" t="s">
        <v>1077</v>
      </c>
      <c r="G888" t="s">
        <v>1061</v>
      </c>
      <c r="H888" s="18">
        <v>45045</v>
      </c>
      <c r="I888" t="s">
        <v>909</v>
      </c>
      <c r="J888" t="s">
        <v>23</v>
      </c>
      <c r="K888" t="s">
        <v>1034</v>
      </c>
      <c r="L888">
        <v>26</v>
      </c>
      <c r="M888" t="s">
        <v>24</v>
      </c>
      <c r="N888">
        <v>2</v>
      </c>
      <c r="O888">
        <v>30</v>
      </c>
      <c r="P888">
        <v>60</v>
      </c>
      <c r="Q888">
        <v>0.89999999999999991</v>
      </c>
      <c r="R888">
        <v>1.2</v>
      </c>
    </row>
    <row r="889" spans="1:18" x14ac:dyDescent="0.35">
      <c r="A889">
        <v>885</v>
      </c>
      <c r="B889">
        <v>3</v>
      </c>
      <c r="C889">
        <v>3</v>
      </c>
      <c r="D889">
        <v>2023</v>
      </c>
      <c r="E889" t="s">
        <v>1070</v>
      </c>
      <c r="F889" t="s">
        <v>1066</v>
      </c>
      <c r="G889" t="s">
        <v>1061</v>
      </c>
      <c r="H889" s="18">
        <v>44988</v>
      </c>
      <c r="I889" t="s">
        <v>910</v>
      </c>
      <c r="J889" t="s">
        <v>23</v>
      </c>
      <c r="K889" t="s">
        <v>1032</v>
      </c>
      <c r="L889">
        <v>52</v>
      </c>
      <c r="M889" t="s">
        <v>24</v>
      </c>
      <c r="N889">
        <v>4</v>
      </c>
      <c r="O889">
        <v>30</v>
      </c>
      <c r="P889">
        <v>120</v>
      </c>
      <c r="Q889">
        <v>1.7999999999999998</v>
      </c>
      <c r="R889">
        <v>2.4</v>
      </c>
    </row>
    <row r="890" spans="1:18" x14ac:dyDescent="0.35">
      <c r="A890">
        <v>886</v>
      </c>
      <c r="B890">
        <v>9</v>
      </c>
      <c r="C890">
        <v>4</v>
      </c>
      <c r="D890">
        <v>2023</v>
      </c>
      <c r="E890" t="s">
        <v>1063</v>
      </c>
      <c r="F890" t="s">
        <v>1077</v>
      </c>
      <c r="G890" t="s">
        <v>1061</v>
      </c>
      <c r="H890" s="18">
        <v>45025</v>
      </c>
      <c r="I890" t="s">
        <v>911</v>
      </c>
      <c r="J890" t="s">
        <v>20</v>
      </c>
      <c r="K890" t="s">
        <v>1030</v>
      </c>
      <c r="L890">
        <v>37</v>
      </c>
      <c r="M890" t="s">
        <v>26</v>
      </c>
      <c r="N890">
        <v>3</v>
      </c>
      <c r="O890">
        <v>300</v>
      </c>
      <c r="P890">
        <v>900</v>
      </c>
      <c r="Q890">
        <v>13.5</v>
      </c>
      <c r="R890">
        <v>18</v>
      </c>
    </row>
    <row r="891" spans="1:18" x14ac:dyDescent="0.35">
      <c r="A891">
        <v>887</v>
      </c>
      <c r="B891">
        <v>11</v>
      </c>
      <c r="C891">
        <v>6</v>
      </c>
      <c r="D891">
        <v>2023</v>
      </c>
      <c r="E891" t="s">
        <v>1063</v>
      </c>
      <c r="F891" t="s">
        <v>1069</v>
      </c>
      <c r="G891" t="s">
        <v>1061</v>
      </c>
      <c r="H891" s="18">
        <v>45088</v>
      </c>
      <c r="I891" t="s">
        <v>912</v>
      </c>
      <c r="J891" t="s">
        <v>20</v>
      </c>
      <c r="K891" t="s">
        <v>1032</v>
      </c>
      <c r="L891">
        <v>59</v>
      </c>
      <c r="M891" t="s">
        <v>24</v>
      </c>
      <c r="N891">
        <v>4</v>
      </c>
      <c r="O891">
        <v>25</v>
      </c>
      <c r="P891">
        <v>100</v>
      </c>
      <c r="Q891">
        <v>1.5</v>
      </c>
      <c r="R891">
        <v>2</v>
      </c>
    </row>
    <row r="892" spans="1:18" x14ac:dyDescent="0.35">
      <c r="A892">
        <v>888</v>
      </c>
      <c r="B892">
        <v>3</v>
      </c>
      <c r="C892">
        <v>3</v>
      </c>
      <c r="D892">
        <v>2023</v>
      </c>
      <c r="E892" t="s">
        <v>1070</v>
      </c>
      <c r="F892" t="s">
        <v>1066</v>
      </c>
      <c r="G892" t="s">
        <v>1061</v>
      </c>
      <c r="H892" s="18">
        <v>44988</v>
      </c>
      <c r="I892" t="s">
        <v>913</v>
      </c>
      <c r="J892" t="s">
        <v>23</v>
      </c>
      <c r="K892" t="s">
        <v>1032</v>
      </c>
      <c r="L892">
        <v>52</v>
      </c>
      <c r="M892" t="s">
        <v>26</v>
      </c>
      <c r="N892">
        <v>4</v>
      </c>
      <c r="O892">
        <v>25</v>
      </c>
      <c r="P892">
        <v>100</v>
      </c>
      <c r="Q892">
        <v>1.5</v>
      </c>
      <c r="R892">
        <v>2</v>
      </c>
    </row>
    <row r="893" spans="1:18" x14ac:dyDescent="0.35">
      <c r="A893">
        <v>889</v>
      </c>
      <c r="B893">
        <v>2</v>
      </c>
      <c r="C893">
        <v>10</v>
      </c>
      <c r="D893">
        <v>2023</v>
      </c>
      <c r="E893" t="s">
        <v>1067</v>
      </c>
      <c r="F893" t="s">
        <v>1064</v>
      </c>
      <c r="G893" t="s">
        <v>1061</v>
      </c>
      <c r="H893" s="18">
        <v>45201</v>
      </c>
      <c r="I893" t="s">
        <v>914</v>
      </c>
      <c r="J893" t="s">
        <v>23</v>
      </c>
      <c r="K893" t="s">
        <v>1030</v>
      </c>
      <c r="L893">
        <v>35</v>
      </c>
      <c r="M893" t="s">
        <v>26</v>
      </c>
      <c r="N893">
        <v>1</v>
      </c>
      <c r="O893">
        <v>50</v>
      </c>
      <c r="P893">
        <v>50</v>
      </c>
      <c r="Q893">
        <v>0.75</v>
      </c>
      <c r="R893">
        <v>1</v>
      </c>
    </row>
    <row r="894" spans="1:18" x14ac:dyDescent="0.35">
      <c r="A894">
        <v>890</v>
      </c>
      <c r="B894">
        <v>20</v>
      </c>
      <c r="C894">
        <v>12</v>
      </c>
      <c r="D894">
        <v>2023</v>
      </c>
      <c r="E894" t="s">
        <v>1065</v>
      </c>
      <c r="F894" t="s">
        <v>1062</v>
      </c>
      <c r="G894" t="s">
        <v>1061</v>
      </c>
      <c r="H894" s="18">
        <v>45280</v>
      </c>
      <c r="I894" t="s">
        <v>915</v>
      </c>
      <c r="J894" t="s">
        <v>20</v>
      </c>
      <c r="K894" t="s">
        <v>1030</v>
      </c>
      <c r="L894">
        <v>34</v>
      </c>
      <c r="M894" t="s">
        <v>26</v>
      </c>
      <c r="N894">
        <v>2</v>
      </c>
      <c r="O894">
        <v>25</v>
      </c>
      <c r="P894">
        <v>50</v>
      </c>
      <c r="Q894">
        <v>0.75</v>
      </c>
      <c r="R894">
        <v>1</v>
      </c>
    </row>
    <row r="895" spans="1:18" x14ac:dyDescent="0.35">
      <c r="A895">
        <v>891</v>
      </c>
      <c r="B895">
        <v>5</v>
      </c>
      <c r="C895">
        <v>4</v>
      </c>
      <c r="D895">
        <v>2023</v>
      </c>
      <c r="E895" t="s">
        <v>1065</v>
      </c>
      <c r="F895" t="s">
        <v>1077</v>
      </c>
      <c r="G895" t="s">
        <v>1061</v>
      </c>
      <c r="H895" s="18">
        <v>45021</v>
      </c>
      <c r="I895" t="s">
        <v>916</v>
      </c>
      <c r="J895" t="s">
        <v>20</v>
      </c>
      <c r="K895" t="s">
        <v>1030</v>
      </c>
      <c r="L895">
        <v>41</v>
      </c>
      <c r="M895" t="s">
        <v>26</v>
      </c>
      <c r="N895">
        <v>3</v>
      </c>
      <c r="O895">
        <v>300</v>
      </c>
      <c r="P895">
        <v>900</v>
      </c>
      <c r="Q895">
        <v>13.5</v>
      </c>
      <c r="R895">
        <v>18</v>
      </c>
    </row>
    <row r="896" spans="1:18" x14ac:dyDescent="0.35">
      <c r="A896">
        <v>892</v>
      </c>
      <c r="B896">
        <v>9</v>
      </c>
      <c r="C896">
        <v>4</v>
      </c>
      <c r="D896">
        <v>2023</v>
      </c>
      <c r="E896" t="s">
        <v>1063</v>
      </c>
      <c r="F896" t="s">
        <v>1077</v>
      </c>
      <c r="G896" t="s">
        <v>1061</v>
      </c>
      <c r="H896" s="18">
        <v>45025</v>
      </c>
      <c r="I896" t="s">
        <v>917</v>
      </c>
      <c r="J896" t="s">
        <v>20</v>
      </c>
      <c r="K896" t="s">
        <v>1034</v>
      </c>
      <c r="L896">
        <v>20</v>
      </c>
      <c r="M896" t="s">
        <v>26</v>
      </c>
      <c r="N896">
        <v>1</v>
      </c>
      <c r="O896">
        <v>50</v>
      </c>
      <c r="P896">
        <v>50</v>
      </c>
      <c r="Q896">
        <v>0.75</v>
      </c>
      <c r="R896">
        <v>1</v>
      </c>
    </row>
    <row r="897" spans="1:18" x14ac:dyDescent="0.35">
      <c r="A897">
        <v>893</v>
      </c>
      <c r="B897">
        <v>21</v>
      </c>
      <c r="C897">
        <v>4</v>
      </c>
      <c r="D897">
        <v>2023</v>
      </c>
      <c r="E897" t="s">
        <v>1070</v>
      </c>
      <c r="F897" t="s">
        <v>1077</v>
      </c>
      <c r="G897" t="s">
        <v>1061</v>
      </c>
      <c r="H897" s="18">
        <v>45037</v>
      </c>
      <c r="I897" t="s">
        <v>918</v>
      </c>
      <c r="J897" t="s">
        <v>20</v>
      </c>
      <c r="K897" t="s">
        <v>1030</v>
      </c>
      <c r="L897">
        <v>49</v>
      </c>
      <c r="M897" t="s">
        <v>26</v>
      </c>
      <c r="N897">
        <v>1</v>
      </c>
      <c r="O897">
        <v>50</v>
      </c>
      <c r="P897">
        <v>50</v>
      </c>
      <c r="Q897">
        <v>0.75</v>
      </c>
      <c r="R897">
        <v>1</v>
      </c>
    </row>
    <row r="898" spans="1:18" x14ac:dyDescent="0.35">
      <c r="A898">
        <v>894</v>
      </c>
      <c r="B898">
        <v>5</v>
      </c>
      <c r="C898">
        <v>9</v>
      </c>
      <c r="D898">
        <v>2023</v>
      </c>
      <c r="E898" t="s">
        <v>1059</v>
      </c>
      <c r="F898" t="s">
        <v>1071</v>
      </c>
      <c r="G898" t="s">
        <v>1061</v>
      </c>
      <c r="H898" s="18">
        <v>45174</v>
      </c>
      <c r="I898" t="s">
        <v>919</v>
      </c>
      <c r="J898" t="s">
        <v>20</v>
      </c>
      <c r="K898" t="s">
        <v>1032</v>
      </c>
      <c r="L898">
        <v>52</v>
      </c>
      <c r="M898" t="s">
        <v>26</v>
      </c>
      <c r="N898">
        <v>1</v>
      </c>
      <c r="O898">
        <v>30</v>
      </c>
      <c r="P898">
        <v>30</v>
      </c>
      <c r="Q898">
        <v>0.44999999999999996</v>
      </c>
      <c r="R898">
        <v>0.6</v>
      </c>
    </row>
    <row r="899" spans="1:18" x14ac:dyDescent="0.35">
      <c r="A899">
        <v>895</v>
      </c>
      <c r="B899">
        <v>22</v>
      </c>
      <c r="C899">
        <v>5</v>
      </c>
      <c r="D899">
        <v>2023</v>
      </c>
      <c r="E899" t="s">
        <v>1067</v>
      </c>
      <c r="F899" t="s">
        <v>1076</v>
      </c>
      <c r="G899" t="s">
        <v>1061</v>
      </c>
      <c r="H899" s="18">
        <v>45068</v>
      </c>
      <c r="I899" t="s">
        <v>920</v>
      </c>
      <c r="J899" t="s">
        <v>23</v>
      </c>
      <c r="K899" t="s">
        <v>1032</v>
      </c>
      <c r="L899">
        <v>55</v>
      </c>
      <c r="M899" t="s">
        <v>24</v>
      </c>
      <c r="N899">
        <v>4</v>
      </c>
      <c r="O899">
        <v>30</v>
      </c>
      <c r="P899">
        <v>120</v>
      </c>
      <c r="Q899">
        <v>1.7999999999999998</v>
      </c>
      <c r="R899">
        <v>2.4</v>
      </c>
    </row>
    <row r="900" spans="1:18" x14ac:dyDescent="0.35">
      <c r="A900">
        <v>896</v>
      </c>
      <c r="B900">
        <v>29</v>
      </c>
      <c r="C900">
        <v>10</v>
      </c>
      <c r="D900">
        <v>2023</v>
      </c>
      <c r="E900" t="s">
        <v>1063</v>
      </c>
      <c r="F900" t="s">
        <v>1064</v>
      </c>
      <c r="G900" t="s">
        <v>1061</v>
      </c>
      <c r="H900" s="18">
        <v>45228</v>
      </c>
      <c r="I900" t="s">
        <v>921</v>
      </c>
      <c r="J900" t="s">
        <v>23</v>
      </c>
      <c r="K900" t="s">
        <v>1030</v>
      </c>
      <c r="L900">
        <v>30</v>
      </c>
      <c r="M900" t="s">
        <v>26</v>
      </c>
      <c r="N900">
        <v>2</v>
      </c>
      <c r="O900">
        <v>25</v>
      </c>
      <c r="P900">
        <v>50</v>
      </c>
      <c r="Q900">
        <v>0.75</v>
      </c>
      <c r="R900">
        <v>1</v>
      </c>
    </row>
    <row r="901" spans="1:18" x14ac:dyDescent="0.35">
      <c r="A901">
        <v>897</v>
      </c>
      <c r="B901">
        <v>26</v>
      </c>
      <c r="C901">
        <v>9</v>
      </c>
      <c r="D901">
        <v>2023</v>
      </c>
      <c r="E901" t="s">
        <v>1059</v>
      </c>
      <c r="F901" t="s">
        <v>1071</v>
      </c>
      <c r="G901" t="s">
        <v>1061</v>
      </c>
      <c r="H901" s="18">
        <v>45195</v>
      </c>
      <c r="I901" t="s">
        <v>922</v>
      </c>
      <c r="J901" t="s">
        <v>23</v>
      </c>
      <c r="K901" t="s">
        <v>1032</v>
      </c>
      <c r="L901">
        <v>64</v>
      </c>
      <c r="M901" t="s">
        <v>26</v>
      </c>
      <c r="N901">
        <v>2</v>
      </c>
      <c r="O901">
        <v>50</v>
      </c>
      <c r="P901">
        <v>100</v>
      </c>
      <c r="Q901">
        <v>1.5</v>
      </c>
      <c r="R901">
        <v>2</v>
      </c>
    </row>
    <row r="902" spans="1:18" x14ac:dyDescent="0.35">
      <c r="A902">
        <v>898</v>
      </c>
      <c r="B902">
        <v>2</v>
      </c>
      <c r="C902">
        <v>11</v>
      </c>
      <c r="D902">
        <v>2023</v>
      </c>
      <c r="E902" t="s">
        <v>1072</v>
      </c>
      <c r="F902" t="s">
        <v>1068</v>
      </c>
      <c r="G902" t="s">
        <v>1061</v>
      </c>
      <c r="H902" s="18">
        <v>45232</v>
      </c>
      <c r="I902" t="s">
        <v>923</v>
      </c>
      <c r="J902" t="s">
        <v>23</v>
      </c>
      <c r="K902" t="s">
        <v>1030</v>
      </c>
      <c r="L902">
        <v>42</v>
      </c>
      <c r="M902" t="s">
        <v>24</v>
      </c>
      <c r="N902">
        <v>3</v>
      </c>
      <c r="O902">
        <v>30</v>
      </c>
      <c r="P902">
        <v>90</v>
      </c>
      <c r="Q902">
        <v>1.3499999999999999</v>
      </c>
      <c r="R902">
        <v>1.8</v>
      </c>
    </row>
    <row r="903" spans="1:18" x14ac:dyDescent="0.35">
      <c r="A903">
        <v>899</v>
      </c>
      <c r="B903">
        <v>25</v>
      </c>
      <c r="C903">
        <v>5</v>
      </c>
      <c r="D903">
        <v>2023</v>
      </c>
      <c r="E903" t="s">
        <v>1072</v>
      </c>
      <c r="F903" t="s">
        <v>1076</v>
      </c>
      <c r="G903" t="s">
        <v>1061</v>
      </c>
      <c r="H903" s="18">
        <v>45071</v>
      </c>
      <c r="I903" t="s">
        <v>924</v>
      </c>
      <c r="J903" t="s">
        <v>20</v>
      </c>
      <c r="K903" t="s">
        <v>1034</v>
      </c>
      <c r="L903">
        <v>26</v>
      </c>
      <c r="M903" t="s">
        <v>24</v>
      </c>
      <c r="N903">
        <v>2</v>
      </c>
      <c r="O903">
        <v>300</v>
      </c>
      <c r="P903">
        <v>600</v>
      </c>
      <c r="Q903">
        <v>9</v>
      </c>
      <c r="R903">
        <v>12</v>
      </c>
    </row>
    <row r="904" spans="1:18" x14ac:dyDescent="0.35">
      <c r="A904">
        <v>900</v>
      </c>
      <c r="B904">
        <v>21</v>
      </c>
      <c r="C904">
        <v>2</v>
      </c>
      <c r="D904">
        <v>2023</v>
      </c>
      <c r="E904" t="s">
        <v>1059</v>
      </c>
      <c r="F904" t="s">
        <v>1073</v>
      </c>
      <c r="G904" t="s">
        <v>1061</v>
      </c>
      <c r="H904" s="18">
        <v>44978</v>
      </c>
      <c r="I904" t="s">
        <v>925</v>
      </c>
      <c r="J904" t="s">
        <v>20</v>
      </c>
      <c r="K904" t="s">
        <v>1034</v>
      </c>
      <c r="L904">
        <v>21</v>
      </c>
      <c r="M904" t="s">
        <v>24</v>
      </c>
      <c r="N904">
        <v>2</v>
      </c>
      <c r="O904">
        <v>30</v>
      </c>
      <c r="P904">
        <v>60</v>
      </c>
      <c r="Q904">
        <v>0.89999999999999991</v>
      </c>
      <c r="R904">
        <v>1.2</v>
      </c>
    </row>
    <row r="905" spans="1:18" x14ac:dyDescent="0.35">
      <c r="A905">
        <v>901</v>
      </c>
      <c r="B905">
        <v>10</v>
      </c>
      <c r="C905">
        <v>4</v>
      </c>
      <c r="D905">
        <v>2023</v>
      </c>
      <c r="E905" t="s">
        <v>1067</v>
      </c>
      <c r="F905" t="s">
        <v>1077</v>
      </c>
      <c r="G905" t="s">
        <v>1061</v>
      </c>
      <c r="H905" s="18">
        <v>45026</v>
      </c>
      <c r="I905" t="s">
        <v>926</v>
      </c>
      <c r="J905" t="s">
        <v>20</v>
      </c>
      <c r="K905" t="s">
        <v>1030</v>
      </c>
      <c r="L905">
        <v>31</v>
      </c>
      <c r="M905" t="s">
        <v>26</v>
      </c>
      <c r="N905">
        <v>1</v>
      </c>
      <c r="O905">
        <v>30</v>
      </c>
      <c r="P905">
        <v>30</v>
      </c>
      <c r="Q905">
        <v>0.44999999999999996</v>
      </c>
      <c r="R905">
        <v>0.6</v>
      </c>
    </row>
    <row r="906" spans="1:18" x14ac:dyDescent="0.35">
      <c r="A906">
        <v>902</v>
      </c>
      <c r="B906">
        <v>1</v>
      </c>
      <c r="C906">
        <v>6</v>
      </c>
      <c r="D906">
        <v>2023</v>
      </c>
      <c r="E906" t="s">
        <v>1072</v>
      </c>
      <c r="F906" t="s">
        <v>1069</v>
      </c>
      <c r="G906" t="s">
        <v>1061</v>
      </c>
      <c r="H906" s="18">
        <v>45078</v>
      </c>
      <c r="I906" t="s">
        <v>927</v>
      </c>
      <c r="J906" t="s">
        <v>23</v>
      </c>
      <c r="K906" t="s">
        <v>1032</v>
      </c>
      <c r="L906">
        <v>54</v>
      </c>
      <c r="M906" t="s">
        <v>21</v>
      </c>
      <c r="N906">
        <v>1</v>
      </c>
      <c r="O906">
        <v>50</v>
      </c>
      <c r="P906">
        <v>50</v>
      </c>
      <c r="Q906">
        <v>0.75</v>
      </c>
      <c r="R906">
        <v>1</v>
      </c>
    </row>
    <row r="907" spans="1:18" x14ac:dyDescent="0.35">
      <c r="A907">
        <v>903</v>
      </c>
      <c r="B907">
        <v>27</v>
      </c>
      <c r="C907">
        <v>4</v>
      </c>
      <c r="D907">
        <v>2023</v>
      </c>
      <c r="E907" t="s">
        <v>1072</v>
      </c>
      <c r="F907" t="s">
        <v>1077</v>
      </c>
      <c r="G907" t="s">
        <v>1061</v>
      </c>
      <c r="H907" s="18">
        <v>45043</v>
      </c>
      <c r="I907" t="s">
        <v>928</v>
      </c>
      <c r="J907" t="s">
        <v>23</v>
      </c>
      <c r="K907" t="s">
        <v>1032</v>
      </c>
      <c r="L907">
        <v>51</v>
      </c>
      <c r="M907" t="s">
        <v>21</v>
      </c>
      <c r="N907">
        <v>4</v>
      </c>
      <c r="O907">
        <v>50</v>
      </c>
      <c r="P907">
        <v>200</v>
      </c>
      <c r="Q907">
        <v>3</v>
      </c>
      <c r="R907">
        <v>4</v>
      </c>
    </row>
    <row r="908" spans="1:18" x14ac:dyDescent="0.35">
      <c r="A908">
        <v>904</v>
      </c>
      <c r="B908">
        <v>4</v>
      </c>
      <c r="C908">
        <v>7</v>
      </c>
      <c r="D908">
        <v>2023</v>
      </c>
      <c r="E908" t="s">
        <v>1059</v>
      </c>
      <c r="F908" t="s">
        <v>1078</v>
      </c>
      <c r="G908" t="s">
        <v>1061</v>
      </c>
      <c r="H908" s="18">
        <v>45111</v>
      </c>
      <c r="I908" t="s">
        <v>929</v>
      </c>
      <c r="J908" t="s">
        <v>20</v>
      </c>
      <c r="K908" t="s">
        <v>1034</v>
      </c>
      <c r="L908">
        <v>28</v>
      </c>
      <c r="M908" t="s">
        <v>24</v>
      </c>
      <c r="N908">
        <v>1</v>
      </c>
      <c r="O908">
        <v>500</v>
      </c>
      <c r="P908">
        <v>500</v>
      </c>
      <c r="Q908">
        <v>7.5</v>
      </c>
      <c r="R908">
        <v>10</v>
      </c>
    </row>
    <row r="909" spans="1:18" x14ac:dyDescent="0.35">
      <c r="A909">
        <v>905</v>
      </c>
      <c r="B909">
        <v>2</v>
      </c>
      <c r="C909">
        <v>4</v>
      </c>
      <c r="D909">
        <v>2023</v>
      </c>
      <c r="E909" t="s">
        <v>1063</v>
      </c>
      <c r="F909" t="s">
        <v>1077</v>
      </c>
      <c r="G909" t="s">
        <v>1061</v>
      </c>
      <c r="H909" s="18">
        <v>45018</v>
      </c>
      <c r="I909" t="s">
        <v>930</v>
      </c>
      <c r="J909" t="s">
        <v>20</v>
      </c>
      <c r="K909" t="s">
        <v>1032</v>
      </c>
      <c r="L909">
        <v>58</v>
      </c>
      <c r="M909" t="s">
        <v>21</v>
      </c>
      <c r="N909">
        <v>1</v>
      </c>
      <c r="O909">
        <v>300</v>
      </c>
      <c r="P909">
        <v>300</v>
      </c>
      <c r="Q909">
        <v>4.5</v>
      </c>
      <c r="R909">
        <v>6</v>
      </c>
    </row>
    <row r="910" spans="1:18" x14ac:dyDescent="0.35">
      <c r="A910">
        <v>906</v>
      </c>
      <c r="B910">
        <v>4</v>
      </c>
      <c r="C910">
        <v>6</v>
      </c>
      <c r="D910">
        <v>2023</v>
      </c>
      <c r="E910" t="s">
        <v>1063</v>
      </c>
      <c r="F910" t="s">
        <v>1069</v>
      </c>
      <c r="G910" t="s">
        <v>1061</v>
      </c>
      <c r="H910" s="18">
        <v>45081</v>
      </c>
      <c r="I910" t="s">
        <v>931</v>
      </c>
      <c r="J910" t="s">
        <v>23</v>
      </c>
      <c r="K910" t="s">
        <v>1034</v>
      </c>
      <c r="L910">
        <v>20</v>
      </c>
      <c r="M910" t="s">
        <v>24</v>
      </c>
      <c r="N910">
        <v>1</v>
      </c>
      <c r="O910">
        <v>50</v>
      </c>
      <c r="P910">
        <v>50</v>
      </c>
      <c r="Q910">
        <v>0.75</v>
      </c>
      <c r="R910">
        <v>1</v>
      </c>
    </row>
    <row r="911" spans="1:18" x14ac:dyDescent="0.35">
      <c r="A911">
        <v>907</v>
      </c>
      <c r="B911">
        <v>8</v>
      </c>
      <c r="C911">
        <v>1</v>
      </c>
      <c r="D911">
        <v>2023</v>
      </c>
      <c r="E911" t="s">
        <v>1063</v>
      </c>
      <c r="F911" t="s">
        <v>1060</v>
      </c>
      <c r="G911" t="s">
        <v>1061</v>
      </c>
      <c r="H911" s="18">
        <v>44934</v>
      </c>
      <c r="I911" t="s">
        <v>932</v>
      </c>
      <c r="J911" t="s">
        <v>23</v>
      </c>
      <c r="K911" t="s">
        <v>1030</v>
      </c>
      <c r="L911">
        <v>45</v>
      </c>
      <c r="M911" t="s">
        <v>26</v>
      </c>
      <c r="N911">
        <v>1</v>
      </c>
      <c r="O911">
        <v>25</v>
      </c>
      <c r="P911">
        <v>25</v>
      </c>
      <c r="Q911">
        <v>0.375</v>
      </c>
      <c r="R911">
        <v>0.5</v>
      </c>
    </row>
    <row r="912" spans="1:18" x14ac:dyDescent="0.35">
      <c r="A912">
        <v>908</v>
      </c>
      <c r="B912">
        <v>29</v>
      </c>
      <c r="C912">
        <v>12</v>
      </c>
      <c r="D912">
        <v>2023</v>
      </c>
      <c r="E912" t="s">
        <v>1070</v>
      </c>
      <c r="F912" t="s">
        <v>1062</v>
      </c>
      <c r="G912" t="s">
        <v>1061</v>
      </c>
      <c r="H912" s="18">
        <v>45289</v>
      </c>
      <c r="I912" t="s">
        <v>933</v>
      </c>
      <c r="J912" t="s">
        <v>20</v>
      </c>
      <c r="K912" t="s">
        <v>1030</v>
      </c>
      <c r="L912">
        <v>46</v>
      </c>
      <c r="M912" t="s">
        <v>21</v>
      </c>
      <c r="N912">
        <v>4</v>
      </c>
      <c r="O912">
        <v>300</v>
      </c>
      <c r="P912">
        <v>1200</v>
      </c>
      <c r="Q912">
        <v>18</v>
      </c>
      <c r="R912">
        <v>24</v>
      </c>
    </row>
    <row r="913" spans="1:18" x14ac:dyDescent="0.35">
      <c r="A913">
        <v>909</v>
      </c>
      <c r="B913">
        <v>1</v>
      </c>
      <c r="C913">
        <v>10</v>
      </c>
      <c r="D913">
        <v>2023</v>
      </c>
      <c r="E913" t="s">
        <v>1063</v>
      </c>
      <c r="F913" t="s">
        <v>1064</v>
      </c>
      <c r="G913" t="s">
        <v>1061</v>
      </c>
      <c r="H913" s="18">
        <v>45200</v>
      </c>
      <c r="I913" t="s">
        <v>934</v>
      </c>
      <c r="J913" t="s">
        <v>20</v>
      </c>
      <c r="K913" t="s">
        <v>1034</v>
      </c>
      <c r="L913">
        <v>26</v>
      </c>
      <c r="M913" t="s">
        <v>26</v>
      </c>
      <c r="N913">
        <v>1</v>
      </c>
      <c r="O913">
        <v>300</v>
      </c>
      <c r="P913">
        <v>300</v>
      </c>
      <c r="Q913">
        <v>4.5</v>
      </c>
      <c r="R913">
        <v>6</v>
      </c>
    </row>
    <row r="914" spans="1:18" x14ac:dyDescent="0.35">
      <c r="A914">
        <v>910</v>
      </c>
      <c r="B914">
        <v>6</v>
      </c>
      <c r="C914">
        <v>3</v>
      </c>
      <c r="D914">
        <v>2023</v>
      </c>
      <c r="E914" t="s">
        <v>1067</v>
      </c>
      <c r="F914" t="s">
        <v>1066</v>
      </c>
      <c r="G914" t="s">
        <v>1061</v>
      </c>
      <c r="H914" s="18">
        <v>44991</v>
      </c>
      <c r="I914" t="s">
        <v>935</v>
      </c>
      <c r="J914" t="s">
        <v>23</v>
      </c>
      <c r="K914" t="s">
        <v>1034</v>
      </c>
      <c r="L914">
        <v>20</v>
      </c>
      <c r="M914" t="s">
        <v>21</v>
      </c>
      <c r="N914">
        <v>3</v>
      </c>
      <c r="O914">
        <v>50</v>
      </c>
      <c r="P914">
        <v>150</v>
      </c>
      <c r="Q914">
        <v>2.25</v>
      </c>
      <c r="R914">
        <v>3</v>
      </c>
    </row>
    <row r="915" spans="1:18" x14ac:dyDescent="0.35">
      <c r="A915">
        <v>911</v>
      </c>
      <c r="B915">
        <v>21</v>
      </c>
      <c r="C915">
        <v>5</v>
      </c>
      <c r="D915">
        <v>2023</v>
      </c>
      <c r="E915" t="s">
        <v>1063</v>
      </c>
      <c r="F915" t="s">
        <v>1076</v>
      </c>
      <c r="G915" t="s">
        <v>1061</v>
      </c>
      <c r="H915" s="18">
        <v>45067</v>
      </c>
      <c r="I915" t="s">
        <v>936</v>
      </c>
      <c r="J915" t="s">
        <v>20</v>
      </c>
      <c r="K915" t="s">
        <v>1030</v>
      </c>
      <c r="L915">
        <v>42</v>
      </c>
      <c r="M915" t="s">
        <v>26</v>
      </c>
      <c r="N915">
        <v>3</v>
      </c>
      <c r="O915">
        <v>300</v>
      </c>
      <c r="P915">
        <v>900</v>
      </c>
      <c r="Q915">
        <v>13.5</v>
      </c>
      <c r="R915">
        <v>18</v>
      </c>
    </row>
    <row r="916" spans="1:18" x14ac:dyDescent="0.35">
      <c r="A916">
        <v>912</v>
      </c>
      <c r="B916">
        <v>24</v>
      </c>
      <c r="C916">
        <v>1</v>
      </c>
      <c r="D916">
        <v>2023</v>
      </c>
      <c r="E916" t="s">
        <v>1059</v>
      </c>
      <c r="F916" t="s">
        <v>1060</v>
      </c>
      <c r="G916" t="s">
        <v>1061</v>
      </c>
      <c r="H916" s="18">
        <v>44950</v>
      </c>
      <c r="I916" t="s">
        <v>937</v>
      </c>
      <c r="J916" t="s">
        <v>20</v>
      </c>
      <c r="K916" t="s">
        <v>1032</v>
      </c>
      <c r="L916">
        <v>51</v>
      </c>
      <c r="M916" t="s">
        <v>21</v>
      </c>
      <c r="N916">
        <v>3</v>
      </c>
      <c r="O916">
        <v>50</v>
      </c>
      <c r="P916">
        <v>150</v>
      </c>
      <c r="Q916">
        <v>2.25</v>
      </c>
      <c r="R916">
        <v>3</v>
      </c>
    </row>
    <row r="917" spans="1:18" x14ac:dyDescent="0.35">
      <c r="A917">
        <v>913</v>
      </c>
      <c r="B917">
        <v>28</v>
      </c>
      <c r="C917">
        <v>1</v>
      </c>
      <c r="D917">
        <v>2023</v>
      </c>
      <c r="E917" t="s">
        <v>1075</v>
      </c>
      <c r="F917" t="s">
        <v>1060</v>
      </c>
      <c r="G917" t="s">
        <v>1061</v>
      </c>
      <c r="H917" s="18">
        <v>44954</v>
      </c>
      <c r="I917" t="s">
        <v>938</v>
      </c>
      <c r="J917" t="s">
        <v>20</v>
      </c>
      <c r="K917" t="s">
        <v>1034</v>
      </c>
      <c r="L917">
        <v>29</v>
      </c>
      <c r="M917" t="s">
        <v>26</v>
      </c>
      <c r="N917">
        <v>3</v>
      </c>
      <c r="O917">
        <v>30</v>
      </c>
      <c r="P917">
        <v>90</v>
      </c>
      <c r="Q917">
        <v>1.3499999999999999</v>
      </c>
      <c r="R917">
        <v>1.8</v>
      </c>
    </row>
    <row r="918" spans="1:18" x14ac:dyDescent="0.35">
      <c r="A918">
        <v>914</v>
      </c>
      <c r="B918">
        <v>11</v>
      </c>
      <c r="C918">
        <v>10</v>
      </c>
      <c r="D918">
        <v>2023</v>
      </c>
      <c r="E918" t="s">
        <v>1065</v>
      </c>
      <c r="F918" t="s">
        <v>1064</v>
      </c>
      <c r="G918" t="s">
        <v>1061</v>
      </c>
      <c r="H918" s="18">
        <v>45210</v>
      </c>
      <c r="I918" t="s">
        <v>939</v>
      </c>
      <c r="J918" t="s">
        <v>23</v>
      </c>
      <c r="K918" t="s">
        <v>1032</v>
      </c>
      <c r="L918">
        <v>59</v>
      </c>
      <c r="M918" t="s">
        <v>26</v>
      </c>
      <c r="N918">
        <v>1</v>
      </c>
      <c r="O918">
        <v>500</v>
      </c>
      <c r="P918">
        <v>500</v>
      </c>
      <c r="Q918">
        <v>7.5</v>
      </c>
      <c r="R918">
        <v>10</v>
      </c>
    </row>
    <row r="919" spans="1:18" x14ac:dyDescent="0.35">
      <c r="A919">
        <v>915</v>
      </c>
      <c r="B919">
        <v>30</v>
      </c>
      <c r="C919">
        <v>5</v>
      </c>
      <c r="D919">
        <v>2023</v>
      </c>
      <c r="E919" t="s">
        <v>1059</v>
      </c>
      <c r="F919" t="s">
        <v>1076</v>
      </c>
      <c r="G919" t="s">
        <v>1061</v>
      </c>
      <c r="H919" s="18">
        <v>45076</v>
      </c>
      <c r="I919" t="s">
        <v>940</v>
      </c>
      <c r="J919" t="s">
        <v>23</v>
      </c>
      <c r="K919" t="s">
        <v>1034</v>
      </c>
      <c r="L919">
        <v>26</v>
      </c>
      <c r="M919" t="s">
        <v>21</v>
      </c>
      <c r="N919">
        <v>3</v>
      </c>
      <c r="O919">
        <v>30</v>
      </c>
      <c r="P919">
        <v>90</v>
      </c>
      <c r="Q919">
        <v>1.3499999999999999</v>
      </c>
      <c r="R919">
        <v>1.8</v>
      </c>
    </row>
    <row r="920" spans="1:18" x14ac:dyDescent="0.35">
      <c r="A920">
        <v>916</v>
      </c>
      <c r="B920">
        <v>24</v>
      </c>
      <c r="C920">
        <v>12</v>
      </c>
      <c r="D920">
        <v>2023</v>
      </c>
      <c r="E920" t="s">
        <v>1063</v>
      </c>
      <c r="F920" t="s">
        <v>1062</v>
      </c>
      <c r="G920" t="s">
        <v>1061</v>
      </c>
      <c r="H920" s="18">
        <v>45284</v>
      </c>
      <c r="I920" t="s">
        <v>941</v>
      </c>
      <c r="J920" t="s">
        <v>23</v>
      </c>
      <c r="K920" t="s">
        <v>1030</v>
      </c>
      <c r="L920">
        <v>32</v>
      </c>
      <c r="M920" t="s">
        <v>26</v>
      </c>
      <c r="N920">
        <v>1</v>
      </c>
      <c r="O920">
        <v>50</v>
      </c>
      <c r="P920">
        <v>50</v>
      </c>
      <c r="Q920">
        <v>0.75</v>
      </c>
      <c r="R920">
        <v>1</v>
      </c>
    </row>
    <row r="921" spans="1:18" x14ac:dyDescent="0.35">
      <c r="A921">
        <v>917</v>
      </c>
      <c r="B921">
        <v>6</v>
      </c>
      <c r="C921">
        <v>3</v>
      </c>
      <c r="D921">
        <v>2023</v>
      </c>
      <c r="E921" t="s">
        <v>1067</v>
      </c>
      <c r="F921" t="s">
        <v>1066</v>
      </c>
      <c r="G921" t="s">
        <v>1061</v>
      </c>
      <c r="H921" s="18">
        <v>44991</v>
      </c>
      <c r="I921" t="s">
        <v>942</v>
      </c>
      <c r="J921" t="s">
        <v>23</v>
      </c>
      <c r="K921" t="s">
        <v>1032</v>
      </c>
      <c r="L921">
        <v>57</v>
      </c>
      <c r="M921" t="s">
        <v>26</v>
      </c>
      <c r="N921">
        <v>4</v>
      </c>
      <c r="O921">
        <v>50</v>
      </c>
      <c r="P921">
        <v>200</v>
      </c>
      <c r="Q921">
        <v>3</v>
      </c>
      <c r="R921">
        <v>4</v>
      </c>
    </row>
    <row r="922" spans="1:18" x14ac:dyDescent="0.35">
      <c r="A922">
        <v>918</v>
      </c>
      <c r="B922">
        <v>23</v>
      </c>
      <c r="C922">
        <v>11</v>
      </c>
      <c r="D922">
        <v>2023</v>
      </c>
      <c r="E922" t="s">
        <v>1072</v>
      </c>
      <c r="F922" t="s">
        <v>1068</v>
      </c>
      <c r="G922" t="s">
        <v>1061</v>
      </c>
      <c r="H922" s="18">
        <v>45253</v>
      </c>
      <c r="I922" t="s">
        <v>943</v>
      </c>
      <c r="J922" t="s">
        <v>23</v>
      </c>
      <c r="K922" t="s">
        <v>1030</v>
      </c>
      <c r="L922">
        <v>42</v>
      </c>
      <c r="M922" t="s">
        <v>26</v>
      </c>
      <c r="N922">
        <v>3</v>
      </c>
      <c r="O922">
        <v>30</v>
      </c>
      <c r="P922">
        <v>90</v>
      </c>
      <c r="Q922">
        <v>1.3499999999999999</v>
      </c>
      <c r="R922">
        <v>1.8</v>
      </c>
    </row>
    <row r="923" spans="1:18" x14ac:dyDescent="0.35">
      <c r="A923">
        <v>919</v>
      </c>
      <c r="B923">
        <v>9</v>
      </c>
      <c r="C923">
        <v>9</v>
      </c>
      <c r="D923">
        <v>2023</v>
      </c>
      <c r="E923" t="s">
        <v>1075</v>
      </c>
      <c r="F923" t="s">
        <v>1071</v>
      </c>
      <c r="G923" t="s">
        <v>1061</v>
      </c>
      <c r="H923" s="18">
        <v>45178</v>
      </c>
      <c r="I923" t="s">
        <v>944</v>
      </c>
      <c r="J923" t="s">
        <v>23</v>
      </c>
      <c r="K923" t="s">
        <v>1034</v>
      </c>
      <c r="L923">
        <v>22</v>
      </c>
      <c r="M923" t="s">
        <v>21</v>
      </c>
      <c r="N923">
        <v>2</v>
      </c>
      <c r="O923">
        <v>25</v>
      </c>
      <c r="P923">
        <v>50</v>
      </c>
      <c r="Q923">
        <v>0.75</v>
      </c>
      <c r="R923">
        <v>1</v>
      </c>
    </row>
    <row r="924" spans="1:18" x14ac:dyDescent="0.35">
      <c r="A924">
        <v>920</v>
      </c>
      <c r="B924">
        <v>22</v>
      </c>
      <c r="C924">
        <v>2</v>
      </c>
      <c r="D924">
        <v>2023</v>
      </c>
      <c r="E924" t="s">
        <v>1065</v>
      </c>
      <c r="F924" t="s">
        <v>1073</v>
      </c>
      <c r="G924" t="s">
        <v>1061</v>
      </c>
      <c r="H924" s="18">
        <v>44979</v>
      </c>
      <c r="I924" t="s">
        <v>945</v>
      </c>
      <c r="J924" t="s">
        <v>23</v>
      </c>
      <c r="K924" t="s">
        <v>1034</v>
      </c>
      <c r="L924">
        <v>28</v>
      </c>
      <c r="M924" t="s">
        <v>21</v>
      </c>
      <c r="N924">
        <v>3</v>
      </c>
      <c r="O924">
        <v>25</v>
      </c>
      <c r="P924">
        <v>75</v>
      </c>
      <c r="Q924">
        <v>1.125</v>
      </c>
      <c r="R924">
        <v>1.5</v>
      </c>
    </row>
    <row r="925" spans="1:18" x14ac:dyDescent="0.35">
      <c r="A925">
        <v>921</v>
      </c>
      <c r="B925">
        <v>7</v>
      </c>
      <c r="C925">
        <v>1</v>
      </c>
      <c r="D925">
        <v>2023</v>
      </c>
      <c r="E925" t="s">
        <v>1075</v>
      </c>
      <c r="F925" t="s">
        <v>1060</v>
      </c>
      <c r="G925" t="s">
        <v>1061</v>
      </c>
      <c r="H925" s="18">
        <v>44933</v>
      </c>
      <c r="I925" t="s">
        <v>946</v>
      </c>
      <c r="J925" t="s">
        <v>20</v>
      </c>
      <c r="K925" t="s">
        <v>1032</v>
      </c>
      <c r="L925">
        <v>51</v>
      </c>
      <c r="M925" t="s">
        <v>26</v>
      </c>
      <c r="N925">
        <v>3</v>
      </c>
      <c r="O925">
        <v>25</v>
      </c>
      <c r="P925">
        <v>75</v>
      </c>
      <c r="Q925">
        <v>1.125</v>
      </c>
      <c r="R925">
        <v>1.5</v>
      </c>
    </row>
    <row r="926" spans="1:18" x14ac:dyDescent="0.35">
      <c r="A926">
        <v>922</v>
      </c>
      <c r="B926">
        <v>21</v>
      </c>
      <c r="C926">
        <v>10</v>
      </c>
      <c r="D926">
        <v>2023</v>
      </c>
      <c r="E926" t="s">
        <v>1075</v>
      </c>
      <c r="F926" t="s">
        <v>1064</v>
      </c>
      <c r="G926" t="s">
        <v>1061</v>
      </c>
      <c r="H926" s="18">
        <v>45220</v>
      </c>
      <c r="I926" t="s">
        <v>947</v>
      </c>
      <c r="J926" t="s">
        <v>20</v>
      </c>
      <c r="K926" t="s">
        <v>1030</v>
      </c>
      <c r="L926">
        <v>41</v>
      </c>
      <c r="M926" t="s">
        <v>26</v>
      </c>
      <c r="N926">
        <v>1</v>
      </c>
      <c r="O926">
        <v>50</v>
      </c>
      <c r="P926">
        <v>50</v>
      </c>
      <c r="Q926">
        <v>0.75</v>
      </c>
      <c r="R926">
        <v>1</v>
      </c>
    </row>
    <row r="927" spans="1:18" x14ac:dyDescent="0.35">
      <c r="A927">
        <v>923</v>
      </c>
      <c r="B927">
        <v>26</v>
      </c>
      <c r="C927">
        <v>5</v>
      </c>
      <c r="D927">
        <v>2023</v>
      </c>
      <c r="E927" t="s">
        <v>1070</v>
      </c>
      <c r="F927" t="s">
        <v>1076</v>
      </c>
      <c r="G927" t="s">
        <v>1061</v>
      </c>
      <c r="H927" s="18">
        <v>45072</v>
      </c>
      <c r="I927" t="s">
        <v>948</v>
      </c>
      <c r="J927" t="s">
        <v>20</v>
      </c>
      <c r="K927" t="s">
        <v>1030</v>
      </c>
      <c r="L927">
        <v>32</v>
      </c>
      <c r="M927" t="s">
        <v>21</v>
      </c>
      <c r="N927">
        <v>3</v>
      </c>
      <c r="O927">
        <v>300</v>
      </c>
      <c r="P927">
        <v>900</v>
      </c>
      <c r="Q927">
        <v>13.5</v>
      </c>
      <c r="R927">
        <v>18</v>
      </c>
    </row>
    <row r="928" spans="1:18" x14ac:dyDescent="0.35">
      <c r="A928">
        <v>924</v>
      </c>
      <c r="B928">
        <v>29</v>
      </c>
      <c r="C928">
        <v>8</v>
      </c>
      <c r="D928">
        <v>2023</v>
      </c>
      <c r="E928" t="s">
        <v>1059</v>
      </c>
      <c r="F928" t="s">
        <v>1074</v>
      </c>
      <c r="G928" t="s">
        <v>1061</v>
      </c>
      <c r="H928" s="18">
        <v>45167</v>
      </c>
      <c r="I928" t="s">
        <v>949</v>
      </c>
      <c r="J928" t="s">
        <v>20</v>
      </c>
      <c r="K928" t="s">
        <v>1032</v>
      </c>
      <c r="L928">
        <v>55</v>
      </c>
      <c r="M928" t="s">
        <v>21</v>
      </c>
      <c r="N928">
        <v>2</v>
      </c>
      <c r="O928">
        <v>50</v>
      </c>
      <c r="P928">
        <v>100</v>
      </c>
      <c r="Q928">
        <v>1.5</v>
      </c>
      <c r="R928">
        <v>2</v>
      </c>
    </row>
    <row r="929" spans="1:18" x14ac:dyDescent="0.35">
      <c r="A929">
        <v>925</v>
      </c>
      <c r="B929">
        <v>3</v>
      </c>
      <c r="C929">
        <v>9</v>
      </c>
      <c r="D929">
        <v>2023</v>
      </c>
      <c r="E929" t="s">
        <v>1063</v>
      </c>
      <c r="F929" t="s">
        <v>1071</v>
      </c>
      <c r="G929" t="s">
        <v>1061</v>
      </c>
      <c r="H929" s="18">
        <v>45172</v>
      </c>
      <c r="I929" t="s">
        <v>950</v>
      </c>
      <c r="J929" t="s">
        <v>20</v>
      </c>
      <c r="K929" t="s">
        <v>1034</v>
      </c>
      <c r="L929">
        <v>25</v>
      </c>
      <c r="M929" t="s">
        <v>26</v>
      </c>
      <c r="N929">
        <v>1</v>
      </c>
      <c r="O929">
        <v>300</v>
      </c>
      <c r="P929">
        <v>300</v>
      </c>
      <c r="Q929">
        <v>4.5</v>
      </c>
      <c r="R929">
        <v>6</v>
      </c>
    </row>
    <row r="930" spans="1:18" x14ac:dyDescent="0.35">
      <c r="A930">
        <v>926</v>
      </c>
      <c r="B930">
        <v>14</v>
      </c>
      <c r="C930">
        <v>8</v>
      </c>
      <c r="D930">
        <v>2023</v>
      </c>
      <c r="E930" t="s">
        <v>1067</v>
      </c>
      <c r="F930" t="s">
        <v>1074</v>
      </c>
      <c r="G930" t="s">
        <v>1061</v>
      </c>
      <c r="H930" s="18">
        <v>45152</v>
      </c>
      <c r="I930" t="s">
        <v>951</v>
      </c>
      <c r="J930" t="s">
        <v>20</v>
      </c>
      <c r="K930" t="s">
        <v>1034</v>
      </c>
      <c r="L930">
        <v>22</v>
      </c>
      <c r="M930" t="s">
        <v>26</v>
      </c>
      <c r="N930">
        <v>1</v>
      </c>
      <c r="O930">
        <v>30</v>
      </c>
      <c r="P930">
        <v>30</v>
      </c>
      <c r="Q930">
        <v>0.44999999999999996</v>
      </c>
      <c r="R930">
        <v>0.6</v>
      </c>
    </row>
    <row r="931" spans="1:18" x14ac:dyDescent="0.35">
      <c r="A931">
        <v>927</v>
      </c>
      <c r="B931">
        <v>24</v>
      </c>
      <c r="C931">
        <v>6</v>
      </c>
      <c r="D931">
        <v>2023</v>
      </c>
      <c r="E931" t="s">
        <v>1075</v>
      </c>
      <c r="F931" t="s">
        <v>1069</v>
      </c>
      <c r="G931" t="s">
        <v>1061</v>
      </c>
      <c r="H931" s="18">
        <v>45101</v>
      </c>
      <c r="I931" t="s">
        <v>952</v>
      </c>
      <c r="J931" t="s">
        <v>20</v>
      </c>
      <c r="K931" t="s">
        <v>1030</v>
      </c>
      <c r="L931">
        <v>43</v>
      </c>
      <c r="M931" t="s">
        <v>26</v>
      </c>
      <c r="N931">
        <v>4</v>
      </c>
      <c r="O931">
        <v>500</v>
      </c>
      <c r="P931">
        <v>2000</v>
      </c>
      <c r="Q931">
        <v>30</v>
      </c>
      <c r="R931">
        <v>40</v>
      </c>
    </row>
    <row r="932" spans="1:18" x14ac:dyDescent="0.35">
      <c r="A932">
        <v>928</v>
      </c>
      <c r="B932">
        <v>5</v>
      </c>
      <c r="C932">
        <v>4</v>
      </c>
      <c r="D932">
        <v>2023</v>
      </c>
      <c r="E932" t="s">
        <v>1065</v>
      </c>
      <c r="F932" t="s">
        <v>1077</v>
      </c>
      <c r="G932" t="s">
        <v>1061</v>
      </c>
      <c r="H932" s="18">
        <v>45021</v>
      </c>
      <c r="I932" t="s">
        <v>953</v>
      </c>
      <c r="J932" t="s">
        <v>23</v>
      </c>
      <c r="K932" t="s">
        <v>1030</v>
      </c>
      <c r="L932">
        <v>35</v>
      </c>
      <c r="M932" t="s">
        <v>24</v>
      </c>
      <c r="N932">
        <v>4</v>
      </c>
      <c r="O932">
        <v>300</v>
      </c>
      <c r="P932">
        <v>1200</v>
      </c>
      <c r="Q932">
        <v>18</v>
      </c>
      <c r="R932">
        <v>24</v>
      </c>
    </row>
    <row r="933" spans="1:18" x14ac:dyDescent="0.35">
      <c r="A933">
        <v>929</v>
      </c>
      <c r="B933">
        <v>27</v>
      </c>
      <c r="C933">
        <v>1</v>
      </c>
      <c r="D933">
        <v>2023</v>
      </c>
      <c r="E933" t="s">
        <v>1070</v>
      </c>
      <c r="F933" t="s">
        <v>1060</v>
      </c>
      <c r="G933" t="s">
        <v>1061</v>
      </c>
      <c r="H933" s="18">
        <v>44953</v>
      </c>
      <c r="I933" t="s">
        <v>954</v>
      </c>
      <c r="J933" t="s">
        <v>23</v>
      </c>
      <c r="K933" t="s">
        <v>1034</v>
      </c>
      <c r="L933">
        <v>23</v>
      </c>
      <c r="M933" t="s">
        <v>21</v>
      </c>
      <c r="N933">
        <v>3</v>
      </c>
      <c r="O933">
        <v>25</v>
      </c>
      <c r="P933">
        <v>75</v>
      </c>
      <c r="Q933">
        <v>1.125</v>
      </c>
      <c r="R933">
        <v>1.5</v>
      </c>
    </row>
    <row r="934" spans="1:18" x14ac:dyDescent="0.35">
      <c r="A934">
        <v>930</v>
      </c>
      <c r="B934">
        <v>10</v>
      </c>
      <c r="C934">
        <v>5</v>
      </c>
      <c r="D934">
        <v>2023</v>
      </c>
      <c r="E934" t="s">
        <v>1065</v>
      </c>
      <c r="F934" t="s">
        <v>1076</v>
      </c>
      <c r="G934" t="s">
        <v>1061</v>
      </c>
      <c r="H934" s="18">
        <v>45056</v>
      </c>
      <c r="I934" t="s">
        <v>955</v>
      </c>
      <c r="J934" t="s">
        <v>20</v>
      </c>
      <c r="K934" t="s">
        <v>1032</v>
      </c>
      <c r="L934">
        <v>54</v>
      </c>
      <c r="M934" t="s">
        <v>24</v>
      </c>
      <c r="N934">
        <v>4</v>
      </c>
      <c r="O934">
        <v>50</v>
      </c>
      <c r="P934">
        <v>200</v>
      </c>
      <c r="Q934">
        <v>3</v>
      </c>
      <c r="R934">
        <v>4</v>
      </c>
    </row>
    <row r="935" spans="1:18" x14ac:dyDescent="0.35">
      <c r="A935">
        <v>931</v>
      </c>
      <c r="B935">
        <v>2</v>
      </c>
      <c r="C935">
        <v>9</v>
      </c>
      <c r="D935">
        <v>2023</v>
      </c>
      <c r="E935" t="s">
        <v>1075</v>
      </c>
      <c r="F935" t="s">
        <v>1071</v>
      </c>
      <c r="G935" t="s">
        <v>1061</v>
      </c>
      <c r="H935" s="18">
        <v>45171</v>
      </c>
      <c r="I935" t="s">
        <v>956</v>
      </c>
      <c r="J935" t="s">
        <v>20</v>
      </c>
      <c r="K935" t="s">
        <v>1030</v>
      </c>
      <c r="L935">
        <v>30</v>
      </c>
      <c r="M935" t="s">
        <v>21</v>
      </c>
      <c r="N935">
        <v>4</v>
      </c>
      <c r="O935">
        <v>30</v>
      </c>
      <c r="P935">
        <v>120</v>
      </c>
      <c r="Q935">
        <v>1.7999999999999998</v>
      </c>
      <c r="R935">
        <v>2.4</v>
      </c>
    </row>
    <row r="936" spans="1:18" x14ac:dyDescent="0.35">
      <c r="A936">
        <v>932</v>
      </c>
      <c r="B936">
        <v>28</v>
      </c>
      <c r="C936">
        <v>2</v>
      </c>
      <c r="D936">
        <v>2023</v>
      </c>
      <c r="E936" t="s">
        <v>1059</v>
      </c>
      <c r="F936" t="s">
        <v>1073</v>
      </c>
      <c r="G936" t="s">
        <v>1061</v>
      </c>
      <c r="H936" s="18">
        <v>44985</v>
      </c>
      <c r="I936" t="s">
        <v>957</v>
      </c>
      <c r="J936" t="s">
        <v>23</v>
      </c>
      <c r="K936" t="s">
        <v>1030</v>
      </c>
      <c r="L936">
        <v>45</v>
      </c>
      <c r="M936" t="s">
        <v>21</v>
      </c>
      <c r="N936">
        <v>4</v>
      </c>
      <c r="O936">
        <v>25</v>
      </c>
      <c r="P936">
        <v>100</v>
      </c>
      <c r="Q936">
        <v>1.5</v>
      </c>
      <c r="R936">
        <v>2</v>
      </c>
    </row>
    <row r="937" spans="1:18" x14ac:dyDescent="0.35">
      <c r="A937">
        <v>933</v>
      </c>
      <c r="B937">
        <v>3</v>
      </c>
      <c r="C937">
        <v>2</v>
      </c>
      <c r="D937">
        <v>2023</v>
      </c>
      <c r="E937" t="s">
        <v>1070</v>
      </c>
      <c r="F937" t="s">
        <v>1073</v>
      </c>
      <c r="G937" t="s">
        <v>1061</v>
      </c>
      <c r="H937" s="18">
        <v>44960</v>
      </c>
      <c r="I937" t="s">
        <v>958</v>
      </c>
      <c r="J937" t="s">
        <v>20</v>
      </c>
      <c r="K937" t="s">
        <v>1034</v>
      </c>
      <c r="L937">
        <v>22</v>
      </c>
      <c r="M937" t="s">
        <v>21</v>
      </c>
      <c r="N937">
        <v>1</v>
      </c>
      <c r="O937">
        <v>30</v>
      </c>
      <c r="P937">
        <v>30</v>
      </c>
      <c r="Q937">
        <v>0.44999999999999996</v>
      </c>
      <c r="R937">
        <v>0.6</v>
      </c>
    </row>
    <row r="938" spans="1:18" x14ac:dyDescent="0.35">
      <c r="A938">
        <v>934</v>
      </c>
      <c r="B938">
        <v>25</v>
      </c>
      <c r="C938">
        <v>7</v>
      </c>
      <c r="D938">
        <v>2023</v>
      </c>
      <c r="E938" t="s">
        <v>1059</v>
      </c>
      <c r="F938" t="s">
        <v>1078</v>
      </c>
      <c r="G938" t="s">
        <v>1061</v>
      </c>
      <c r="H938" s="18">
        <v>45132</v>
      </c>
      <c r="I938" t="s">
        <v>959</v>
      </c>
      <c r="J938" t="s">
        <v>20</v>
      </c>
      <c r="K938" t="s">
        <v>1030</v>
      </c>
      <c r="L938">
        <v>30</v>
      </c>
      <c r="M938" t="s">
        <v>21</v>
      </c>
      <c r="N938">
        <v>1</v>
      </c>
      <c r="O938">
        <v>500</v>
      </c>
      <c r="P938">
        <v>500</v>
      </c>
      <c r="Q938">
        <v>7.5</v>
      </c>
      <c r="R938">
        <v>10</v>
      </c>
    </row>
    <row r="939" spans="1:18" x14ac:dyDescent="0.35">
      <c r="A939">
        <v>935</v>
      </c>
      <c r="B939">
        <v>9</v>
      </c>
      <c r="C939">
        <v>9</v>
      </c>
      <c r="D939">
        <v>2023</v>
      </c>
      <c r="E939" t="s">
        <v>1075</v>
      </c>
      <c r="F939" t="s">
        <v>1071</v>
      </c>
      <c r="G939" t="s">
        <v>1061</v>
      </c>
      <c r="H939" s="18">
        <v>45178</v>
      </c>
      <c r="I939" t="s">
        <v>960</v>
      </c>
      <c r="J939" t="s">
        <v>23</v>
      </c>
      <c r="K939" t="s">
        <v>1030</v>
      </c>
      <c r="L939">
        <v>34</v>
      </c>
      <c r="M939" t="s">
        <v>21</v>
      </c>
      <c r="N939">
        <v>1</v>
      </c>
      <c r="O939">
        <v>50</v>
      </c>
      <c r="P939">
        <v>50</v>
      </c>
      <c r="Q939">
        <v>0.75</v>
      </c>
      <c r="R939">
        <v>1</v>
      </c>
    </row>
    <row r="940" spans="1:18" x14ac:dyDescent="0.35">
      <c r="A940">
        <v>936</v>
      </c>
      <c r="B940">
        <v>7</v>
      </c>
      <c r="C940">
        <v>2</v>
      </c>
      <c r="D940">
        <v>2023</v>
      </c>
      <c r="E940" t="s">
        <v>1059</v>
      </c>
      <c r="F940" t="s">
        <v>1073</v>
      </c>
      <c r="G940" t="s">
        <v>1061</v>
      </c>
      <c r="H940" s="18">
        <v>44964</v>
      </c>
      <c r="I940" t="s">
        <v>961</v>
      </c>
      <c r="J940" t="s">
        <v>20</v>
      </c>
      <c r="K940" t="s">
        <v>1032</v>
      </c>
      <c r="L940">
        <v>57</v>
      </c>
      <c r="M940" t="s">
        <v>21</v>
      </c>
      <c r="N940">
        <v>4</v>
      </c>
      <c r="O940">
        <v>50</v>
      </c>
      <c r="P940">
        <v>200</v>
      </c>
      <c r="Q940">
        <v>3</v>
      </c>
      <c r="R940">
        <v>4</v>
      </c>
    </row>
    <row r="941" spans="1:18" x14ac:dyDescent="0.35">
      <c r="A941">
        <v>937</v>
      </c>
      <c r="B941">
        <v>23</v>
      </c>
      <c r="C941">
        <v>10</v>
      </c>
      <c r="D941">
        <v>2023</v>
      </c>
      <c r="E941" t="s">
        <v>1067</v>
      </c>
      <c r="F941" t="s">
        <v>1064</v>
      </c>
      <c r="G941" t="s">
        <v>1061</v>
      </c>
      <c r="H941" s="18">
        <v>45222</v>
      </c>
      <c r="I941" t="s">
        <v>962</v>
      </c>
      <c r="J941" t="s">
        <v>23</v>
      </c>
      <c r="K941" t="s">
        <v>1032</v>
      </c>
      <c r="L941">
        <v>62</v>
      </c>
      <c r="M941" t="s">
        <v>21</v>
      </c>
      <c r="N941">
        <v>1</v>
      </c>
      <c r="O941">
        <v>500</v>
      </c>
      <c r="P941">
        <v>500</v>
      </c>
      <c r="Q941">
        <v>7.5</v>
      </c>
      <c r="R941">
        <v>10</v>
      </c>
    </row>
    <row r="942" spans="1:18" x14ac:dyDescent="0.35">
      <c r="A942">
        <v>938</v>
      </c>
      <c r="B942">
        <v>19</v>
      </c>
      <c r="C942">
        <v>11</v>
      </c>
      <c r="D942">
        <v>2023</v>
      </c>
      <c r="E942" t="s">
        <v>1063</v>
      </c>
      <c r="F942" t="s">
        <v>1068</v>
      </c>
      <c r="G942" t="s">
        <v>1061</v>
      </c>
      <c r="H942" s="18">
        <v>45249</v>
      </c>
      <c r="I942" t="s">
        <v>963</v>
      </c>
      <c r="J942" t="s">
        <v>20</v>
      </c>
      <c r="K942" t="s">
        <v>1030</v>
      </c>
      <c r="L942">
        <v>49</v>
      </c>
      <c r="M942" t="s">
        <v>24</v>
      </c>
      <c r="N942">
        <v>4</v>
      </c>
      <c r="O942">
        <v>50</v>
      </c>
      <c r="P942">
        <v>200</v>
      </c>
      <c r="Q942">
        <v>3</v>
      </c>
      <c r="R942">
        <v>4</v>
      </c>
    </row>
    <row r="943" spans="1:18" x14ac:dyDescent="0.35">
      <c r="A943">
        <v>939</v>
      </c>
      <c r="B943">
        <v>18</v>
      </c>
      <c r="C943">
        <v>12</v>
      </c>
      <c r="D943">
        <v>2023</v>
      </c>
      <c r="E943" t="s">
        <v>1067</v>
      </c>
      <c r="F943" t="s">
        <v>1062</v>
      </c>
      <c r="G943" t="s">
        <v>1061</v>
      </c>
      <c r="H943" s="18">
        <v>45278</v>
      </c>
      <c r="I943" t="s">
        <v>964</v>
      </c>
      <c r="J943" t="s">
        <v>23</v>
      </c>
      <c r="K943" t="s">
        <v>1030</v>
      </c>
      <c r="L943">
        <v>46</v>
      </c>
      <c r="M943" t="s">
        <v>26</v>
      </c>
      <c r="N943">
        <v>1</v>
      </c>
      <c r="O943">
        <v>300</v>
      </c>
      <c r="P943">
        <v>300</v>
      </c>
      <c r="Q943">
        <v>4.5</v>
      </c>
      <c r="R943">
        <v>6</v>
      </c>
    </row>
    <row r="944" spans="1:18" x14ac:dyDescent="0.35">
      <c r="A944">
        <v>940</v>
      </c>
      <c r="B944">
        <v>28</v>
      </c>
      <c r="C944">
        <v>1</v>
      </c>
      <c r="D944">
        <v>2023</v>
      </c>
      <c r="E944" t="s">
        <v>1075</v>
      </c>
      <c r="F944" t="s">
        <v>1060</v>
      </c>
      <c r="G944" t="s">
        <v>1061</v>
      </c>
      <c r="H944" s="18">
        <v>44954</v>
      </c>
      <c r="I944" t="s">
        <v>965</v>
      </c>
      <c r="J944" t="s">
        <v>23</v>
      </c>
      <c r="K944" t="s">
        <v>1034</v>
      </c>
      <c r="L944">
        <v>20</v>
      </c>
      <c r="M944" t="s">
        <v>26</v>
      </c>
      <c r="N944">
        <v>1</v>
      </c>
      <c r="O944">
        <v>30</v>
      </c>
      <c r="P944">
        <v>30</v>
      </c>
      <c r="Q944">
        <v>0.44999999999999996</v>
      </c>
      <c r="R944">
        <v>0.6</v>
      </c>
    </row>
    <row r="945" spans="1:18" x14ac:dyDescent="0.35">
      <c r="A945">
        <v>941</v>
      </c>
      <c r="B945">
        <v>19</v>
      </c>
      <c r="C945">
        <v>3</v>
      </c>
      <c r="D945">
        <v>2023</v>
      </c>
      <c r="E945" t="s">
        <v>1063</v>
      </c>
      <c r="F945" t="s">
        <v>1066</v>
      </c>
      <c r="G945" t="s">
        <v>1061</v>
      </c>
      <c r="H945" s="18">
        <v>45004</v>
      </c>
      <c r="I945" t="s">
        <v>966</v>
      </c>
      <c r="J945" t="s">
        <v>23</v>
      </c>
      <c r="K945" t="s">
        <v>1032</v>
      </c>
      <c r="L945">
        <v>57</v>
      </c>
      <c r="M945" t="s">
        <v>24</v>
      </c>
      <c r="N945">
        <v>2</v>
      </c>
      <c r="O945">
        <v>25</v>
      </c>
      <c r="P945">
        <v>50</v>
      </c>
      <c r="Q945">
        <v>0.75</v>
      </c>
      <c r="R945">
        <v>1</v>
      </c>
    </row>
    <row r="946" spans="1:18" x14ac:dyDescent="0.35">
      <c r="A946">
        <v>942</v>
      </c>
      <c r="B946">
        <v>18</v>
      </c>
      <c r="C946">
        <v>3</v>
      </c>
      <c r="D946">
        <v>2023</v>
      </c>
      <c r="E946" t="s">
        <v>1075</v>
      </c>
      <c r="F946" t="s">
        <v>1066</v>
      </c>
      <c r="G946" t="s">
        <v>1061</v>
      </c>
      <c r="H946" s="18">
        <v>45003</v>
      </c>
      <c r="I946" t="s">
        <v>967</v>
      </c>
      <c r="J946" t="s">
        <v>20</v>
      </c>
      <c r="K946" t="s">
        <v>1032</v>
      </c>
      <c r="L946">
        <v>51</v>
      </c>
      <c r="M946" t="s">
        <v>24</v>
      </c>
      <c r="N946">
        <v>3</v>
      </c>
      <c r="O946">
        <v>500</v>
      </c>
      <c r="P946">
        <v>1500</v>
      </c>
      <c r="Q946">
        <v>22.5</v>
      </c>
      <c r="R946">
        <v>30</v>
      </c>
    </row>
    <row r="947" spans="1:18" x14ac:dyDescent="0.35">
      <c r="A947">
        <v>943</v>
      </c>
      <c r="B947">
        <v>16</v>
      </c>
      <c r="C947">
        <v>10</v>
      </c>
      <c r="D947">
        <v>2023</v>
      </c>
      <c r="E947" t="s">
        <v>1067</v>
      </c>
      <c r="F947" t="s">
        <v>1064</v>
      </c>
      <c r="G947" t="s">
        <v>1061</v>
      </c>
      <c r="H947" s="18">
        <v>45215</v>
      </c>
      <c r="I947" t="s">
        <v>968</v>
      </c>
      <c r="J947" t="s">
        <v>23</v>
      </c>
      <c r="K947" t="s">
        <v>1032</v>
      </c>
      <c r="L947">
        <v>57</v>
      </c>
      <c r="M947" t="s">
        <v>24</v>
      </c>
      <c r="N947">
        <v>4</v>
      </c>
      <c r="O947">
        <v>300</v>
      </c>
      <c r="P947">
        <v>1200</v>
      </c>
      <c r="Q947">
        <v>18</v>
      </c>
      <c r="R947">
        <v>24</v>
      </c>
    </row>
    <row r="948" spans="1:18" x14ac:dyDescent="0.35">
      <c r="A948">
        <v>944</v>
      </c>
      <c r="B948">
        <v>5</v>
      </c>
      <c r="C948">
        <v>6</v>
      </c>
      <c r="D948">
        <v>2023</v>
      </c>
      <c r="E948" t="s">
        <v>1067</v>
      </c>
      <c r="F948" t="s">
        <v>1069</v>
      </c>
      <c r="G948" t="s">
        <v>1061</v>
      </c>
      <c r="H948" s="18">
        <v>45082</v>
      </c>
      <c r="I948" t="s">
        <v>969</v>
      </c>
      <c r="J948" t="s">
        <v>20</v>
      </c>
      <c r="K948" t="s">
        <v>1030</v>
      </c>
      <c r="L948">
        <v>44</v>
      </c>
      <c r="M948" t="s">
        <v>24</v>
      </c>
      <c r="N948">
        <v>2</v>
      </c>
      <c r="O948">
        <v>25</v>
      </c>
      <c r="P948">
        <v>50</v>
      </c>
      <c r="Q948">
        <v>0.75</v>
      </c>
      <c r="R948">
        <v>1</v>
      </c>
    </row>
    <row r="949" spans="1:18" x14ac:dyDescent="0.35">
      <c r="A949">
        <v>945</v>
      </c>
      <c r="B949">
        <v>13</v>
      </c>
      <c r="C949">
        <v>2</v>
      </c>
      <c r="D949">
        <v>2023</v>
      </c>
      <c r="E949" t="s">
        <v>1067</v>
      </c>
      <c r="F949" t="s">
        <v>1073</v>
      </c>
      <c r="G949" t="s">
        <v>1061</v>
      </c>
      <c r="H949" s="18">
        <v>44970</v>
      </c>
      <c r="I949" t="s">
        <v>970</v>
      </c>
      <c r="J949" t="s">
        <v>20</v>
      </c>
      <c r="K949" t="s">
        <v>1030</v>
      </c>
      <c r="L949">
        <v>30</v>
      </c>
      <c r="M949" t="s">
        <v>21</v>
      </c>
      <c r="N949">
        <v>1</v>
      </c>
      <c r="O949">
        <v>25</v>
      </c>
      <c r="P949">
        <v>25</v>
      </c>
      <c r="Q949">
        <v>0.375</v>
      </c>
      <c r="R949">
        <v>0.5</v>
      </c>
    </row>
    <row r="950" spans="1:18" x14ac:dyDescent="0.35">
      <c r="A950">
        <v>946</v>
      </c>
      <c r="B950">
        <v>8</v>
      </c>
      <c r="C950">
        <v>5</v>
      </c>
      <c r="D950">
        <v>2023</v>
      </c>
      <c r="E950" t="s">
        <v>1067</v>
      </c>
      <c r="F950" t="s">
        <v>1076</v>
      </c>
      <c r="G950" t="s">
        <v>1061</v>
      </c>
      <c r="H950" s="18">
        <v>45054</v>
      </c>
      <c r="I950" t="s">
        <v>971</v>
      </c>
      <c r="J950" t="s">
        <v>20</v>
      </c>
      <c r="K950" t="s">
        <v>1032</v>
      </c>
      <c r="L950">
        <v>62</v>
      </c>
      <c r="M950" t="s">
        <v>26</v>
      </c>
      <c r="N950">
        <v>4</v>
      </c>
      <c r="O950">
        <v>500</v>
      </c>
      <c r="P950">
        <v>2000</v>
      </c>
      <c r="Q950">
        <v>30</v>
      </c>
      <c r="R950">
        <v>40</v>
      </c>
    </row>
    <row r="951" spans="1:18" x14ac:dyDescent="0.35">
      <c r="A951">
        <v>947</v>
      </c>
      <c r="B951">
        <v>2</v>
      </c>
      <c r="C951">
        <v>3</v>
      </c>
      <c r="D951">
        <v>2023</v>
      </c>
      <c r="E951" t="s">
        <v>1072</v>
      </c>
      <c r="F951" t="s">
        <v>1066</v>
      </c>
      <c r="G951" t="s">
        <v>1061</v>
      </c>
      <c r="H951" s="18">
        <v>44987</v>
      </c>
      <c r="I951" t="s">
        <v>972</v>
      </c>
      <c r="J951" t="s">
        <v>20</v>
      </c>
      <c r="K951" t="s">
        <v>1030</v>
      </c>
      <c r="L951">
        <v>50</v>
      </c>
      <c r="M951" t="s">
        <v>21</v>
      </c>
      <c r="N951">
        <v>1</v>
      </c>
      <c r="O951">
        <v>300</v>
      </c>
      <c r="P951">
        <v>300</v>
      </c>
      <c r="Q951">
        <v>4.5</v>
      </c>
      <c r="R951">
        <v>6</v>
      </c>
    </row>
    <row r="952" spans="1:18" x14ac:dyDescent="0.35">
      <c r="A952">
        <v>948</v>
      </c>
      <c r="B952">
        <v>13</v>
      </c>
      <c r="C952">
        <v>10</v>
      </c>
      <c r="D952">
        <v>2023</v>
      </c>
      <c r="E952" t="s">
        <v>1070</v>
      </c>
      <c r="F952" t="s">
        <v>1064</v>
      </c>
      <c r="G952" t="s">
        <v>1061</v>
      </c>
      <c r="H952" s="18">
        <v>45212</v>
      </c>
      <c r="I952" t="s">
        <v>973</v>
      </c>
      <c r="J952" t="s">
        <v>23</v>
      </c>
      <c r="K952" t="s">
        <v>1034</v>
      </c>
      <c r="L952">
        <v>23</v>
      </c>
      <c r="M952" t="s">
        <v>26</v>
      </c>
      <c r="N952">
        <v>3</v>
      </c>
      <c r="O952">
        <v>25</v>
      </c>
      <c r="P952">
        <v>75</v>
      </c>
      <c r="Q952">
        <v>1.125</v>
      </c>
      <c r="R952">
        <v>1.5</v>
      </c>
    </row>
    <row r="953" spans="1:18" x14ac:dyDescent="0.35">
      <c r="A953">
        <v>949</v>
      </c>
      <c r="B953">
        <v>2</v>
      </c>
      <c r="C953">
        <v>8</v>
      </c>
      <c r="D953">
        <v>2023</v>
      </c>
      <c r="E953" t="s">
        <v>1065</v>
      </c>
      <c r="F953" t="s">
        <v>1074</v>
      </c>
      <c r="G953" t="s">
        <v>1061</v>
      </c>
      <c r="H953" s="18">
        <v>45140</v>
      </c>
      <c r="I953" t="s">
        <v>974</v>
      </c>
      <c r="J953" t="s">
        <v>23</v>
      </c>
      <c r="K953" t="s">
        <v>1030</v>
      </c>
      <c r="L953">
        <v>41</v>
      </c>
      <c r="M953" t="s">
        <v>26</v>
      </c>
      <c r="N953">
        <v>2</v>
      </c>
      <c r="O953">
        <v>25</v>
      </c>
      <c r="P953">
        <v>50</v>
      </c>
      <c r="Q953">
        <v>0.75</v>
      </c>
      <c r="R953">
        <v>1</v>
      </c>
    </row>
    <row r="954" spans="1:18" x14ac:dyDescent="0.35">
      <c r="A954">
        <v>950</v>
      </c>
      <c r="B954">
        <v>7</v>
      </c>
      <c r="C954">
        <v>11</v>
      </c>
      <c r="D954">
        <v>2023</v>
      </c>
      <c r="E954" t="s">
        <v>1059</v>
      </c>
      <c r="F954" t="s">
        <v>1068</v>
      </c>
      <c r="G954" t="s">
        <v>1061</v>
      </c>
      <c r="H954" s="18">
        <v>45237</v>
      </c>
      <c r="I954" t="s">
        <v>975</v>
      </c>
      <c r="J954" t="s">
        <v>20</v>
      </c>
      <c r="K954" t="s">
        <v>1030</v>
      </c>
      <c r="L954">
        <v>36</v>
      </c>
      <c r="M954" t="s">
        <v>24</v>
      </c>
      <c r="N954">
        <v>3</v>
      </c>
      <c r="O954">
        <v>300</v>
      </c>
      <c r="P954">
        <v>900</v>
      </c>
      <c r="Q954">
        <v>13.5</v>
      </c>
      <c r="R954">
        <v>18</v>
      </c>
    </row>
    <row r="955" spans="1:18" x14ac:dyDescent="0.35">
      <c r="A955">
        <v>951</v>
      </c>
      <c r="B955">
        <v>2</v>
      </c>
      <c r="C955">
        <v>11</v>
      </c>
      <c r="D955">
        <v>2023</v>
      </c>
      <c r="E955" t="s">
        <v>1072</v>
      </c>
      <c r="F955" t="s">
        <v>1068</v>
      </c>
      <c r="G955" t="s">
        <v>1061</v>
      </c>
      <c r="H955" s="18">
        <v>45232</v>
      </c>
      <c r="I955" t="s">
        <v>976</v>
      </c>
      <c r="J955" t="s">
        <v>20</v>
      </c>
      <c r="K955" t="s">
        <v>1030</v>
      </c>
      <c r="L955">
        <v>33</v>
      </c>
      <c r="M955" t="s">
        <v>21</v>
      </c>
      <c r="N955">
        <v>2</v>
      </c>
      <c r="O955">
        <v>50</v>
      </c>
      <c r="P955">
        <v>100</v>
      </c>
      <c r="Q955">
        <v>1.5</v>
      </c>
      <c r="R955">
        <v>2</v>
      </c>
    </row>
    <row r="956" spans="1:18" x14ac:dyDescent="0.35">
      <c r="A956">
        <v>952</v>
      </c>
      <c r="B956">
        <v>13</v>
      </c>
      <c r="C956">
        <v>11</v>
      </c>
      <c r="D956">
        <v>2023</v>
      </c>
      <c r="E956" t="s">
        <v>1067</v>
      </c>
      <c r="F956" t="s">
        <v>1068</v>
      </c>
      <c r="G956" t="s">
        <v>1061</v>
      </c>
      <c r="H956" s="18">
        <v>45243</v>
      </c>
      <c r="I956" t="s">
        <v>977</v>
      </c>
      <c r="J956" t="s">
        <v>23</v>
      </c>
      <c r="K956" t="s">
        <v>1032</v>
      </c>
      <c r="L956">
        <v>57</v>
      </c>
      <c r="M956" t="s">
        <v>24</v>
      </c>
      <c r="N956">
        <v>1</v>
      </c>
      <c r="O956">
        <v>25</v>
      </c>
      <c r="P956">
        <v>25</v>
      </c>
      <c r="Q956">
        <v>0.375</v>
      </c>
      <c r="R956">
        <v>0.5</v>
      </c>
    </row>
    <row r="957" spans="1:18" x14ac:dyDescent="0.35">
      <c r="A957">
        <v>953</v>
      </c>
      <c r="B957">
        <v>26</v>
      </c>
      <c r="C957">
        <v>4</v>
      </c>
      <c r="D957">
        <v>2023</v>
      </c>
      <c r="E957" t="s">
        <v>1065</v>
      </c>
      <c r="F957" t="s">
        <v>1077</v>
      </c>
      <c r="G957" t="s">
        <v>1061</v>
      </c>
      <c r="H957" s="18">
        <v>45042</v>
      </c>
      <c r="I957" t="s">
        <v>978</v>
      </c>
      <c r="J957" t="s">
        <v>20</v>
      </c>
      <c r="K957" t="s">
        <v>1030</v>
      </c>
      <c r="L957">
        <v>45</v>
      </c>
      <c r="M957" t="s">
        <v>21</v>
      </c>
      <c r="N957">
        <v>3</v>
      </c>
      <c r="O957">
        <v>30</v>
      </c>
      <c r="P957">
        <v>90</v>
      </c>
      <c r="Q957">
        <v>1.3499999999999999</v>
      </c>
      <c r="R957">
        <v>1.8</v>
      </c>
    </row>
    <row r="958" spans="1:18" x14ac:dyDescent="0.35">
      <c r="A958">
        <v>954</v>
      </c>
      <c r="B958">
        <v>25</v>
      </c>
      <c r="C958">
        <v>9</v>
      </c>
      <c r="D958">
        <v>2023</v>
      </c>
      <c r="E958" t="s">
        <v>1067</v>
      </c>
      <c r="F958" t="s">
        <v>1071</v>
      </c>
      <c r="G958" t="s">
        <v>1061</v>
      </c>
      <c r="H958" s="18">
        <v>45194</v>
      </c>
      <c r="I958" t="s">
        <v>979</v>
      </c>
      <c r="J958" t="s">
        <v>23</v>
      </c>
      <c r="K958" t="s">
        <v>1030</v>
      </c>
      <c r="L958">
        <v>50</v>
      </c>
      <c r="M958" t="s">
        <v>26</v>
      </c>
      <c r="N958">
        <v>3</v>
      </c>
      <c r="O958">
        <v>300</v>
      </c>
      <c r="P958">
        <v>900</v>
      </c>
      <c r="Q958">
        <v>13.5</v>
      </c>
      <c r="R958">
        <v>18</v>
      </c>
    </row>
    <row r="959" spans="1:18" x14ac:dyDescent="0.35">
      <c r="A959">
        <v>955</v>
      </c>
      <c r="B959">
        <v>14</v>
      </c>
      <c r="C959">
        <v>7</v>
      </c>
      <c r="D959">
        <v>2023</v>
      </c>
      <c r="E959" t="s">
        <v>1070</v>
      </c>
      <c r="F959" t="s">
        <v>1078</v>
      </c>
      <c r="G959" t="s">
        <v>1061</v>
      </c>
      <c r="H959" s="18">
        <v>45121</v>
      </c>
      <c r="I959" t="s">
        <v>980</v>
      </c>
      <c r="J959" t="s">
        <v>20</v>
      </c>
      <c r="K959" t="s">
        <v>1032</v>
      </c>
      <c r="L959">
        <v>58</v>
      </c>
      <c r="M959" t="s">
        <v>24</v>
      </c>
      <c r="N959">
        <v>1</v>
      </c>
      <c r="O959">
        <v>25</v>
      </c>
      <c r="P959">
        <v>25</v>
      </c>
      <c r="Q959">
        <v>0.375</v>
      </c>
      <c r="R959">
        <v>0.5</v>
      </c>
    </row>
    <row r="960" spans="1:18" x14ac:dyDescent="0.35">
      <c r="A960">
        <v>956</v>
      </c>
      <c r="B960">
        <v>19</v>
      </c>
      <c r="C960">
        <v>8</v>
      </c>
      <c r="D960">
        <v>2023</v>
      </c>
      <c r="E960" t="s">
        <v>1075</v>
      </c>
      <c r="F960" t="s">
        <v>1074</v>
      </c>
      <c r="G960" t="s">
        <v>1061</v>
      </c>
      <c r="H960" s="18">
        <v>45157</v>
      </c>
      <c r="I960" t="s">
        <v>981</v>
      </c>
      <c r="J960" t="s">
        <v>20</v>
      </c>
      <c r="K960" t="s">
        <v>1030</v>
      </c>
      <c r="L960">
        <v>30</v>
      </c>
      <c r="M960" t="s">
        <v>24</v>
      </c>
      <c r="N960">
        <v>3</v>
      </c>
      <c r="O960">
        <v>500</v>
      </c>
      <c r="P960">
        <v>1500</v>
      </c>
      <c r="Q960">
        <v>22.5</v>
      </c>
      <c r="R960">
        <v>30</v>
      </c>
    </row>
    <row r="961" spans="1:18" x14ac:dyDescent="0.35">
      <c r="A961">
        <v>957</v>
      </c>
      <c r="B961">
        <v>15</v>
      </c>
      <c r="C961">
        <v>8</v>
      </c>
      <c r="D961">
        <v>2023</v>
      </c>
      <c r="E961" t="s">
        <v>1059</v>
      </c>
      <c r="F961" t="s">
        <v>1074</v>
      </c>
      <c r="G961" t="s">
        <v>1061</v>
      </c>
      <c r="H961" s="18">
        <v>45153</v>
      </c>
      <c r="I961" t="s">
        <v>982</v>
      </c>
      <c r="J961" t="s">
        <v>23</v>
      </c>
      <c r="K961" t="s">
        <v>1032</v>
      </c>
      <c r="L961">
        <v>60</v>
      </c>
      <c r="M961" t="s">
        <v>26</v>
      </c>
      <c r="N961">
        <v>4</v>
      </c>
      <c r="O961">
        <v>30</v>
      </c>
      <c r="P961">
        <v>120</v>
      </c>
      <c r="Q961">
        <v>1.7999999999999998</v>
      </c>
      <c r="R961">
        <v>2.4</v>
      </c>
    </row>
    <row r="962" spans="1:18" x14ac:dyDescent="0.35">
      <c r="A962">
        <v>958</v>
      </c>
      <c r="B962">
        <v>2</v>
      </c>
      <c r="C962">
        <v>6</v>
      </c>
      <c r="D962">
        <v>2023</v>
      </c>
      <c r="E962" t="s">
        <v>1070</v>
      </c>
      <c r="F962" t="s">
        <v>1069</v>
      </c>
      <c r="G962" t="s">
        <v>1061</v>
      </c>
      <c r="H962" s="18">
        <v>45079</v>
      </c>
      <c r="I962" t="s">
        <v>983</v>
      </c>
      <c r="J962" t="s">
        <v>20</v>
      </c>
      <c r="K962" t="s">
        <v>1032</v>
      </c>
      <c r="L962">
        <v>62</v>
      </c>
      <c r="M962" t="s">
        <v>26</v>
      </c>
      <c r="N962">
        <v>2</v>
      </c>
      <c r="O962">
        <v>25</v>
      </c>
      <c r="P962">
        <v>50</v>
      </c>
      <c r="Q962">
        <v>0.75</v>
      </c>
      <c r="R962">
        <v>1</v>
      </c>
    </row>
    <row r="963" spans="1:18" x14ac:dyDescent="0.35">
      <c r="A963">
        <v>959</v>
      </c>
      <c r="B963">
        <v>29</v>
      </c>
      <c r="C963">
        <v>10</v>
      </c>
      <c r="D963">
        <v>2023</v>
      </c>
      <c r="E963" t="s">
        <v>1063</v>
      </c>
      <c r="F963" t="s">
        <v>1064</v>
      </c>
      <c r="G963" t="s">
        <v>1061</v>
      </c>
      <c r="H963" s="18">
        <v>45228</v>
      </c>
      <c r="I963" t="s">
        <v>984</v>
      </c>
      <c r="J963" t="s">
        <v>23</v>
      </c>
      <c r="K963" t="s">
        <v>1030</v>
      </c>
      <c r="L963">
        <v>42</v>
      </c>
      <c r="M963" t="s">
        <v>26</v>
      </c>
      <c r="N963">
        <v>2</v>
      </c>
      <c r="O963">
        <v>30</v>
      </c>
      <c r="P963">
        <v>60</v>
      </c>
      <c r="Q963">
        <v>0.89999999999999991</v>
      </c>
      <c r="R963">
        <v>1.2</v>
      </c>
    </row>
    <row r="964" spans="1:18" x14ac:dyDescent="0.35">
      <c r="A964">
        <v>960</v>
      </c>
      <c r="B964">
        <v>8</v>
      </c>
      <c r="C964">
        <v>8</v>
      </c>
      <c r="D964">
        <v>2023</v>
      </c>
      <c r="E964" t="s">
        <v>1059</v>
      </c>
      <c r="F964" t="s">
        <v>1074</v>
      </c>
      <c r="G964" t="s">
        <v>1061</v>
      </c>
      <c r="H964" s="18">
        <v>45146</v>
      </c>
      <c r="I964" t="s">
        <v>985</v>
      </c>
      <c r="J964" t="s">
        <v>20</v>
      </c>
      <c r="K964" t="s">
        <v>1032</v>
      </c>
      <c r="L964">
        <v>59</v>
      </c>
      <c r="M964" t="s">
        <v>24</v>
      </c>
      <c r="N964">
        <v>2</v>
      </c>
      <c r="O964">
        <v>30</v>
      </c>
      <c r="P964">
        <v>60</v>
      </c>
      <c r="Q964">
        <v>0.89999999999999991</v>
      </c>
      <c r="R964">
        <v>1.2</v>
      </c>
    </row>
    <row r="965" spans="1:18" x14ac:dyDescent="0.35">
      <c r="A965">
        <v>961</v>
      </c>
      <c r="B965">
        <v>6</v>
      </c>
      <c r="C965">
        <v>6</v>
      </c>
      <c r="D965">
        <v>2023</v>
      </c>
      <c r="E965" t="s">
        <v>1059</v>
      </c>
      <c r="F965" t="s">
        <v>1069</v>
      </c>
      <c r="G965" t="s">
        <v>1061</v>
      </c>
      <c r="H965" s="18">
        <v>45083</v>
      </c>
      <c r="I965" t="s">
        <v>986</v>
      </c>
      <c r="J965" t="s">
        <v>20</v>
      </c>
      <c r="K965" t="s">
        <v>1032</v>
      </c>
      <c r="L965">
        <v>53</v>
      </c>
      <c r="M965" t="s">
        <v>21</v>
      </c>
      <c r="N965">
        <v>4</v>
      </c>
      <c r="O965">
        <v>50</v>
      </c>
      <c r="P965">
        <v>200</v>
      </c>
      <c r="Q965">
        <v>3</v>
      </c>
      <c r="R965">
        <v>4</v>
      </c>
    </row>
    <row r="966" spans="1:18" x14ac:dyDescent="0.35">
      <c r="A966">
        <v>962</v>
      </c>
      <c r="B966">
        <v>19</v>
      </c>
      <c r="C966">
        <v>10</v>
      </c>
      <c r="D966">
        <v>2023</v>
      </c>
      <c r="E966" t="s">
        <v>1072</v>
      </c>
      <c r="F966" t="s">
        <v>1064</v>
      </c>
      <c r="G966" t="s">
        <v>1061</v>
      </c>
      <c r="H966" s="18">
        <v>45218</v>
      </c>
      <c r="I966" t="s">
        <v>987</v>
      </c>
      <c r="J966" t="s">
        <v>20</v>
      </c>
      <c r="K966" t="s">
        <v>1030</v>
      </c>
      <c r="L966">
        <v>44</v>
      </c>
      <c r="M966" t="s">
        <v>24</v>
      </c>
      <c r="N966">
        <v>2</v>
      </c>
      <c r="O966">
        <v>30</v>
      </c>
      <c r="P966">
        <v>60</v>
      </c>
      <c r="Q966">
        <v>0.89999999999999991</v>
      </c>
      <c r="R966">
        <v>1.2</v>
      </c>
    </row>
    <row r="967" spans="1:18" x14ac:dyDescent="0.35">
      <c r="A967">
        <v>963</v>
      </c>
      <c r="B967">
        <v>14</v>
      </c>
      <c r="C967">
        <v>11</v>
      </c>
      <c r="D967">
        <v>2023</v>
      </c>
      <c r="E967" t="s">
        <v>1059</v>
      </c>
      <c r="F967" t="s">
        <v>1068</v>
      </c>
      <c r="G967" t="s">
        <v>1061</v>
      </c>
      <c r="H967" s="18">
        <v>45244</v>
      </c>
      <c r="I967" t="s">
        <v>988</v>
      </c>
      <c r="J967" t="s">
        <v>23</v>
      </c>
      <c r="K967" t="s">
        <v>1032</v>
      </c>
      <c r="L967">
        <v>55</v>
      </c>
      <c r="M967" t="s">
        <v>21</v>
      </c>
      <c r="N967">
        <v>1</v>
      </c>
      <c r="O967">
        <v>50</v>
      </c>
      <c r="P967">
        <v>50</v>
      </c>
      <c r="Q967">
        <v>0.75</v>
      </c>
      <c r="R967">
        <v>1</v>
      </c>
    </row>
    <row r="968" spans="1:18" x14ac:dyDescent="0.35">
      <c r="A968">
        <v>964</v>
      </c>
      <c r="B968">
        <v>31</v>
      </c>
      <c r="C968">
        <v>1</v>
      </c>
      <c r="D968">
        <v>2023</v>
      </c>
      <c r="E968" t="s">
        <v>1059</v>
      </c>
      <c r="F968" t="s">
        <v>1060</v>
      </c>
      <c r="G968" t="s">
        <v>1061</v>
      </c>
      <c r="H968" s="18">
        <v>44957</v>
      </c>
      <c r="I968" t="s">
        <v>989</v>
      </c>
      <c r="J968" t="s">
        <v>20</v>
      </c>
      <c r="K968" t="s">
        <v>1034</v>
      </c>
      <c r="L968">
        <v>24</v>
      </c>
      <c r="M968" t="s">
        <v>24</v>
      </c>
      <c r="N968">
        <v>3</v>
      </c>
      <c r="O968">
        <v>300</v>
      </c>
      <c r="P968">
        <v>900</v>
      </c>
      <c r="Q968">
        <v>13.5</v>
      </c>
      <c r="R968">
        <v>18</v>
      </c>
    </row>
    <row r="969" spans="1:18" x14ac:dyDescent="0.35">
      <c r="A969">
        <v>965</v>
      </c>
      <c r="B969">
        <v>9</v>
      </c>
      <c r="C969">
        <v>11</v>
      </c>
      <c r="D969">
        <v>2023</v>
      </c>
      <c r="E969" t="s">
        <v>1072</v>
      </c>
      <c r="F969" t="s">
        <v>1068</v>
      </c>
      <c r="G969" t="s">
        <v>1061</v>
      </c>
      <c r="H969" s="18">
        <v>45239</v>
      </c>
      <c r="I969" t="s">
        <v>990</v>
      </c>
      <c r="J969" t="s">
        <v>20</v>
      </c>
      <c r="K969" t="s">
        <v>1034</v>
      </c>
      <c r="L969">
        <v>22</v>
      </c>
      <c r="M969" t="s">
        <v>24</v>
      </c>
      <c r="N969">
        <v>4</v>
      </c>
      <c r="O969">
        <v>50</v>
      </c>
      <c r="P969">
        <v>200</v>
      </c>
      <c r="Q969">
        <v>3</v>
      </c>
      <c r="R969">
        <v>4</v>
      </c>
    </row>
    <row r="970" spans="1:18" x14ac:dyDescent="0.35">
      <c r="A970">
        <v>966</v>
      </c>
      <c r="B970">
        <v>20</v>
      </c>
      <c r="C970">
        <v>2</v>
      </c>
      <c r="D970">
        <v>2023</v>
      </c>
      <c r="E970" t="s">
        <v>1067</v>
      </c>
      <c r="F970" t="s">
        <v>1073</v>
      </c>
      <c r="G970" t="s">
        <v>1061</v>
      </c>
      <c r="H970" s="18">
        <v>44977</v>
      </c>
      <c r="I970" t="s">
        <v>991</v>
      </c>
      <c r="J970" t="s">
        <v>20</v>
      </c>
      <c r="K970" t="s">
        <v>1032</v>
      </c>
      <c r="L970">
        <v>60</v>
      </c>
      <c r="M970" t="s">
        <v>26</v>
      </c>
      <c r="N970">
        <v>2</v>
      </c>
      <c r="O970">
        <v>500</v>
      </c>
      <c r="P970">
        <v>1000</v>
      </c>
      <c r="Q970">
        <v>15</v>
      </c>
      <c r="R970">
        <v>20</v>
      </c>
    </row>
    <row r="971" spans="1:18" x14ac:dyDescent="0.35">
      <c r="A971">
        <v>967</v>
      </c>
      <c r="B971">
        <v>17</v>
      </c>
      <c r="C971">
        <v>4</v>
      </c>
      <c r="D971">
        <v>2023</v>
      </c>
      <c r="E971" t="s">
        <v>1067</v>
      </c>
      <c r="F971" t="s">
        <v>1077</v>
      </c>
      <c r="G971" t="s">
        <v>1061</v>
      </c>
      <c r="H971" s="18">
        <v>45033</v>
      </c>
      <c r="I971" t="s">
        <v>992</v>
      </c>
      <c r="J971" t="s">
        <v>20</v>
      </c>
      <c r="K971" t="s">
        <v>1032</v>
      </c>
      <c r="L971">
        <v>62</v>
      </c>
      <c r="M971" t="s">
        <v>21</v>
      </c>
      <c r="N971">
        <v>1</v>
      </c>
      <c r="O971">
        <v>25</v>
      </c>
      <c r="P971">
        <v>25</v>
      </c>
      <c r="Q971">
        <v>0.375</v>
      </c>
      <c r="R971">
        <v>0.5</v>
      </c>
    </row>
    <row r="972" spans="1:18" x14ac:dyDescent="0.35">
      <c r="A972">
        <v>968</v>
      </c>
      <c r="B972">
        <v>17</v>
      </c>
      <c r="C972">
        <v>11</v>
      </c>
      <c r="D972">
        <v>2023</v>
      </c>
      <c r="E972" t="s">
        <v>1070</v>
      </c>
      <c r="F972" t="s">
        <v>1068</v>
      </c>
      <c r="G972" t="s">
        <v>1061</v>
      </c>
      <c r="H972" s="18">
        <v>45247</v>
      </c>
      <c r="I972" t="s">
        <v>993</v>
      </c>
      <c r="J972" t="s">
        <v>23</v>
      </c>
      <c r="K972" t="s">
        <v>1030</v>
      </c>
      <c r="L972">
        <v>48</v>
      </c>
      <c r="M972" t="s">
        <v>24</v>
      </c>
      <c r="N972">
        <v>3</v>
      </c>
      <c r="O972">
        <v>300</v>
      </c>
      <c r="P972">
        <v>900</v>
      </c>
      <c r="Q972">
        <v>13.5</v>
      </c>
      <c r="R972">
        <v>18</v>
      </c>
    </row>
    <row r="973" spans="1:18" x14ac:dyDescent="0.35">
      <c r="A973">
        <v>969</v>
      </c>
      <c r="B973">
        <v>19</v>
      </c>
      <c r="C973">
        <v>4</v>
      </c>
      <c r="D973">
        <v>2023</v>
      </c>
      <c r="E973" t="s">
        <v>1065</v>
      </c>
      <c r="F973" t="s">
        <v>1077</v>
      </c>
      <c r="G973" t="s">
        <v>1061</v>
      </c>
      <c r="H973" s="18">
        <v>45035</v>
      </c>
      <c r="I973" t="s">
        <v>994</v>
      </c>
      <c r="J973" t="s">
        <v>23</v>
      </c>
      <c r="K973" t="s">
        <v>1030</v>
      </c>
      <c r="L973">
        <v>40</v>
      </c>
      <c r="M973" t="s">
        <v>24</v>
      </c>
      <c r="N973">
        <v>3</v>
      </c>
      <c r="O973">
        <v>300</v>
      </c>
      <c r="P973">
        <v>900</v>
      </c>
      <c r="Q973">
        <v>13.5</v>
      </c>
      <c r="R973">
        <v>18</v>
      </c>
    </row>
    <row r="974" spans="1:18" x14ac:dyDescent="0.35">
      <c r="A974">
        <v>970</v>
      </c>
      <c r="B974">
        <v>16</v>
      </c>
      <c r="C974">
        <v>5</v>
      </c>
      <c r="D974">
        <v>2023</v>
      </c>
      <c r="E974" t="s">
        <v>1059</v>
      </c>
      <c r="F974" t="s">
        <v>1076</v>
      </c>
      <c r="G974" t="s">
        <v>1061</v>
      </c>
      <c r="H974" s="18">
        <v>45062</v>
      </c>
      <c r="I974" t="s">
        <v>995</v>
      </c>
      <c r="J974" t="s">
        <v>20</v>
      </c>
      <c r="K974" t="s">
        <v>1032</v>
      </c>
      <c r="L974">
        <v>59</v>
      </c>
      <c r="M974" t="s">
        <v>26</v>
      </c>
      <c r="N974">
        <v>4</v>
      </c>
      <c r="O974">
        <v>500</v>
      </c>
      <c r="P974">
        <v>2000</v>
      </c>
      <c r="Q974">
        <v>30</v>
      </c>
      <c r="R974">
        <v>40</v>
      </c>
    </row>
    <row r="975" spans="1:18" x14ac:dyDescent="0.35">
      <c r="A975">
        <v>971</v>
      </c>
      <c r="B975">
        <v>5</v>
      </c>
      <c r="C975">
        <v>12</v>
      </c>
      <c r="D975">
        <v>2023</v>
      </c>
      <c r="E975" t="s">
        <v>1059</v>
      </c>
      <c r="F975" t="s">
        <v>1062</v>
      </c>
      <c r="G975" t="s">
        <v>1061</v>
      </c>
      <c r="H975" s="18">
        <v>45265</v>
      </c>
      <c r="I975" t="s">
        <v>996</v>
      </c>
      <c r="J975" t="s">
        <v>23</v>
      </c>
      <c r="K975" t="s">
        <v>1034</v>
      </c>
      <c r="L975">
        <v>27</v>
      </c>
      <c r="M975" t="s">
        <v>26</v>
      </c>
      <c r="N975">
        <v>4</v>
      </c>
      <c r="O975">
        <v>50</v>
      </c>
      <c r="P975">
        <v>200</v>
      </c>
      <c r="Q975">
        <v>3</v>
      </c>
      <c r="R975">
        <v>4</v>
      </c>
    </row>
    <row r="976" spans="1:18" x14ac:dyDescent="0.35">
      <c r="A976">
        <v>972</v>
      </c>
      <c r="B976">
        <v>11</v>
      </c>
      <c r="C976">
        <v>2</v>
      </c>
      <c r="D976">
        <v>2023</v>
      </c>
      <c r="E976" t="s">
        <v>1075</v>
      </c>
      <c r="F976" t="s">
        <v>1073</v>
      </c>
      <c r="G976" t="s">
        <v>1061</v>
      </c>
      <c r="H976" s="18">
        <v>44968</v>
      </c>
      <c r="I976" t="s">
        <v>997</v>
      </c>
      <c r="J976" t="s">
        <v>20</v>
      </c>
      <c r="K976" t="s">
        <v>1030</v>
      </c>
      <c r="L976">
        <v>49</v>
      </c>
      <c r="M976" t="s">
        <v>21</v>
      </c>
      <c r="N976">
        <v>4</v>
      </c>
      <c r="O976">
        <v>25</v>
      </c>
      <c r="P976">
        <v>100</v>
      </c>
      <c r="Q976">
        <v>1.5</v>
      </c>
      <c r="R976">
        <v>2</v>
      </c>
    </row>
    <row r="977" spans="1:18" x14ac:dyDescent="0.35">
      <c r="A977">
        <v>973</v>
      </c>
      <c r="B977">
        <v>22</v>
      </c>
      <c r="C977">
        <v>3</v>
      </c>
      <c r="D977">
        <v>2023</v>
      </c>
      <c r="E977" t="s">
        <v>1065</v>
      </c>
      <c r="F977" t="s">
        <v>1066</v>
      </c>
      <c r="G977" t="s">
        <v>1061</v>
      </c>
      <c r="H977" s="18">
        <v>45007</v>
      </c>
      <c r="I977" t="s">
        <v>998</v>
      </c>
      <c r="J977" t="s">
        <v>20</v>
      </c>
      <c r="K977" t="s">
        <v>1032</v>
      </c>
      <c r="L977">
        <v>60</v>
      </c>
      <c r="M977" t="s">
        <v>24</v>
      </c>
      <c r="N977">
        <v>1</v>
      </c>
      <c r="O977">
        <v>50</v>
      </c>
      <c r="P977">
        <v>50</v>
      </c>
      <c r="Q977">
        <v>0.75</v>
      </c>
      <c r="R977">
        <v>1</v>
      </c>
    </row>
    <row r="978" spans="1:18" x14ac:dyDescent="0.35">
      <c r="A978">
        <v>974</v>
      </c>
      <c r="B978">
        <v>3</v>
      </c>
      <c r="C978">
        <v>5</v>
      </c>
      <c r="D978">
        <v>2023</v>
      </c>
      <c r="E978" t="s">
        <v>1065</v>
      </c>
      <c r="F978" t="s">
        <v>1076</v>
      </c>
      <c r="G978" t="s">
        <v>1061</v>
      </c>
      <c r="H978" s="18">
        <v>45049</v>
      </c>
      <c r="I978" t="s">
        <v>999</v>
      </c>
      <c r="J978" t="s">
        <v>20</v>
      </c>
      <c r="K978" t="s">
        <v>1030</v>
      </c>
      <c r="L978">
        <v>47</v>
      </c>
      <c r="M978" t="s">
        <v>21</v>
      </c>
      <c r="N978">
        <v>1</v>
      </c>
      <c r="O978">
        <v>30</v>
      </c>
      <c r="P978">
        <v>30</v>
      </c>
      <c r="Q978">
        <v>0.44999999999999996</v>
      </c>
      <c r="R978">
        <v>0.6</v>
      </c>
    </row>
    <row r="979" spans="1:18" x14ac:dyDescent="0.35">
      <c r="A979">
        <v>975</v>
      </c>
      <c r="B979">
        <v>30</v>
      </c>
      <c r="C979">
        <v>3</v>
      </c>
      <c r="D979">
        <v>2023</v>
      </c>
      <c r="E979" t="s">
        <v>1072</v>
      </c>
      <c r="F979" t="s">
        <v>1066</v>
      </c>
      <c r="G979" t="s">
        <v>1061</v>
      </c>
      <c r="H979" s="18">
        <v>45015</v>
      </c>
      <c r="I979" t="s">
        <v>1000</v>
      </c>
      <c r="J979" t="s">
        <v>23</v>
      </c>
      <c r="K979" t="s">
        <v>1032</v>
      </c>
      <c r="L979">
        <v>56</v>
      </c>
      <c r="M979" t="s">
        <v>24</v>
      </c>
      <c r="N979">
        <v>4</v>
      </c>
      <c r="O979">
        <v>50</v>
      </c>
      <c r="P979">
        <v>200</v>
      </c>
      <c r="Q979">
        <v>3</v>
      </c>
      <c r="R979">
        <v>4</v>
      </c>
    </row>
    <row r="980" spans="1:18" x14ac:dyDescent="0.35">
      <c r="A980">
        <v>976</v>
      </c>
      <c r="B980">
        <v>10</v>
      </c>
      <c r="C980">
        <v>10</v>
      </c>
      <c r="D980">
        <v>2023</v>
      </c>
      <c r="E980" t="s">
        <v>1059</v>
      </c>
      <c r="F980" t="s">
        <v>1064</v>
      </c>
      <c r="G980" t="s">
        <v>1061</v>
      </c>
      <c r="H980" s="18">
        <v>45209</v>
      </c>
      <c r="I980" t="s">
        <v>1001</v>
      </c>
      <c r="J980" t="s">
        <v>23</v>
      </c>
      <c r="K980" t="s">
        <v>1030</v>
      </c>
      <c r="L980">
        <v>48</v>
      </c>
      <c r="M980" t="s">
        <v>21</v>
      </c>
      <c r="N980">
        <v>2</v>
      </c>
      <c r="O980">
        <v>300</v>
      </c>
      <c r="P980">
        <v>600</v>
      </c>
      <c r="Q980">
        <v>9</v>
      </c>
      <c r="R980">
        <v>12</v>
      </c>
    </row>
    <row r="981" spans="1:18" x14ac:dyDescent="0.35">
      <c r="A981">
        <v>977</v>
      </c>
      <c r="B981">
        <v>8</v>
      </c>
      <c r="C981">
        <v>2</v>
      </c>
      <c r="D981">
        <v>2023</v>
      </c>
      <c r="E981" t="s">
        <v>1065</v>
      </c>
      <c r="F981" t="s">
        <v>1073</v>
      </c>
      <c r="G981" t="s">
        <v>1061</v>
      </c>
      <c r="H981" s="18">
        <v>44965</v>
      </c>
      <c r="I981" t="s">
        <v>1002</v>
      </c>
      <c r="J981" t="s">
        <v>23</v>
      </c>
      <c r="K981" t="s">
        <v>1030</v>
      </c>
      <c r="L981">
        <v>35</v>
      </c>
      <c r="M981" t="s">
        <v>26</v>
      </c>
      <c r="N981">
        <v>3</v>
      </c>
      <c r="O981">
        <v>25</v>
      </c>
      <c r="P981">
        <v>75</v>
      </c>
      <c r="Q981">
        <v>1.125</v>
      </c>
      <c r="R981">
        <v>1.5</v>
      </c>
    </row>
    <row r="982" spans="1:18" x14ac:dyDescent="0.35">
      <c r="A982">
        <v>978</v>
      </c>
      <c r="B982">
        <v>22</v>
      </c>
      <c r="C982">
        <v>3</v>
      </c>
      <c r="D982">
        <v>2023</v>
      </c>
      <c r="E982" t="s">
        <v>1065</v>
      </c>
      <c r="F982" t="s">
        <v>1066</v>
      </c>
      <c r="G982" t="s">
        <v>1061</v>
      </c>
      <c r="H982" s="18">
        <v>45007</v>
      </c>
      <c r="I982" t="s">
        <v>1003</v>
      </c>
      <c r="J982" t="s">
        <v>23</v>
      </c>
      <c r="K982" t="s">
        <v>1032</v>
      </c>
      <c r="L982">
        <v>53</v>
      </c>
      <c r="M982" t="s">
        <v>24</v>
      </c>
      <c r="N982">
        <v>3</v>
      </c>
      <c r="O982">
        <v>50</v>
      </c>
      <c r="P982">
        <v>150</v>
      </c>
      <c r="Q982">
        <v>2.25</v>
      </c>
      <c r="R982">
        <v>3</v>
      </c>
    </row>
    <row r="983" spans="1:18" x14ac:dyDescent="0.35">
      <c r="A983">
        <v>979</v>
      </c>
      <c r="B983">
        <v>2</v>
      </c>
      <c r="C983">
        <v>1</v>
      </c>
      <c r="D983">
        <v>2023</v>
      </c>
      <c r="E983" t="s">
        <v>1067</v>
      </c>
      <c r="F983" t="s">
        <v>1060</v>
      </c>
      <c r="G983" t="s">
        <v>1061</v>
      </c>
      <c r="H983" s="18">
        <v>44928</v>
      </c>
      <c r="I983" t="s">
        <v>1004</v>
      </c>
      <c r="J983" t="s">
        <v>23</v>
      </c>
      <c r="K983" t="s">
        <v>1034</v>
      </c>
      <c r="L983">
        <v>19</v>
      </c>
      <c r="M983" t="s">
        <v>21</v>
      </c>
      <c r="N983">
        <v>1</v>
      </c>
      <c r="O983">
        <v>25</v>
      </c>
      <c r="P983">
        <v>25</v>
      </c>
      <c r="Q983">
        <v>0.375</v>
      </c>
      <c r="R983">
        <v>0.5</v>
      </c>
    </row>
    <row r="984" spans="1:18" x14ac:dyDescent="0.35">
      <c r="A984">
        <v>980</v>
      </c>
      <c r="B984">
        <v>29</v>
      </c>
      <c r="C984">
        <v>7</v>
      </c>
      <c r="D984">
        <v>2023</v>
      </c>
      <c r="E984" t="s">
        <v>1075</v>
      </c>
      <c r="F984" t="s">
        <v>1078</v>
      </c>
      <c r="G984" t="s">
        <v>1061</v>
      </c>
      <c r="H984" s="18">
        <v>45136</v>
      </c>
      <c r="I984" t="s">
        <v>1005</v>
      </c>
      <c r="J984" t="s">
        <v>23</v>
      </c>
      <c r="K984" t="s">
        <v>1030</v>
      </c>
      <c r="L984">
        <v>31</v>
      </c>
      <c r="M984" t="s">
        <v>26</v>
      </c>
      <c r="N984">
        <v>3</v>
      </c>
      <c r="O984">
        <v>25</v>
      </c>
      <c r="P984">
        <v>75</v>
      </c>
      <c r="Q984">
        <v>1.125</v>
      </c>
      <c r="R984">
        <v>1.5</v>
      </c>
    </row>
    <row r="985" spans="1:18" x14ac:dyDescent="0.35">
      <c r="A985">
        <v>981</v>
      </c>
      <c r="B985">
        <v>19</v>
      </c>
      <c r="C985">
        <v>8</v>
      </c>
      <c r="D985">
        <v>2023</v>
      </c>
      <c r="E985" t="s">
        <v>1075</v>
      </c>
      <c r="F985" t="s">
        <v>1074</v>
      </c>
      <c r="G985" t="s">
        <v>1061</v>
      </c>
      <c r="H985" s="18">
        <v>45157</v>
      </c>
      <c r="I985" t="s">
        <v>1006</v>
      </c>
      <c r="J985" t="s">
        <v>23</v>
      </c>
      <c r="K985" t="s">
        <v>1030</v>
      </c>
      <c r="L985">
        <v>30</v>
      </c>
      <c r="M985" t="s">
        <v>26</v>
      </c>
      <c r="N985">
        <v>2</v>
      </c>
      <c r="O985">
        <v>30</v>
      </c>
      <c r="P985">
        <v>60</v>
      </c>
      <c r="Q985">
        <v>0.89999999999999991</v>
      </c>
      <c r="R985">
        <v>1.2</v>
      </c>
    </row>
    <row r="986" spans="1:18" x14ac:dyDescent="0.35">
      <c r="A986">
        <v>982</v>
      </c>
      <c r="B986">
        <v>19</v>
      </c>
      <c r="C986">
        <v>12</v>
      </c>
      <c r="D986">
        <v>2023</v>
      </c>
      <c r="E986" t="s">
        <v>1059</v>
      </c>
      <c r="F986" t="s">
        <v>1062</v>
      </c>
      <c r="G986" t="s">
        <v>1061</v>
      </c>
      <c r="H986" s="18">
        <v>45279</v>
      </c>
      <c r="I986" t="s">
        <v>1007</v>
      </c>
      <c r="J986" t="s">
        <v>23</v>
      </c>
      <c r="K986" t="s">
        <v>1030</v>
      </c>
      <c r="L986">
        <v>46</v>
      </c>
      <c r="M986" t="s">
        <v>21</v>
      </c>
      <c r="N986">
        <v>3</v>
      </c>
      <c r="O986">
        <v>30</v>
      </c>
      <c r="P986">
        <v>90</v>
      </c>
      <c r="Q986">
        <v>1.3499999999999999</v>
      </c>
      <c r="R986">
        <v>1.8</v>
      </c>
    </row>
    <row r="987" spans="1:18" x14ac:dyDescent="0.35">
      <c r="A987">
        <v>983</v>
      </c>
      <c r="B987">
        <v>1</v>
      </c>
      <c r="C987">
        <v>11</v>
      </c>
      <c r="D987">
        <v>2023</v>
      </c>
      <c r="E987" t="s">
        <v>1065</v>
      </c>
      <c r="F987" t="s">
        <v>1068</v>
      </c>
      <c r="G987" t="s">
        <v>1061</v>
      </c>
      <c r="H987" s="18">
        <v>45231</v>
      </c>
      <c r="I987" t="s">
        <v>1008</v>
      </c>
      <c r="J987" t="s">
        <v>23</v>
      </c>
      <c r="K987" t="s">
        <v>1034</v>
      </c>
      <c r="L987">
        <v>29</v>
      </c>
      <c r="M987" t="s">
        <v>24</v>
      </c>
      <c r="N987">
        <v>1</v>
      </c>
      <c r="O987">
        <v>300</v>
      </c>
      <c r="P987">
        <v>300</v>
      </c>
      <c r="Q987">
        <v>4.5</v>
      </c>
      <c r="R987">
        <v>6</v>
      </c>
    </row>
    <row r="988" spans="1:18" x14ac:dyDescent="0.35">
      <c r="A988">
        <v>984</v>
      </c>
      <c r="B988">
        <v>29</v>
      </c>
      <c r="C988">
        <v>8</v>
      </c>
      <c r="D988">
        <v>2023</v>
      </c>
      <c r="E988" t="s">
        <v>1059</v>
      </c>
      <c r="F988" t="s">
        <v>1074</v>
      </c>
      <c r="G988" t="s">
        <v>1061</v>
      </c>
      <c r="H988" s="18">
        <v>45167</v>
      </c>
      <c r="I988" t="s">
        <v>1009</v>
      </c>
      <c r="J988" t="s">
        <v>20</v>
      </c>
      <c r="K988" t="s">
        <v>1032</v>
      </c>
      <c r="L988">
        <v>56</v>
      </c>
      <c r="M988" t="s">
        <v>24</v>
      </c>
      <c r="N988">
        <v>1</v>
      </c>
      <c r="O988">
        <v>500</v>
      </c>
      <c r="P988">
        <v>500</v>
      </c>
      <c r="Q988">
        <v>7.5</v>
      </c>
      <c r="R988">
        <v>10</v>
      </c>
    </row>
    <row r="989" spans="1:18" x14ac:dyDescent="0.35">
      <c r="A989">
        <v>985</v>
      </c>
      <c r="B989">
        <v>30</v>
      </c>
      <c r="C989">
        <v>5</v>
      </c>
      <c r="D989">
        <v>2023</v>
      </c>
      <c r="E989" t="s">
        <v>1059</v>
      </c>
      <c r="F989" t="s">
        <v>1076</v>
      </c>
      <c r="G989" t="s">
        <v>1061</v>
      </c>
      <c r="H989" s="18">
        <v>45076</v>
      </c>
      <c r="I989" t="s">
        <v>1010</v>
      </c>
      <c r="J989" t="s">
        <v>23</v>
      </c>
      <c r="K989" t="s">
        <v>1034</v>
      </c>
      <c r="L989">
        <v>19</v>
      </c>
      <c r="M989" t="s">
        <v>26</v>
      </c>
      <c r="N989">
        <v>2</v>
      </c>
      <c r="O989">
        <v>25</v>
      </c>
      <c r="P989">
        <v>50</v>
      </c>
      <c r="Q989">
        <v>0.75</v>
      </c>
      <c r="R989">
        <v>1</v>
      </c>
    </row>
    <row r="990" spans="1:18" x14ac:dyDescent="0.35">
      <c r="A990">
        <v>986</v>
      </c>
      <c r="B990">
        <v>17</v>
      </c>
      <c r="C990">
        <v>1</v>
      </c>
      <c r="D990">
        <v>2023</v>
      </c>
      <c r="E990" t="s">
        <v>1059</v>
      </c>
      <c r="F990" t="s">
        <v>1060</v>
      </c>
      <c r="G990" t="s">
        <v>1061</v>
      </c>
      <c r="H990" s="18">
        <v>44943</v>
      </c>
      <c r="I990" t="s">
        <v>1011</v>
      </c>
      <c r="J990" t="s">
        <v>23</v>
      </c>
      <c r="K990" t="s">
        <v>1030</v>
      </c>
      <c r="L990">
        <v>49</v>
      </c>
      <c r="M990" t="s">
        <v>24</v>
      </c>
      <c r="N990">
        <v>2</v>
      </c>
      <c r="O990">
        <v>500</v>
      </c>
      <c r="P990">
        <v>1000</v>
      </c>
      <c r="Q990">
        <v>15</v>
      </c>
      <c r="R990">
        <v>20</v>
      </c>
    </row>
    <row r="991" spans="1:18" x14ac:dyDescent="0.35">
      <c r="A991">
        <v>987</v>
      </c>
      <c r="B991">
        <v>29</v>
      </c>
      <c r="C991">
        <v>4</v>
      </c>
      <c r="D991">
        <v>2023</v>
      </c>
      <c r="E991" t="s">
        <v>1075</v>
      </c>
      <c r="F991" t="s">
        <v>1077</v>
      </c>
      <c r="G991" t="s">
        <v>1061</v>
      </c>
      <c r="H991" s="18">
        <v>45045</v>
      </c>
      <c r="I991" t="s">
        <v>1012</v>
      </c>
      <c r="J991" t="s">
        <v>23</v>
      </c>
      <c r="K991" t="s">
        <v>1030</v>
      </c>
      <c r="L991">
        <v>30</v>
      </c>
      <c r="M991" t="s">
        <v>24</v>
      </c>
      <c r="N991">
        <v>3</v>
      </c>
      <c r="O991">
        <v>300</v>
      </c>
      <c r="P991">
        <v>900</v>
      </c>
      <c r="Q991">
        <v>13.5</v>
      </c>
      <c r="R991">
        <v>18</v>
      </c>
    </row>
    <row r="992" spans="1:18" x14ac:dyDescent="0.35">
      <c r="A992">
        <v>988</v>
      </c>
      <c r="B992">
        <v>28</v>
      </c>
      <c r="C992">
        <v>5</v>
      </c>
      <c r="D992">
        <v>2023</v>
      </c>
      <c r="E992" t="s">
        <v>1063</v>
      </c>
      <c r="F992" t="s">
        <v>1076</v>
      </c>
      <c r="G992" t="s">
        <v>1061</v>
      </c>
      <c r="H992" s="18">
        <v>45074</v>
      </c>
      <c r="I992" t="s">
        <v>1013</v>
      </c>
      <c r="J992" t="s">
        <v>23</v>
      </c>
      <c r="K992" t="s">
        <v>1032</v>
      </c>
      <c r="L992">
        <v>63</v>
      </c>
      <c r="M992" t="s">
        <v>24</v>
      </c>
      <c r="N992">
        <v>3</v>
      </c>
      <c r="O992">
        <v>25</v>
      </c>
      <c r="P992">
        <v>75</v>
      </c>
      <c r="Q992">
        <v>1.125</v>
      </c>
      <c r="R992">
        <v>1.5</v>
      </c>
    </row>
    <row r="993" spans="1:18" x14ac:dyDescent="0.35">
      <c r="A993">
        <v>989</v>
      </c>
      <c r="B993">
        <v>28</v>
      </c>
      <c r="C993">
        <v>12</v>
      </c>
      <c r="D993">
        <v>2023</v>
      </c>
      <c r="E993" t="s">
        <v>1072</v>
      </c>
      <c r="F993" t="s">
        <v>1062</v>
      </c>
      <c r="G993" t="s">
        <v>1061</v>
      </c>
      <c r="H993" s="18">
        <v>45288</v>
      </c>
      <c r="I993" t="s">
        <v>1014</v>
      </c>
      <c r="J993" t="s">
        <v>23</v>
      </c>
      <c r="K993" t="s">
        <v>1030</v>
      </c>
      <c r="L993">
        <v>44</v>
      </c>
      <c r="M993" t="s">
        <v>26</v>
      </c>
      <c r="N993">
        <v>1</v>
      </c>
      <c r="O993">
        <v>25</v>
      </c>
      <c r="P993">
        <v>25</v>
      </c>
      <c r="Q993">
        <v>0.375</v>
      </c>
      <c r="R993">
        <v>0.5</v>
      </c>
    </row>
    <row r="994" spans="1:18" x14ac:dyDescent="0.35">
      <c r="A994">
        <v>990</v>
      </c>
      <c r="B994">
        <v>25</v>
      </c>
      <c r="C994">
        <v>5</v>
      </c>
      <c r="D994">
        <v>2023</v>
      </c>
      <c r="E994" t="s">
        <v>1072</v>
      </c>
      <c r="F994" t="s">
        <v>1076</v>
      </c>
      <c r="G994" t="s">
        <v>1061</v>
      </c>
      <c r="H994" s="18">
        <v>45071</v>
      </c>
      <c r="I994" t="s">
        <v>1015</v>
      </c>
      <c r="J994" t="s">
        <v>23</v>
      </c>
      <c r="K994" t="s">
        <v>1032</v>
      </c>
      <c r="L994">
        <v>58</v>
      </c>
      <c r="M994" t="s">
        <v>21</v>
      </c>
      <c r="N994">
        <v>2</v>
      </c>
      <c r="O994">
        <v>500</v>
      </c>
      <c r="P994">
        <v>1000</v>
      </c>
      <c r="Q994">
        <v>15</v>
      </c>
      <c r="R994">
        <v>20</v>
      </c>
    </row>
    <row r="995" spans="1:18" x14ac:dyDescent="0.35">
      <c r="A995">
        <v>991</v>
      </c>
      <c r="B995">
        <v>26</v>
      </c>
      <c r="C995">
        <v>12</v>
      </c>
      <c r="D995">
        <v>2023</v>
      </c>
      <c r="E995" t="s">
        <v>1059</v>
      </c>
      <c r="F995" t="s">
        <v>1062</v>
      </c>
      <c r="G995" t="s">
        <v>1061</v>
      </c>
      <c r="H995" s="18">
        <v>45286</v>
      </c>
      <c r="I995" t="s">
        <v>1016</v>
      </c>
      <c r="J995" t="s">
        <v>23</v>
      </c>
      <c r="K995" t="s">
        <v>1030</v>
      </c>
      <c r="L995">
        <v>34</v>
      </c>
      <c r="M995" t="s">
        <v>24</v>
      </c>
      <c r="N995">
        <v>2</v>
      </c>
      <c r="O995">
        <v>50</v>
      </c>
      <c r="P995">
        <v>100</v>
      </c>
      <c r="Q995">
        <v>1.5</v>
      </c>
      <c r="R995">
        <v>2</v>
      </c>
    </row>
    <row r="996" spans="1:18" x14ac:dyDescent="0.35">
      <c r="A996">
        <v>992</v>
      </c>
      <c r="B996">
        <v>21</v>
      </c>
      <c r="C996">
        <v>8</v>
      </c>
      <c r="D996">
        <v>2023</v>
      </c>
      <c r="E996" t="s">
        <v>1067</v>
      </c>
      <c r="F996" t="s">
        <v>1074</v>
      </c>
      <c r="G996" t="s">
        <v>1061</v>
      </c>
      <c r="H996" s="18">
        <v>45159</v>
      </c>
      <c r="I996" t="s">
        <v>1017</v>
      </c>
      <c r="J996" t="s">
        <v>23</v>
      </c>
      <c r="K996" t="s">
        <v>1032</v>
      </c>
      <c r="L996">
        <v>57</v>
      </c>
      <c r="M996" t="s">
        <v>26</v>
      </c>
      <c r="N996">
        <v>2</v>
      </c>
      <c r="O996">
        <v>30</v>
      </c>
      <c r="P996">
        <v>60</v>
      </c>
      <c r="Q996">
        <v>0.89999999999999991</v>
      </c>
      <c r="R996">
        <v>1.2</v>
      </c>
    </row>
    <row r="997" spans="1:18" x14ac:dyDescent="0.35">
      <c r="A997">
        <v>993</v>
      </c>
      <c r="B997">
        <v>6</v>
      </c>
      <c r="C997">
        <v>2</v>
      </c>
      <c r="D997">
        <v>2023</v>
      </c>
      <c r="E997" t="s">
        <v>1067</v>
      </c>
      <c r="F997" t="s">
        <v>1073</v>
      </c>
      <c r="G997" t="s">
        <v>1061</v>
      </c>
      <c r="H997" s="18">
        <v>44963</v>
      </c>
      <c r="I997" t="s">
        <v>1018</v>
      </c>
      <c r="J997" t="s">
        <v>23</v>
      </c>
      <c r="K997" t="s">
        <v>1030</v>
      </c>
      <c r="L997">
        <v>48</v>
      </c>
      <c r="M997" t="s">
        <v>26</v>
      </c>
      <c r="N997">
        <v>3</v>
      </c>
      <c r="O997">
        <v>50</v>
      </c>
      <c r="P997">
        <v>150</v>
      </c>
      <c r="Q997">
        <v>2.25</v>
      </c>
      <c r="R997">
        <v>3</v>
      </c>
    </row>
    <row r="998" spans="1:18" x14ac:dyDescent="0.35">
      <c r="A998">
        <v>994</v>
      </c>
      <c r="B998">
        <v>18</v>
      </c>
      <c r="C998">
        <v>12</v>
      </c>
      <c r="D998">
        <v>2023</v>
      </c>
      <c r="E998" t="s">
        <v>1067</v>
      </c>
      <c r="F998" t="s">
        <v>1062</v>
      </c>
      <c r="G998" t="s">
        <v>1061</v>
      </c>
      <c r="H998" s="18">
        <v>45278</v>
      </c>
      <c r="I998" t="s">
        <v>1019</v>
      </c>
      <c r="J998" t="s">
        <v>23</v>
      </c>
      <c r="K998" t="s">
        <v>1032</v>
      </c>
      <c r="L998">
        <v>51</v>
      </c>
      <c r="M998" t="s">
        <v>21</v>
      </c>
      <c r="N998">
        <v>2</v>
      </c>
      <c r="O998">
        <v>500</v>
      </c>
      <c r="P998">
        <v>1000</v>
      </c>
      <c r="Q998">
        <v>15</v>
      </c>
      <c r="R998">
        <v>20</v>
      </c>
    </row>
    <row r="999" spans="1:18" x14ac:dyDescent="0.35">
      <c r="A999">
        <v>995</v>
      </c>
      <c r="B999">
        <v>30</v>
      </c>
      <c r="C999">
        <v>4</v>
      </c>
      <c r="D999">
        <v>2023</v>
      </c>
      <c r="E999" t="s">
        <v>1063</v>
      </c>
      <c r="F999" t="s">
        <v>1077</v>
      </c>
      <c r="G999" t="s">
        <v>1061</v>
      </c>
      <c r="H999" s="18">
        <v>45046</v>
      </c>
      <c r="I999" t="s">
        <v>1020</v>
      </c>
      <c r="J999" t="s">
        <v>23</v>
      </c>
      <c r="K999" t="s">
        <v>1030</v>
      </c>
      <c r="L999">
        <v>41</v>
      </c>
      <c r="M999" t="s">
        <v>24</v>
      </c>
      <c r="N999">
        <v>1</v>
      </c>
      <c r="O999">
        <v>30</v>
      </c>
      <c r="P999">
        <v>30</v>
      </c>
      <c r="Q999">
        <v>0.44999999999999996</v>
      </c>
      <c r="R999">
        <v>0.6</v>
      </c>
    </row>
    <row r="1000" spans="1:18" x14ac:dyDescent="0.35">
      <c r="A1000">
        <v>996</v>
      </c>
      <c r="B1000">
        <v>16</v>
      </c>
      <c r="C1000">
        <v>5</v>
      </c>
      <c r="D1000">
        <v>2023</v>
      </c>
      <c r="E1000" t="s">
        <v>1059</v>
      </c>
      <c r="F1000" t="s">
        <v>1076</v>
      </c>
      <c r="G1000" t="s">
        <v>1061</v>
      </c>
      <c r="H1000" s="18">
        <v>45062</v>
      </c>
      <c r="I1000" t="s">
        <v>1021</v>
      </c>
      <c r="J1000" t="s">
        <v>20</v>
      </c>
      <c r="K1000" t="s">
        <v>1032</v>
      </c>
      <c r="L1000">
        <v>62</v>
      </c>
      <c r="M1000" t="s">
        <v>24</v>
      </c>
      <c r="N1000">
        <v>1</v>
      </c>
      <c r="O1000">
        <v>50</v>
      </c>
      <c r="P1000">
        <v>50</v>
      </c>
      <c r="Q1000">
        <v>0.75</v>
      </c>
      <c r="R1000">
        <v>1</v>
      </c>
    </row>
    <row r="1001" spans="1:18" x14ac:dyDescent="0.35">
      <c r="A1001">
        <v>997</v>
      </c>
      <c r="B1001">
        <v>17</v>
      </c>
      <c r="C1001">
        <v>11</v>
      </c>
      <c r="D1001">
        <v>2023</v>
      </c>
      <c r="E1001" t="s">
        <v>1070</v>
      </c>
      <c r="F1001" t="s">
        <v>1068</v>
      </c>
      <c r="G1001" t="s">
        <v>1061</v>
      </c>
      <c r="H1001" s="18">
        <v>45247</v>
      </c>
      <c r="I1001" t="s">
        <v>1022</v>
      </c>
      <c r="J1001" t="s">
        <v>20</v>
      </c>
      <c r="K1001" t="s">
        <v>1032</v>
      </c>
      <c r="L1001">
        <v>52</v>
      </c>
      <c r="M1001" t="s">
        <v>21</v>
      </c>
      <c r="N1001">
        <v>3</v>
      </c>
      <c r="O1001">
        <v>30</v>
      </c>
      <c r="P1001">
        <v>90</v>
      </c>
      <c r="Q1001">
        <v>1.3499999999999999</v>
      </c>
      <c r="R1001">
        <v>1.8</v>
      </c>
    </row>
    <row r="1002" spans="1:18" x14ac:dyDescent="0.35">
      <c r="A1002">
        <v>998</v>
      </c>
      <c r="B1002">
        <v>29</v>
      </c>
      <c r="C1002">
        <v>10</v>
      </c>
      <c r="D1002">
        <v>2023</v>
      </c>
      <c r="E1002" t="s">
        <v>1063</v>
      </c>
      <c r="F1002" t="s">
        <v>1064</v>
      </c>
      <c r="G1002" t="s">
        <v>1061</v>
      </c>
      <c r="H1002" s="18">
        <v>45228</v>
      </c>
      <c r="I1002" t="s">
        <v>1023</v>
      </c>
      <c r="J1002" t="s">
        <v>23</v>
      </c>
      <c r="K1002" t="s">
        <v>1034</v>
      </c>
      <c r="L1002">
        <v>23</v>
      </c>
      <c r="M1002" t="s">
        <v>21</v>
      </c>
      <c r="N1002">
        <v>4</v>
      </c>
      <c r="O1002">
        <v>25</v>
      </c>
      <c r="P1002">
        <v>100</v>
      </c>
      <c r="Q1002">
        <v>1.5</v>
      </c>
      <c r="R1002">
        <v>2</v>
      </c>
    </row>
    <row r="1003" spans="1:18" x14ac:dyDescent="0.35">
      <c r="A1003">
        <v>999</v>
      </c>
      <c r="B1003">
        <v>5</v>
      </c>
      <c r="C1003">
        <v>12</v>
      </c>
      <c r="D1003">
        <v>2023</v>
      </c>
      <c r="E1003" t="s">
        <v>1059</v>
      </c>
      <c r="F1003" t="s">
        <v>1062</v>
      </c>
      <c r="G1003" t="s">
        <v>1061</v>
      </c>
      <c r="H1003" s="18">
        <v>45265</v>
      </c>
      <c r="I1003" t="s">
        <v>1024</v>
      </c>
      <c r="J1003" t="s">
        <v>23</v>
      </c>
      <c r="K1003" t="s">
        <v>1030</v>
      </c>
      <c r="L1003">
        <v>36</v>
      </c>
      <c r="M1003" t="s">
        <v>26</v>
      </c>
      <c r="N1003">
        <v>3</v>
      </c>
      <c r="O1003">
        <v>50</v>
      </c>
      <c r="P1003">
        <v>150</v>
      </c>
      <c r="Q1003">
        <v>2.25</v>
      </c>
      <c r="R1003">
        <v>3</v>
      </c>
    </row>
    <row r="1004" spans="1:18" x14ac:dyDescent="0.35">
      <c r="A1004">
        <v>1000</v>
      </c>
      <c r="B1004">
        <v>12</v>
      </c>
      <c r="C1004">
        <v>4</v>
      </c>
      <c r="D1004">
        <v>2023</v>
      </c>
      <c r="E1004" t="s">
        <v>1065</v>
      </c>
      <c r="F1004" t="s">
        <v>1077</v>
      </c>
      <c r="G1004" t="s">
        <v>1061</v>
      </c>
      <c r="H1004" s="18">
        <v>45028</v>
      </c>
      <c r="I1004" t="s">
        <v>1025</v>
      </c>
      <c r="J1004" t="s">
        <v>20</v>
      </c>
      <c r="K1004" t="s">
        <v>1030</v>
      </c>
      <c r="L1004">
        <v>47</v>
      </c>
      <c r="M1004" t="s">
        <v>26</v>
      </c>
      <c r="N1004">
        <v>4</v>
      </c>
      <c r="O1004">
        <v>30</v>
      </c>
      <c r="P1004">
        <v>120</v>
      </c>
      <c r="Q1004">
        <v>1.7999999999999998</v>
      </c>
      <c r="R1004">
        <v>2.4</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D35B-A9C9-4C0F-ABA2-C19F7F493FC2}">
  <sheetPr>
    <tabColor theme="8"/>
  </sheetPr>
  <dimension ref="A2:S674"/>
  <sheetViews>
    <sheetView workbookViewId="0">
      <selection activeCell="K10" sqref="K10"/>
    </sheetView>
  </sheetViews>
  <sheetFormatPr defaultRowHeight="15.5" x14ac:dyDescent="0.35"/>
  <cols>
    <col min="1" max="1" width="15.08203125" bestFit="1" customWidth="1"/>
    <col min="5" max="5" width="11.33203125" bestFit="1" customWidth="1"/>
    <col min="6" max="6" width="13.75" bestFit="1" customWidth="1"/>
    <col min="7" max="7" width="11.83203125" bestFit="1" customWidth="1"/>
    <col min="8" max="8" width="10.58203125" bestFit="1" customWidth="1"/>
    <col min="9" max="9" width="13.25" bestFit="1" customWidth="1"/>
    <col min="10" max="10" width="16.33203125" customWidth="1"/>
    <col min="11" max="11" width="11.75" style="46" customWidth="1"/>
    <col min="13" max="13" width="17.5" bestFit="1" customWidth="1"/>
    <col min="14" max="14" width="10.33203125" bestFit="1" customWidth="1"/>
    <col min="15" max="15" width="14.33203125" bestFit="1" customWidth="1"/>
    <col min="16" max="16" width="11.83203125" bestFit="1" customWidth="1"/>
    <col min="17" max="18" width="17.75" bestFit="1" customWidth="1"/>
    <col min="19" max="19" width="21" customWidth="1"/>
    <col min="20" max="20" width="25.75" customWidth="1"/>
    <col min="21" max="21" width="14.08203125" customWidth="1"/>
  </cols>
  <sheetData>
    <row r="2" spans="1:19" x14ac:dyDescent="0.35">
      <c r="A2" s="1"/>
      <c r="I2" s="67" t="s">
        <v>1052</v>
      </c>
      <c r="J2" s="68"/>
      <c r="K2" s="69">
        <f>SUM(Q:Q)</f>
        <v>4800.0000000000018</v>
      </c>
    </row>
    <row r="3" spans="1:19" x14ac:dyDescent="0.35">
      <c r="A3" s="1"/>
      <c r="I3" s="70"/>
      <c r="J3" s="71"/>
      <c r="K3" s="72"/>
    </row>
    <row r="4" spans="1:19" x14ac:dyDescent="0.35">
      <c r="A4" s="1"/>
      <c r="I4" s="70" t="s">
        <v>1053</v>
      </c>
      <c r="J4" s="71"/>
      <c r="K4" s="72">
        <f>SUM(R:R)</f>
        <v>6400.0000000000027</v>
      </c>
    </row>
    <row r="5" spans="1:19" x14ac:dyDescent="0.35">
      <c r="A5" s="1"/>
      <c r="I5" s="70"/>
      <c r="J5" s="71"/>
      <c r="K5" s="72"/>
    </row>
    <row r="6" spans="1:19" x14ac:dyDescent="0.35">
      <c r="A6" s="1"/>
      <c r="I6" s="70" t="s">
        <v>1054</v>
      </c>
      <c r="J6" s="71"/>
      <c r="K6" s="72">
        <f>SUM(K2+K4)</f>
        <v>11200.000000000004</v>
      </c>
    </row>
    <row r="7" spans="1:19" x14ac:dyDescent="0.35">
      <c r="A7" s="1"/>
      <c r="I7" s="70"/>
      <c r="J7" s="71"/>
      <c r="K7" s="72"/>
    </row>
    <row r="8" spans="1:19" x14ac:dyDescent="0.35">
      <c r="I8" s="73" t="s">
        <v>1055</v>
      </c>
      <c r="J8" s="71"/>
      <c r="K8" s="72">
        <f>AVERAGE(Q:Q)</f>
        <v>7.2507552870090661</v>
      </c>
    </row>
    <row r="9" spans="1:19" x14ac:dyDescent="0.35">
      <c r="I9" s="70"/>
      <c r="J9" s="71"/>
      <c r="K9" s="72"/>
    </row>
    <row r="10" spans="1:19" x14ac:dyDescent="0.35">
      <c r="I10" s="74" t="s">
        <v>1056</v>
      </c>
      <c r="J10" s="75"/>
      <c r="K10" s="76">
        <f>AVERAGE(R:R)</f>
        <v>9.6676737160120894</v>
      </c>
    </row>
    <row r="12" spans="1:19" x14ac:dyDescent="0.35">
      <c r="A12" t="s">
        <v>0</v>
      </c>
      <c r="B12" t="s">
        <v>1</v>
      </c>
      <c r="C12" t="s">
        <v>2</v>
      </c>
      <c r="D12" t="s">
        <v>3</v>
      </c>
      <c r="E12" t="s">
        <v>4</v>
      </c>
      <c r="F12" t="s">
        <v>5</v>
      </c>
      <c r="G12" t="s">
        <v>6</v>
      </c>
      <c r="H12" t="s">
        <v>7</v>
      </c>
      <c r="I12" t="s">
        <v>8</v>
      </c>
      <c r="J12" t="s">
        <v>9</v>
      </c>
      <c r="K12" s="46" t="s">
        <v>1057</v>
      </c>
      <c r="L12" t="s">
        <v>11</v>
      </c>
      <c r="M12" t="s">
        <v>12</v>
      </c>
      <c r="N12" t="s">
        <v>13</v>
      </c>
      <c r="O12" t="s">
        <v>14</v>
      </c>
      <c r="P12" t="s">
        <v>15</v>
      </c>
      <c r="Q12" t="s">
        <v>16</v>
      </c>
      <c r="R12" t="s">
        <v>17</v>
      </c>
      <c r="S12" t="s">
        <v>1058</v>
      </c>
    </row>
    <row r="13" spans="1:19" x14ac:dyDescent="0.35">
      <c r="A13">
        <v>1</v>
      </c>
      <c r="B13">
        <v>24</v>
      </c>
      <c r="C13">
        <v>11</v>
      </c>
      <c r="D13">
        <v>2023</v>
      </c>
      <c r="E13" t="s">
        <v>1070</v>
      </c>
      <c r="F13" t="s">
        <v>1068</v>
      </c>
      <c r="G13" t="s">
        <v>1061</v>
      </c>
      <c r="H13" s="18">
        <v>45254</v>
      </c>
      <c r="I13" t="s">
        <v>19</v>
      </c>
      <c r="J13" t="s">
        <v>20</v>
      </c>
      <c r="K13" s="46" t="s">
        <v>1030</v>
      </c>
      <c r="L13">
        <v>34</v>
      </c>
      <c r="M13" t="s">
        <v>21</v>
      </c>
      <c r="N13">
        <v>3</v>
      </c>
      <c r="O13">
        <v>50</v>
      </c>
      <c r="P13">
        <v>150</v>
      </c>
      <c r="Q13">
        <v>2.25</v>
      </c>
      <c r="R13">
        <v>3</v>
      </c>
    </row>
    <row r="14" spans="1:19" x14ac:dyDescent="0.35">
      <c r="A14">
        <v>2</v>
      </c>
      <c r="B14">
        <v>27</v>
      </c>
      <c r="C14">
        <v>2</v>
      </c>
      <c r="D14">
        <v>2023</v>
      </c>
      <c r="E14" t="s">
        <v>1067</v>
      </c>
      <c r="F14" t="s">
        <v>1073</v>
      </c>
      <c r="G14" t="s">
        <v>1061</v>
      </c>
      <c r="H14" s="18">
        <v>44984</v>
      </c>
      <c r="I14" t="s">
        <v>22</v>
      </c>
      <c r="J14" t="s">
        <v>23</v>
      </c>
      <c r="K14" s="46" t="s">
        <v>1034</v>
      </c>
      <c r="L14">
        <v>26</v>
      </c>
      <c r="M14" t="s">
        <v>21</v>
      </c>
      <c r="N14">
        <v>2</v>
      </c>
      <c r="O14">
        <v>500</v>
      </c>
      <c r="P14">
        <v>1000</v>
      </c>
      <c r="Q14">
        <v>15</v>
      </c>
      <c r="R14">
        <v>20</v>
      </c>
    </row>
    <row r="15" spans="1:19" x14ac:dyDescent="0.35">
      <c r="A15">
        <v>3</v>
      </c>
      <c r="B15">
        <v>13</v>
      </c>
      <c r="C15">
        <v>1</v>
      </c>
      <c r="D15">
        <v>2023</v>
      </c>
      <c r="E15" t="s">
        <v>1070</v>
      </c>
      <c r="F15" t="s">
        <v>1060</v>
      </c>
      <c r="G15" t="s">
        <v>1061</v>
      </c>
      <c r="H15" s="18">
        <v>44939</v>
      </c>
      <c r="I15" t="s">
        <v>25</v>
      </c>
      <c r="J15" t="s">
        <v>20</v>
      </c>
      <c r="K15" s="46" t="s">
        <v>1030</v>
      </c>
      <c r="L15">
        <v>50</v>
      </c>
      <c r="M15" t="s">
        <v>21</v>
      </c>
      <c r="N15">
        <v>1</v>
      </c>
      <c r="O15">
        <v>30</v>
      </c>
      <c r="P15">
        <v>30</v>
      </c>
      <c r="Q15">
        <v>0.44999999999999996</v>
      </c>
      <c r="R15">
        <v>0.6</v>
      </c>
    </row>
    <row r="16" spans="1:19" x14ac:dyDescent="0.35">
      <c r="A16">
        <v>4</v>
      </c>
      <c r="B16">
        <v>21</v>
      </c>
      <c r="C16">
        <v>5</v>
      </c>
      <c r="D16">
        <v>2023</v>
      </c>
      <c r="E16" t="s">
        <v>1063</v>
      </c>
      <c r="F16" t="s">
        <v>1076</v>
      </c>
      <c r="G16" t="s">
        <v>1061</v>
      </c>
      <c r="H16" s="18">
        <v>45067</v>
      </c>
      <c r="I16" t="s">
        <v>27</v>
      </c>
      <c r="J16" t="s">
        <v>20</v>
      </c>
      <c r="K16" s="46" t="s">
        <v>1030</v>
      </c>
      <c r="L16">
        <v>37</v>
      </c>
      <c r="M16" t="s">
        <v>21</v>
      </c>
      <c r="N16">
        <v>1</v>
      </c>
      <c r="O16">
        <v>500</v>
      </c>
      <c r="P16">
        <v>500</v>
      </c>
      <c r="Q16">
        <v>7.5</v>
      </c>
      <c r="R16">
        <v>10</v>
      </c>
    </row>
    <row r="17" spans="1:18" x14ac:dyDescent="0.35">
      <c r="A17">
        <v>5</v>
      </c>
      <c r="B17">
        <v>6</v>
      </c>
      <c r="C17">
        <v>5</v>
      </c>
      <c r="D17">
        <v>2023</v>
      </c>
      <c r="E17" t="s">
        <v>1075</v>
      </c>
      <c r="F17" t="s">
        <v>1076</v>
      </c>
      <c r="G17" t="s">
        <v>1061</v>
      </c>
      <c r="H17" s="18">
        <v>45052</v>
      </c>
      <c r="I17" t="s">
        <v>28</v>
      </c>
      <c r="J17" t="s">
        <v>20</v>
      </c>
      <c r="K17" s="46" t="s">
        <v>1030</v>
      </c>
      <c r="L17">
        <v>30</v>
      </c>
      <c r="M17" t="s">
        <v>21</v>
      </c>
      <c r="N17">
        <v>2</v>
      </c>
      <c r="O17">
        <v>50</v>
      </c>
      <c r="P17">
        <v>100</v>
      </c>
      <c r="Q17">
        <v>1.5</v>
      </c>
      <c r="R17">
        <v>2</v>
      </c>
    </row>
    <row r="18" spans="1:18" x14ac:dyDescent="0.35">
      <c r="A18">
        <v>6</v>
      </c>
      <c r="B18">
        <v>25</v>
      </c>
      <c r="C18">
        <v>4</v>
      </c>
      <c r="D18">
        <v>2023</v>
      </c>
      <c r="E18" t="s">
        <v>1059</v>
      </c>
      <c r="F18" t="s">
        <v>1077</v>
      </c>
      <c r="G18" t="s">
        <v>1061</v>
      </c>
      <c r="H18" s="18">
        <v>45041</v>
      </c>
      <c r="I18" t="s">
        <v>29</v>
      </c>
      <c r="J18" t="s">
        <v>23</v>
      </c>
      <c r="K18" s="46" t="s">
        <v>1030</v>
      </c>
      <c r="L18">
        <v>45</v>
      </c>
      <c r="M18" t="s">
        <v>21</v>
      </c>
      <c r="N18">
        <v>1</v>
      </c>
      <c r="O18">
        <v>30</v>
      </c>
      <c r="P18">
        <v>30</v>
      </c>
      <c r="Q18">
        <v>0.44999999999999996</v>
      </c>
      <c r="R18">
        <v>0.6</v>
      </c>
    </row>
    <row r="19" spans="1:18" x14ac:dyDescent="0.35">
      <c r="A19">
        <v>7</v>
      </c>
      <c r="B19">
        <v>13</v>
      </c>
      <c r="C19">
        <v>3</v>
      </c>
      <c r="D19">
        <v>2023</v>
      </c>
      <c r="E19" t="s">
        <v>1067</v>
      </c>
      <c r="F19" t="s">
        <v>1066</v>
      </c>
      <c r="G19" t="s">
        <v>1061</v>
      </c>
      <c r="H19" s="18">
        <v>44998</v>
      </c>
      <c r="I19" t="s">
        <v>30</v>
      </c>
      <c r="J19" t="s">
        <v>20</v>
      </c>
      <c r="K19" s="46" t="s">
        <v>1030</v>
      </c>
      <c r="L19">
        <v>46</v>
      </c>
      <c r="M19" t="s">
        <v>21</v>
      </c>
      <c r="N19">
        <v>2</v>
      </c>
      <c r="O19">
        <v>25</v>
      </c>
      <c r="P19">
        <v>50</v>
      </c>
      <c r="Q19">
        <v>0.75</v>
      </c>
      <c r="R19">
        <v>1</v>
      </c>
    </row>
    <row r="20" spans="1:18" x14ac:dyDescent="0.35">
      <c r="A20">
        <v>8</v>
      </c>
      <c r="B20">
        <v>22</v>
      </c>
      <c r="C20">
        <v>2</v>
      </c>
      <c r="D20">
        <v>2023</v>
      </c>
      <c r="E20" t="s">
        <v>1065</v>
      </c>
      <c r="F20" t="s">
        <v>1073</v>
      </c>
      <c r="G20" t="s">
        <v>1061</v>
      </c>
      <c r="H20" s="18">
        <v>44979</v>
      </c>
      <c r="I20" t="s">
        <v>31</v>
      </c>
      <c r="J20" t="s">
        <v>20</v>
      </c>
      <c r="K20" s="46" t="s">
        <v>1030</v>
      </c>
      <c r="L20">
        <v>30</v>
      </c>
      <c r="M20" t="s">
        <v>21</v>
      </c>
      <c r="N20">
        <v>4</v>
      </c>
      <c r="O20">
        <v>25</v>
      </c>
      <c r="P20">
        <v>100</v>
      </c>
      <c r="Q20">
        <v>1.5</v>
      </c>
      <c r="R20">
        <v>2</v>
      </c>
    </row>
    <row r="21" spans="1:18" x14ac:dyDescent="0.35">
      <c r="A21">
        <v>9</v>
      </c>
      <c r="B21">
        <v>13</v>
      </c>
      <c r="C21">
        <v>12</v>
      </c>
      <c r="D21">
        <v>2023</v>
      </c>
      <c r="E21" t="s">
        <v>1065</v>
      </c>
      <c r="F21" t="s">
        <v>1062</v>
      </c>
      <c r="G21" t="s">
        <v>1061</v>
      </c>
      <c r="H21" s="18">
        <v>45273</v>
      </c>
      <c r="I21" t="s">
        <v>32</v>
      </c>
      <c r="J21" t="s">
        <v>20</v>
      </c>
      <c r="K21" s="46" t="s">
        <v>1032</v>
      </c>
      <c r="L21">
        <v>63</v>
      </c>
      <c r="M21" t="s">
        <v>21</v>
      </c>
      <c r="N21">
        <v>2</v>
      </c>
      <c r="O21">
        <v>300</v>
      </c>
      <c r="P21">
        <v>600</v>
      </c>
      <c r="Q21">
        <v>9</v>
      </c>
      <c r="R21">
        <v>12</v>
      </c>
    </row>
    <row r="22" spans="1:18" x14ac:dyDescent="0.35">
      <c r="A22">
        <v>10</v>
      </c>
      <c r="B22">
        <v>7</v>
      </c>
      <c r="C22">
        <v>10</v>
      </c>
      <c r="D22">
        <v>2023</v>
      </c>
      <c r="E22" t="s">
        <v>1075</v>
      </c>
      <c r="F22" t="s">
        <v>1064</v>
      </c>
      <c r="G22" t="s">
        <v>1061</v>
      </c>
      <c r="H22" s="18">
        <v>45206</v>
      </c>
      <c r="I22" t="s">
        <v>33</v>
      </c>
      <c r="J22" t="s">
        <v>23</v>
      </c>
      <c r="K22" s="46" t="s">
        <v>1032</v>
      </c>
      <c r="L22">
        <v>52</v>
      </c>
      <c r="M22" t="s">
        <v>21</v>
      </c>
      <c r="N22">
        <v>4</v>
      </c>
      <c r="O22">
        <v>50</v>
      </c>
      <c r="P22">
        <v>200</v>
      </c>
      <c r="Q22">
        <v>3</v>
      </c>
      <c r="R22">
        <v>4</v>
      </c>
    </row>
    <row r="23" spans="1:18" x14ac:dyDescent="0.35">
      <c r="A23">
        <v>11</v>
      </c>
      <c r="B23">
        <v>14</v>
      </c>
      <c r="C23">
        <v>2</v>
      </c>
      <c r="D23">
        <v>2023</v>
      </c>
      <c r="E23" t="s">
        <v>1059</v>
      </c>
      <c r="F23" t="s">
        <v>1073</v>
      </c>
      <c r="G23" t="s">
        <v>1061</v>
      </c>
      <c r="H23" s="18">
        <v>44971</v>
      </c>
      <c r="I23" t="s">
        <v>34</v>
      </c>
      <c r="J23" t="s">
        <v>20</v>
      </c>
      <c r="K23" s="46" t="s">
        <v>1034</v>
      </c>
      <c r="L23">
        <v>23</v>
      </c>
      <c r="M23" t="s">
        <v>21</v>
      </c>
      <c r="N23">
        <v>2</v>
      </c>
      <c r="O23">
        <v>50</v>
      </c>
      <c r="P23">
        <v>100</v>
      </c>
      <c r="Q23">
        <v>1.5</v>
      </c>
      <c r="R23">
        <v>2</v>
      </c>
    </row>
    <row r="24" spans="1:18" x14ac:dyDescent="0.35">
      <c r="A24">
        <v>12</v>
      </c>
      <c r="B24">
        <v>30</v>
      </c>
      <c r="C24">
        <v>10</v>
      </c>
      <c r="D24">
        <v>2023</v>
      </c>
      <c r="E24" t="s">
        <v>1067</v>
      </c>
      <c r="F24" t="s">
        <v>1064</v>
      </c>
      <c r="G24" t="s">
        <v>1061</v>
      </c>
      <c r="H24" s="18">
        <v>45229</v>
      </c>
      <c r="I24" t="s">
        <v>35</v>
      </c>
      <c r="J24" t="s">
        <v>20</v>
      </c>
      <c r="K24" s="46" t="s">
        <v>1030</v>
      </c>
      <c r="L24">
        <v>35</v>
      </c>
      <c r="M24" t="s">
        <v>21</v>
      </c>
      <c r="N24">
        <v>3</v>
      </c>
      <c r="O24">
        <v>25</v>
      </c>
      <c r="P24">
        <v>75</v>
      </c>
      <c r="Q24">
        <v>1.125</v>
      </c>
      <c r="R24">
        <v>1.5</v>
      </c>
    </row>
    <row r="25" spans="1:18" x14ac:dyDescent="0.35">
      <c r="A25">
        <v>13</v>
      </c>
      <c r="B25">
        <v>5</v>
      </c>
      <c r="C25">
        <v>8</v>
      </c>
      <c r="D25">
        <v>2023</v>
      </c>
      <c r="E25" t="s">
        <v>1075</v>
      </c>
      <c r="F25" t="s">
        <v>1074</v>
      </c>
      <c r="G25" t="s">
        <v>1061</v>
      </c>
      <c r="H25" s="18">
        <v>45143</v>
      </c>
      <c r="I25" t="s">
        <v>37</v>
      </c>
      <c r="J25" t="s">
        <v>20</v>
      </c>
      <c r="K25" s="46" t="s">
        <v>1034</v>
      </c>
      <c r="L25">
        <v>22</v>
      </c>
      <c r="M25" t="s">
        <v>21</v>
      </c>
      <c r="N25">
        <v>3</v>
      </c>
      <c r="O25">
        <v>500</v>
      </c>
      <c r="P25">
        <v>1500</v>
      </c>
      <c r="Q25">
        <v>22.5</v>
      </c>
      <c r="R25">
        <v>30</v>
      </c>
    </row>
    <row r="26" spans="1:18" x14ac:dyDescent="0.35">
      <c r="A26">
        <v>14</v>
      </c>
      <c r="B26">
        <v>17</v>
      </c>
      <c r="C26">
        <v>1</v>
      </c>
      <c r="D26">
        <v>2023</v>
      </c>
      <c r="E26" t="s">
        <v>1059</v>
      </c>
      <c r="F26" t="s">
        <v>1060</v>
      </c>
      <c r="G26" t="s">
        <v>1061</v>
      </c>
      <c r="H26" s="18">
        <v>44943</v>
      </c>
      <c r="I26" t="s">
        <v>38</v>
      </c>
      <c r="J26" t="s">
        <v>20</v>
      </c>
      <c r="K26" s="46" t="s">
        <v>1032</v>
      </c>
      <c r="L26">
        <v>64</v>
      </c>
      <c r="M26" t="s">
        <v>21</v>
      </c>
      <c r="N26">
        <v>4</v>
      </c>
      <c r="O26">
        <v>30</v>
      </c>
      <c r="P26">
        <v>120</v>
      </c>
      <c r="Q26">
        <v>1.8</v>
      </c>
      <c r="R26">
        <v>2.4</v>
      </c>
    </row>
    <row r="27" spans="1:18" x14ac:dyDescent="0.35">
      <c r="A27">
        <v>15</v>
      </c>
      <c r="B27">
        <v>16</v>
      </c>
      <c r="C27">
        <v>1</v>
      </c>
      <c r="D27">
        <v>2023</v>
      </c>
      <c r="E27" t="s">
        <v>1067</v>
      </c>
      <c r="F27" t="s">
        <v>1060</v>
      </c>
      <c r="G27" t="s">
        <v>1061</v>
      </c>
      <c r="H27" s="18">
        <v>44942</v>
      </c>
      <c r="I27" t="s">
        <v>39</v>
      </c>
      <c r="J27" t="s">
        <v>23</v>
      </c>
      <c r="K27" s="46" t="s">
        <v>1030</v>
      </c>
      <c r="L27">
        <v>42</v>
      </c>
      <c r="M27" t="s">
        <v>21</v>
      </c>
      <c r="N27">
        <v>4</v>
      </c>
      <c r="O27">
        <v>500</v>
      </c>
      <c r="P27">
        <v>2000</v>
      </c>
      <c r="Q27">
        <v>30</v>
      </c>
      <c r="R27">
        <v>40</v>
      </c>
    </row>
    <row r="28" spans="1:18" x14ac:dyDescent="0.35">
      <c r="A28">
        <v>16</v>
      </c>
      <c r="B28">
        <v>17</v>
      </c>
      <c r="C28">
        <v>2</v>
      </c>
      <c r="D28">
        <v>2023</v>
      </c>
      <c r="E28" t="s">
        <v>1070</v>
      </c>
      <c r="F28" t="s">
        <v>1073</v>
      </c>
      <c r="G28" t="s">
        <v>1061</v>
      </c>
      <c r="H28" s="18">
        <v>44974</v>
      </c>
      <c r="I28" t="s">
        <v>40</v>
      </c>
      <c r="J28" t="s">
        <v>20</v>
      </c>
      <c r="K28" s="46" t="s">
        <v>1034</v>
      </c>
      <c r="L28">
        <v>19</v>
      </c>
      <c r="M28" t="s">
        <v>21</v>
      </c>
      <c r="N28">
        <v>3</v>
      </c>
      <c r="O28">
        <v>500</v>
      </c>
      <c r="P28">
        <v>1500</v>
      </c>
      <c r="Q28">
        <v>22.5</v>
      </c>
      <c r="R28">
        <v>30</v>
      </c>
    </row>
    <row r="29" spans="1:18" x14ac:dyDescent="0.35">
      <c r="A29">
        <v>17</v>
      </c>
      <c r="B29">
        <v>22</v>
      </c>
      <c r="C29">
        <v>4</v>
      </c>
      <c r="D29">
        <v>2023</v>
      </c>
      <c r="E29" t="s">
        <v>1075</v>
      </c>
      <c r="F29" t="s">
        <v>1077</v>
      </c>
      <c r="G29" t="s">
        <v>1061</v>
      </c>
      <c r="H29" s="18">
        <v>45038</v>
      </c>
      <c r="I29" t="s">
        <v>42</v>
      </c>
      <c r="J29" t="s">
        <v>23</v>
      </c>
      <c r="K29" s="46" t="s">
        <v>1034</v>
      </c>
      <c r="L29">
        <v>27</v>
      </c>
      <c r="M29" t="s">
        <v>21</v>
      </c>
      <c r="N29">
        <v>4</v>
      </c>
      <c r="O29">
        <v>25</v>
      </c>
      <c r="P29">
        <v>100</v>
      </c>
      <c r="Q29">
        <v>1.5</v>
      </c>
      <c r="R29">
        <v>2</v>
      </c>
    </row>
    <row r="30" spans="1:18" x14ac:dyDescent="0.35">
      <c r="A30">
        <v>18</v>
      </c>
      <c r="B30">
        <v>30</v>
      </c>
      <c r="C30">
        <v>4</v>
      </c>
      <c r="D30">
        <v>2023</v>
      </c>
      <c r="E30" t="s">
        <v>1063</v>
      </c>
      <c r="F30" t="s">
        <v>1077</v>
      </c>
      <c r="G30" t="s">
        <v>1061</v>
      </c>
      <c r="H30" s="18">
        <v>45046</v>
      </c>
      <c r="I30" t="s">
        <v>43</v>
      </c>
      <c r="J30" t="s">
        <v>23</v>
      </c>
      <c r="K30" s="46" t="s">
        <v>1030</v>
      </c>
      <c r="L30">
        <v>47</v>
      </c>
      <c r="M30" t="s">
        <v>21</v>
      </c>
      <c r="N30">
        <v>2</v>
      </c>
      <c r="O30">
        <v>25</v>
      </c>
      <c r="P30">
        <v>50</v>
      </c>
      <c r="Q30">
        <v>0.75</v>
      </c>
      <c r="R30">
        <v>1</v>
      </c>
    </row>
    <row r="31" spans="1:18" x14ac:dyDescent="0.35">
      <c r="A31">
        <v>19</v>
      </c>
      <c r="B31">
        <v>16</v>
      </c>
      <c r="C31">
        <v>9</v>
      </c>
      <c r="D31">
        <v>2023</v>
      </c>
      <c r="E31" t="s">
        <v>1075</v>
      </c>
      <c r="F31" t="s">
        <v>1071</v>
      </c>
      <c r="G31" t="s">
        <v>1061</v>
      </c>
      <c r="H31" s="18">
        <v>45185</v>
      </c>
      <c r="I31" t="s">
        <v>44</v>
      </c>
      <c r="J31" t="s">
        <v>23</v>
      </c>
      <c r="K31" s="46" t="s">
        <v>1032</v>
      </c>
      <c r="L31">
        <v>62</v>
      </c>
      <c r="M31" t="s">
        <v>21</v>
      </c>
      <c r="N31">
        <v>2</v>
      </c>
      <c r="O31">
        <v>25</v>
      </c>
      <c r="P31">
        <v>50</v>
      </c>
      <c r="Q31">
        <v>0.75</v>
      </c>
      <c r="R31">
        <v>1</v>
      </c>
    </row>
    <row r="32" spans="1:18" x14ac:dyDescent="0.35">
      <c r="A32">
        <v>20</v>
      </c>
      <c r="B32">
        <v>5</v>
      </c>
      <c r="C32">
        <v>11</v>
      </c>
      <c r="D32">
        <v>2023</v>
      </c>
      <c r="E32" t="s">
        <v>1063</v>
      </c>
      <c r="F32" t="s">
        <v>1068</v>
      </c>
      <c r="G32" t="s">
        <v>1061</v>
      </c>
      <c r="H32" s="18">
        <v>45235</v>
      </c>
      <c r="I32" t="s">
        <v>45</v>
      </c>
      <c r="J32" t="s">
        <v>20</v>
      </c>
      <c r="K32" s="46" t="s">
        <v>1034</v>
      </c>
      <c r="L32">
        <v>22</v>
      </c>
      <c r="M32" t="s">
        <v>21</v>
      </c>
      <c r="N32">
        <v>3</v>
      </c>
      <c r="O32">
        <v>300</v>
      </c>
      <c r="P32">
        <v>900</v>
      </c>
      <c r="Q32">
        <v>13.5</v>
      </c>
      <c r="R32">
        <v>18</v>
      </c>
    </row>
    <row r="33" spans="1:18" x14ac:dyDescent="0.35">
      <c r="A33">
        <v>21</v>
      </c>
      <c r="B33">
        <v>14</v>
      </c>
      <c r="C33">
        <v>1</v>
      </c>
      <c r="D33">
        <v>2023</v>
      </c>
      <c r="E33" t="s">
        <v>1075</v>
      </c>
      <c r="F33" t="s">
        <v>1060</v>
      </c>
      <c r="G33" t="s">
        <v>1061</v>
      </c>
      <c r="H33" s="18">
        <v>44940</v>
      </c>
      <c r="I33" t="s">
        <v>46</v>
      </c>
      <c r="J33" t="s">
        <v>23</v>
      </c>
      <c r="K33" s="46" t="s">
        <v>1030</v>
      </c>
      <c r="L33">
        <v>50</v>
      </c>
      <c r="M33" t="s">
        <v>21</v>
      </c>
      <c r="N33">
        <v>1</v>
      </c>
      <c r="O33">
        <v>500</v>
      </c>
      <c r="P33">
        <v>500</v>
      </c>
      <c r="Q33">
        <v>7.5</v>
      </c>
      <c r="R33">
        <v>10</v>
      </c>
    </row>
    <row r="34" spans="1:18" x14ac:dyDescent="0.35">
      <c r="A34">
        <v>22</v>
      </c>
      <c r="B34">
        <v>15</v>
      </c>
      <c r="C34">
        <v>10</v>
      </c>
      <c r="D34">
        <v>2023</v>
      </c>
      <c r="E34" t="s">
        <v>1063</v>
      </c>
      <c r="F34" t="s">
        <v>1064</v>
      </c>
      <c r="G34" t="s">
        <v>1061</v>
      </c>
      <c r="H34" s="18">
        <v>45214</v>
      </c>
      <c r="I34" t="s">
        <v>47</v>
      </c>
      <c r="J34" t="s">
        <v>20</v>
      </c>
      <c r="K34" s="46" t="s">
        <v>1034</v>
      </c>
      <c r="L34">
        <v>18</v>
      </c>
      <c r="M34" t="s">
        <v>21</v>
      </c>
      <c r="N34">
        <v>2</v>
      </c>
      <c r="O34">
        <v>50</v>
      </c>
      <c r="P34">
        <v>100</v>
      </c>
      <c r="Q34">
        <v>1.5</v>
      </c>
      <c r="R34">
        <v>2</v>
      </c>
    </row>
    <row r="35" spans="1:18" x14ac:dyDescent="0.35">
      <c r="A35">
        <v>23</v>
      </c>
      <c r="B35">
        <v>12</v>
      </c>
      <c r="C35">
        <v>4</v>
      </c>
      <c r="D35">
        <v>2023</v>
      </c>
      <c r="E35" t="s">
        <v>1065</v>
      </c>
      <c r="F35" t="s">
        <v>1077</v>
      </c>
      <c r="G35" t="s">
        <v>1061</v>
      </c>
      <c r="H35" s="18">
        <v>45028</v>
      </c>
      <c r="I35" t="s">
        <v>48</v>
      </c>
      <c r="J35" t="s">
        <v>23</v>
      </c>
      <c r="K35" s="46" t="s">
        <v>1030</v>
      </c>
      <c r="L35">
        <v>35</v>
      </c>
      <c r="M35" t="s">
        <v>21</v>
      </c>
      <c r="N35">
        <v>4</v>
      </c>
      <c r="O35">
        <v>30</v>
      </c>
      <c r="P35">
        <v>120</v>
      </c>
      <c r="Q35">
        <v>1.7999999999999998</v>
      </c>
      <c r="R35">
        <v>2.4</v>
      </c>
    </row>
    <row r="36" spans="1:18" x14ac:dyDescent="0.35">
      <c r="A36">
        <v>24</v>
      </c>
      <c r="B36">
        <v>29</v>
      </c>
      <c r="C36">
        <v>11</v>
      </c>
      <c r="D36">
        <v>2023</v>
      </c>
      <c r="E36" t="s">
        <v>1065</v>
      </c>
      <c r="F36" t="s">
        <v>1068</v>
      </c>
      <c r="G36" t="s">
        <v>1061</v>
      </c>
      <c r="H36" s="18">
        <v>45259</v>
      </c>
      <c r="I36" t="s">
        <v>49</v>
      </c>
      <c r="J36" t="s">
        <v>23</v>
      </c>
      <c r="K36" s="46" t="s">
        <v>1030</v>
      </c>
      <c r="L36">
        <v>49</v>
      </c>
      <c r="M36" t="s">
        <v>21</v>
      </c>
      <c r="N36">
        <v>1</v>
      </c>
      <c r="O36">
        <v>300</v>
      </c>
      <c r="P36">
        <v>300</v>
      </c>
      <c r="Q36">
        <v>4.5</v>
      </c>
      <c r="R36">
        <v>6</v>
      </c>
    </row>
    <row r="37" spans="1:18" x14ac:dyDescent="0.35">
      <c r="A37">
        <v>25</v>
      </c>
      <c r="B37">
        <v>26</v>
      </c>
      <c r="C37">
        <v>12</v>
      </c>
      <c r="D37">
        <v>2023</v>
      </c>
      <c r="E37" t="s">
        <v>1059</v>
      </c>
      <c r="F37" t="s">
        <v>1062</v>
      </c>
      <c r="G37" t="s">
        <v>1061</v>
      </c>
      <c r="H37" s="18">
        <v>45286</v>
      </c>
      <c r="I37" t="s">
        <v>50</v>
      </c>
      <c r="J37" t="s">
        <v>23</v>
      </c>
      <c r="K37" s="46" t="s">
        <v>1032</v>
      </c>
      <c r="L37">
        <v>64</v>
      </c>
      <c r="M37" t="s">
        <v>21</v>
      </c>
      <c r="N37">
        <v>1</v>
      </c>
      <c r="O37">
        <v>50</v>
      </c>
      <c r="P37">
        <v>50</v>
      </c>
      <c r="Q37">
        <v>0.75</v>
      </c>
      <c r="R37">
        <v>1</v>
      </c>
    </row>
    <row r="38" spans="1:18" x14ac:dyDescent="0.35">
      <c r="A38">
        <v>26</v>
      </c>
      <c r="B38">
        <v>7</v>
      </c>
      <c r="C38">
        <v>10</v>
      </c>
      <c r="D38">
        <v>2023</v>
      </c>
      <c r="E38" t="s">
        <v>1075</v>
      </c>
      <c r="F38" t="s">
        <v>1064</v>
      </c>
      <c r="G38" t="s">
        <v>1061</v>
      </c>
      <c r="H38" s="18">
        <v>45206</v>
      </c>
      <c r="I38" t="s">
        <v>51</v>
      </c>
      <c r="J38" t="s">
        <v>23</v>
      </c>
      <c r="K38" s="46" t="s">
        <v>1034</v>
      </c>
      <c r="L38">
        <v>28</v>
      </c>
      <c r="M38" t="s">
        <v>21</v>
      </c>
      <c r="N38">
        <v>2</v>
      </c>
      <c r="O38">
        <v>500</v>
      </c>
      <c r="P38">
        <v>1000</v>
      </c>
      <c r="Q38">
        <v>15</v>
      </c>
      <c r="R38">
        <v>20</v>
      </c>
    </row>
    <row r="39" spans="1:18" x14ac:dyDescent="0.35">
      <c r="A39">
        <v>27</v>
      </c>
      <c r="B39">
        <v>3</v>
      </c>
      <c r="C39">
        <v>8</v>
      </c>
      <c r="D39">
        <v>2023</v>
      </c>
      <c r="E39" t="s">
        <v>1072</v>
      </c>
      <c r="F39" t="s">
        <v>1074</v>
      </c>
      <c r="G39" t="s">
        <v>1061</v>
      </c>
      <c r="H39" s="18">
        <v>45141</v>
      </c>
      <c r="I39" t="s">
        <v>52</v>
      </c>
      <c r="J39" t="s">
        <v>23</v>
      </c>
      <c r="K39" s="46" t="s">
        <v>1030</v>
      </c>
      <c r="L39">
        <v>38</v>
      </c>
      <c r="M39" t="s">
        <v>21</v>
      </c>
      <c r="N39">
        <v>2</v>
      </c>
      <c r="O39">
        <v>25</v>
      </c>
      <c r="P39">
        <v>50</v>
      </c>
      <c r="Q39">
        <v>0.75</v>
      </c>
      <c r="R39">
        <v>1</v>
      </c>
    </row>
    <row r="40" spans="1:18" x14ac:dyDescent="0.35">
      <c r="A40">
        <v>28</v>
      </c>
      <c r="B40">
        <v>23</v>
      </c>
      <c r="C40">
        <v>4</v>
      </c>
      <c r="D40">
        <v>2023</v>
      </c>
      <c r="E40" t="s">
        <v>1063</v>
      </c>
      <c r="F40" t="s">
        <v>1077</v>
      </c>
      <c r="G40" t="s">
        <v>1061</v>
      </c>
      <c r="H40" s="18">
        <v>45039</v>
      </c>
      <c r="I40" t="s">
        <v>53</v>
      </c>
      <c r="J40" t="s">
        <v>23</v>
      </c>
      <c r="K40" s="46" t="s">
        <v>1030</v>
      </c>
      <c r="L40">
        <v>43</v>
      </c>
      <c r="M40" t="s">
        <v>21</v>
      </c>
      <c r="N40">
        <v>1</v>
      </c>
      <c r="O40">
        <v>500</v>
      </c>
      <c r="P40">
        <v>500</v>
      </c>
      <c r="Q40">
        <v>7.5</v>
      </c>
      <c r="R40">
        <v>10</v>
      </c>
    </row>
    <row r="41" spans="1:18" x14ac:dyDescent="0.35">
      <c r="A41">
        <v>29</v>
      </c>
      <c r="B41">
        <v>18</v>
      </c>
      <c r="C41">
        <v>8</v>
      </c>
      <c r="D41">
        <v>2023</v>
      </c>
      <c r="E41" t="s">
        <v>1070</v>
      </c>
      <c r="F41" t="s">
        <v>1074</v>
      </c>
      <c r="G41" t="s">
        <v>1061</v>
      </c>
      <c r="H41" s="18">
        <v>45156</v>
      </c>
      <c r="I41" t="s">
        <v>54</v>
      </c>
      <c r="J41" t="s">
        <v>23</v>
      </c>
      <c r="K41" s="46" t="s">
        <v>1030</v>
      </c>
      <c r="L41">
        <v>42</v>
      </c>
      <c r="M41" t="s">
        <v>21</v>
      </c>
      <c r="N41">
        <v>1</v>
      </c>
      <c r="O41">
        <v>30</v>
      </c>
      <c r="P41">
        <v>30</v>
      </c>
      <c r="Q41">
        <v>0.44999999999999996</v>
      </c>
      <c r="R41">
        <v>0.6</v>
      </c>
    </row>
    <row r="42" spans="1:18" x14ac:dyDescent="0.35">
      <c r="A42">
        <v>30</v>
      </c>
      <c r="B42">
        <v>29</v>
      </c>
      <c r="C42">
        <v>10</v>
      </c>
      <c r="D42">
        <v>2023</v>
      </c>
      <c r="E42" t="s">
        <v>1063</v>
      </c>
      <c r="F42" t="s">
        <v>1064</v>
      </c>
      <c r="G42" t="s">
        <v>1061</v>
      </c>
      <c r="H42" s="18">
        <v>45228</v>
      </c>
      <c r="I42" t="s">
        <v>55</v>
      </c>
      <c r="J42" t="s">
        <v>23</v>
      </c>
      <c r="K42" s="46" t="s">
        <v>1030</v>
      </c>
      <c r="L42">
        <v>39</v>
      </c>
      <c r="M42" t="s">
        <v>21</v>
      </c>
      <c r="N42">
        <v>3</v>
      </c>
      <c r="O42">
        <v>300</v>
      </c>
      <c r="P42">
        <v>900</v>
      </c>
      <c r="Q42">
        <v>13.5</v>
      </c>
      <c r="R42">
        <v>18</v>
      </c>
    </row>
    <row r="43" spans="1:18" x14ac:dyDescent="0.35">
      <c r="A43">
        <v>31</v>
      </c>
      <c r="B43">
        <v>23</v>
      </c>
      <c r="C43">
        <v>5</v>
      </c>
      <c r="D43">
        <v>2023</v>
      </c>
      <c r="E43" t="s">
        <v>1059</v>
      </c>
      <c r="F43" t="s">
        <v>1076</v>
      </c>
      <c r="G43" t="s">
        <v>1061</v>
      </c>
      <c r="H43" s="18">
        <v>45069</v>
      </c>
      <c r="I43" t="s">
        <v>56</v>
      </c>
      <c r="J43" t="s">
        <v>20</v>
      </c>
      <c r="K43" s="46" t="s">
        <v>1030</v>
      </c>
      <c r="L43">
        <v>44</v>
      </c>
      <c r="M43" t="s">
        <v>21</v>
      </c>
      <c r="N43">
        <v>4</v>
      </c>
      <c r="O43">
        <v>300</v>
      </c>
      <c r="P43">
        <v>1200</v>
      </c>
      <c r="Q43">
        <v>18</v>
      </c>
      <c r="R43">
        <v>24</v>
      </c>
    </row>
    <row r="44" spans="1:18" x14ac:dyDescent="0.35">
      <c r="A44">
        <v>32</v>
      </c>
      <c r="B44">
        <v>4</v>
      </c>
      <c r="C44">
        <v>1</v>
      </c>
      <c r="D44">
        <v>2023</v>
      </c>
      <c r="E44" t="s">
        <v>1065</v>
      </c>
      <c r="F44" t="s">
        <v>1060</v>
      </c>
      <c r="G44" t="s">
        <v>1061</v>
      </c>
      <c r="H44" s="18">
        <v>44930</v>
      </c>
      <c r="I44" t="s">
        <v>57</v>
      </c>
      <c r="J44" t="s">
        <v>20</v>
      </c>
      <c r="K44" s="46" t="s">
        <v>1030</v>
      </c>
      <c r="L44">
        <v>30</v>
      </c>
      <c r="M44" t="s">
        <v>21</v>
      </c>
      <c r="N44">
        <v>3</v>
      </c>
      <c r="O44">
        <v>30</v>
      </c>
      <c r="P44">
        <v>90</v>
      </c>
      <c r="Q44">
        <v>1.3499999999999999</v>
      </c>
      <c r="R44">
        <v>1.8</v>
      </c>
    </row>
    <row r="45" spans="1:18" x14ac:dyDescent="0.35">
      <c r="A45">
        <v>33</v>
      </c>
      <c r="B45">
        <v>23</v>
      </c>
      <c r="C45">
        <v>3</v>
      </c>
      <c r="D45">
        <v>2023</v>
      </c>
      <c r="E45" t="s">
        <v>1072</v>
      </c>
      <c r="F45" t="s">
        <v>1066</v>
      </c>
      <c r="G45" t="s">
        <v>1061</v>
      </c>
      <c r="H45" s="18">
        <v>45008</v>
      </c>
      <c r="I45" t="s">
        <v>58</v>
      </c>
      <c r="J45" t="s">
        <v>23</v>
      </c>
      <c r="K45" s="46" t="s">
        <v>1030</v>
      </c>
      <c r="L45">
        <v>50</v>
      </c>
      <c r="M45" t="s">
        <v>21</v>
      </c>
      <c r="N45">
        <v>2</v>
      </c>
      <c r="O45">
        <v>50</v>
      </c>
      <c r="P45">
        <v>100</v>
      </c>
      <c r="Q45">
        <v>1.5</v>
      </c>
      <c r="R45">
        <v>2</v>
      </c>
    </row>
    <row r="46" spans="1:18" x14ac:dyDescent="0.35">
      <c r="A46">
        <v>34</v>
      </c>
      <c r="B46">
        <v>24</v>
      </c>
      <c r="C46">
        <v>12</v>
      </c>
      <c r="D46">
        <v>2023</v>
      </c>
      <c r="E46" t="s">
        <v>1063</v>
      </c>
      <c r="F46" t="s">
        <v>1062</v>
      </c>
      <c r="G46" t="s">
        <v>1061</v>
      </c>
      <c r="H46" s="18">
        <v>45284</v>
      </c>
      <c r="I46" t="s">
        <v>59</v>
      </c>
      <c r="J46" t="s">
        <v>23</v>
      </c>
      <c r="K46" s="46" t="s">
        <v>1032</v>
      </c>
      <c r="L46">
        <v>51</v>
      </c>
      <c r="M46" t="s">
        <v>21</v>
      </c>
      <c r="N46">
        <v>3</v>
      </c>
      <c r="O46">
        <v>50</v>
      </c>
      <c r="P46">
        <v>150</v>
      </c>
      <c r="Q46">
        <v>2.25</v>
      </c>
      <c r="R46">
        <v>3</v>
      </c>
    </row>
    <row r="47" spans="1:18" x14ac:dyDescent="0.35">
      <c r="A47">
        <v>35</v>
      </c>
      <c r="B47">
        <v>5</v>
      </c>
      <c r="C47">
        <v>8</v>
      </c>
      <c r="D47">
        <v>2023</v>
      </c>
      <c r="E47" t="s">
        <v>1075</v>
      </c>
      <c r="F47" t="s">
        <v>1074</v>
      </c>
      <c r="G47" t="s">
        <v>1061</v>
      </c>
      <c r="H47" s="18">
        <v>45143</v>
      </c>
      <c r="I47" t="s">
        <v>60</v>
      </c>
      <c r="J47" t="s">
        <v>23</v>
      </c>
      <c r="K47" s="46" t="s">
        <v>1032</v>
      </c>
      <c r="L47">
        <v>58</v>
      </c>
      <c r="M47" t="s">
        <v>21</v>
      </c>
      <c r="N47">
        <v>3</v>
      </c>
      <c r="O47">
        <v>300</v>
      </c>
      <c r="P47">
        <v>900</v>
      </c>
      <c r="Q47">
        <v>13.5</v>
      </c>
      <c r="R47">
        <v>18</v>
      </c>
    </row>
    <row r="48" spans="1:18" x14ac:dyDescent="0.35">
      <c r="A48">
        <v>36</v>
      </c>
      <c r="B48">
        <v>24</v>
      </c>
      <c r="C48">
        <v>6</v>
      </c>
      <c r="D48">
        <v>2023</v>
      </c>
      <c r="E48" t="s">
        <v>1075</v>
      </c>
      <c r="F48" t="s">
        <v>1069</v>
      </c>
      <c r="G48" t="s">
        <v>1061</v>
      </c>
      <c r="H48" s="18">
        <v>45101</v>
      </c>
      <c r="I48" t="s">
        <v>61</v>
      </c>
      <c r="J48" t="s">
        <v>20</v>
      </c>
      <c r="K48" s="46" t="s">
        <v>1032</v>
      </c>
      <c r="L48">
        <v>52</v>
      </c>
      <c r="M48" t="s">
        <v>21</v>
      </c>
      <c r="N48">
        <v>3</v>
      </c>
      <c r="O48">
        <v>300</v>
      </c>
      <c r="P48">
        <v>900</v>
      </c>
      <c r="Q48">
        <v>13.5</v>
      </c>
      <c r="R48">
        <v>18</v>
      </c>
    </row>
    <row r="49" spans="1:18" x14ac:dyDescent="0.35">
      <c r="A49">
        <v>37</v>
      </c>
      <c r="B49">
        <v>23</v>
      </c>
      <c r="C49">
        <v>5</v>
      </c>
      <c r="D49">
        <v>2023</v>
      </c>
      <c r="E49" t="s">
        <v>1059</v>
      </c>
      <c r="F49" t="s">
        <v>1076</v>
      </c>
      <c r="G49" t="s">
        <v>1061</v>
      </c>
      <c r="H49" s="18">
        <v>45069</v>
      </c>
      <c r="I49" t="s">
        <v>62</v>
      </c>
      <c r="J49" t="s">
        <v>23</v>
      </c>
      <c r="K49" s="46" t="s">
        <v>1034</v>
      </c>
      <c r="L49">
        <v>18</v>
      </c>
      <c r="M49" t="s">
        <v>21</v>
      </c>
      <c r="N49">
        <v>3</v>
      </c>
      <c r="O49">
        <v>25</v>
      </c>
      <c r="P49">
        <v>75</v>
      </c>
      <c r="Q49">
        <v>1.125</v>
      </c>
      <c r="R49">
        <v>1.5</v>
      </c>
    </row>
    <row r="50" spans="1:18" x14ac:dyDescent="0.35">
      <c r="A50">
        <v>38</v>
      </c>
      <c r="B50">
        <v>21</v>
      </c>
      <c r="C50">
        <v>3</v>
      </c>
      <c r="D50">
        <v>2023</v>
      </c>
      <c r="E50" t="s">
        <v>1059</v>
      </c>
      <c r="F50" t="s">
        <v>1066</v>
      </c>
      <c r="G50" t="s">
        <v>1061</v>
      </c>
      <c r="H50" s="18">
        <v>45006</v>
      </c>
      <c r="I50" t="s">
        <v>63</v>
      </c>
      <c r="J50" t="s">
        <v>20</v>
      </c>
      <c r="K50" s="46" t="s">
        <v>1030</v>
      </c>
      <c r="L50">
        <v>38</v>
      </c>
      <c r="M50" t="s">
        <v>21</v>
      </c>
      <c r="N50">
        <v>4</v>
      </c>
      <c r="O50">
        <v>50</v>
      </c>
      <c r="P50">
        <v>200</v>
      </c>
      <c r="Q50">
        <v>3</v>
      </c>
      <c r="R50">
        <v>4</v>
      </c>
    </row>
    <row r="51" spans="1:18" x14ac:dyDescent="0.35">
      <c r="A51">
        <v>39</v>
      </c>
      <c r="B51">
        <v>21</v>
      </c>
      <c r="C51">
        <v>4</v>
      </c>
      <c r="D51">
        <v>2023</v>
      </c>
      <c r="E51" t="s">
        <v>1070</v>
      </c>
      <c r="F51" t="s">
        <v>1077</v>
      </c>
      <c r="G51" t="s">
        <v>1061</v>
      </c>
      <c r="H51" s="18">
        <v>45037</v>
      </c>
      <c r="I51" t="s">
        <v>64</v>
      </c>
      <c r="J51" t="s">
        <v>20</v>
      </c>
      <c r="K51" s="46" t="s">
        <v>1034</v>
      </c>
      <c r="L51">
        <v>23</v>
      </c>
      <c r="M51" t="s">
        <v>21</v>
      </c>
      <c r="N51">
        <v>4</v>
      </c>
      <c r="O51">
        <v>30</v>
      </c>
      <c r="P51">
        <v>120</v>
      </c>
      <c r="Q51">
        <v>1.7999999999999998</v>
      </c>
      <c r="R51">
        <v>2.4</v>
      </c>
    </row>
    <row r="52" spans="1:18" x14ac:dyDescent="0.35">
      <c r="A52">
        <v>40</v>
      </c>
      <c r="B52">
        <v>22</v>
      </c>
      <c r="C52">
        <v>6</v>
      </c>
      <c r="D52">
        <v>2023</v>
      </c>
      <c r="E52" t="s">
        <v>1072</v>
      </c>
      <c r="F52" t="s">
        <v>1069</v>
      </c>
      <c r="G52" t="s">
        <v>1061</v>
      </c>
      <c r="H52" s="18">
        <v>45099</v>
      </c>
      <c r="I52" t="s">
        <v>65</v>
      </c>
      <c r="J52" t="s">
        <v>20</v>
      </c>
      <c r="K52" s="46" t="s">
        <v>1030</v>
      </c>
      <c r="L52">
        <v>45</v>
      </c>
      <c r="M52" t="s">
        <v>21</v>
      </c>
      <c r="N52">
        <v>1</v>
      </c>
      <c r="O52">
        <v>50</v>
      </c>
      <c r="P52">
        <v>50</v>
      </c>
      <c r="Q52">
        <v>0.75</v>
      </c>
      <c r="R52">
        <v>1</v>
      </c>
    </row>
    <row r="53" spans="1:18" x14ac:dyDescent="0.35">
      <c r="A53">
        <v>41</v>
      </c>
      <c r="B53">
        <v>22</v>
      </c>
      <c r="C53">
        <v>2</v>
      </c>
      <c r="D53">
        <v>2023</v>
      </c>
      <c r="E53" t="s">
        <v>1065</v>
      </c>
      <c r="F53" t="s">
        <v>1073</v>
      </c>
      <c r="G53" t="s">
        <v>1061</v>
      </c>
      <c r="H53" s="18">
        <v>44979</v>
      </c>
      <c r="I53" t="s">
        <v>66</v>
      </c>
      <c r="J53" t="s">
        <v>20</v>
      </c>
      <c r="K53" s="46" t="s">
        <v>1030</v>
      </c>
      <c r="L53">
        <v>34</v>
      </c>
      <c r="M53" t="s">
        <v>21</v>
      </c>
      <c r="N53">
        <v>2</v>
      </c>
      <c r="O53">
        <v>25</v>
      </c>
      <c r="P53">
        <v>50</v>
      </c>
      <c r="Q53">
        <v>0.75</v>
      </c>
      <c r="R53">
        <v>1</v>
      </c>
    </row>
    <row r="54" spans="1:18" x14ac:dyDescent="0.35">
      <c r="A54">
        <v>42</v>
      </c>
      <c r="B54">
        <v>17</v>
      </c>
      <c r="C54">
        <v>2</v>
      </c>
      <c r="D54">
        <v>2023</v>
      </c>
      <c r="E54" t="s">
        <v>1070</v>
      </c>
      <c r="F54" t="s">
        <v>1073</v>
      </c>
      <c r="G54" t="s">
        <v>1061</v>
      </c>
      <c r="H54" s="18">
        <v>44974</v>
      </c>
      <c r="I54" t="s">
        <v>67</v>
      </c>
      <c r="J54" t="s">
        <v>20</v>
      </c>
      <c r="K54" s="46" t="s">
        <v>1034</v>
      </c>
      <c r="L54">
        <v>22</v>
      </c>
      <c r="M54" t="s">
        <v>21</v>
      </c>
      <c r="N54">
        <v>3</v>
      </c>
      <c r="O54">
        <v>300</v>
      </c>
      <c r="P54">
        <v>900</v>
      </c>
      <c r="Q54">
        <v>13.5</v>
      </c>
      <c r="R54">
        <v>18</v>
      </c>
    </row>
    <row r="55" spans="1:18" x14ac:dyDescent="0.35">
      <c r="A55">
        <v>43</v>
      </c>
      <c r="B55">
        <v>14</v>
      </c>
      <c r="C55">
        <v>7</v>
      </c>
      <c r="D55">
        <v>2023</v>
      </c>
      <c r="E55" t="s">
        <v>1070</v>
      </c>
      <c r="F55" t="s">
        <v>1078</v>
      </c>
      <c r="G55" t="s">
        <v>1061</v>
      </c>
      <c r="H55" s="18">
        <v>45121</v>
      </c>
      <c r="I55" t="s">
        <v>68</v>
      </c>
      <c r="J55" t="s">
        <v>23</v>
      </c>
      <c r="K55" s="46" t="s">
        <v>1030</v>
      </c>
      <c r="L55">
        <v>48</v>
      </c>
      <c r="M55" t="s">
        <v>21</v>
      </c>
      <c r="N55">
        <v>1</v>
      </c>
      <c r="O55">
        <v>300</v>
      </c>
      <c r="P55">
        <v>300</v>
      </c>
      <c r="Q55">
        <v>4.5</v>
      </c>
      <c r="R55">
        <v>6</v>
      </c>
    </row>
    <row r="56" spans="1:18" x14ac:dyDescent="0.35">
      <c r="A56">
        <v>44</v>
      </c>
      <c r="B56">
        <v>19</v>
      </c>
      <c r="C56">
        <v>2</v>
      </c>
      <c r="D56">
        <v>2023</v>
      </c>
      <c r="E56" t="s">
        <v>1063</v>
      </c>
      <c r="F56" t="s">
        <v>1073</v>
      </c>
      <c r="G56" t="s">
        <v>1061</v>
      </c>
      <c r="H56" s="18">
        <v>44976</v>
      </c>
      <c r="I56" t="s">
        <v>69</v>
      </c>
      <c r="J56" t="s">
        <v>23</v>
      </c>
      <c r="K56" s="46" t="s">
        <v>1034</v>
      </c>
      <c r="L56">
        <v>22</v>
      </c>
      <c r="M56" t="s">
        <v>21</v>
      </c>
      <c r="N56">
        <v>1</v>
      </c>
      <c r="O56">
        <v>25</v>
      </c>
      <c r="P56">
        <v>25</v>
      </c>
      <c r="Q56">
        <v>0.375</v>
      </c>
      <c r="R56">
        <v>0.5</v>
      </c>
    </row>
    <row r="57" spans="1:18" x14ac:dyDescent="0.35">
      <c r="A57">
        <v>45</v>
      </c>
      <c r="B57">
        <v>3</v>
      </c>
      <c r="C57">
        <v>7</v>
      </c>
      <c r="D57">
        <v>2023</v>
      </c>
      <c r="E57" t="s">
        <v>1067</v>
      </c>
      <c r="F57" t="s">
        <v>1078</v>
      </c>
      <c r="G57" t="s">
        <v>1061</v>
      </c>
      <c r="H57" s="18">
        <v>45110</v>
      </c>
      <c r="I57" t="s">
        <v>70</v>
      </c>
      <c r="J57" t="s">
        <v>23</v>
      </c>
      <c r="K57" s="46" t="s">
        <v>1032</v>
      </c>
      <c r="L57">
        <v>55</v>
      </c>
      <c r="M57" t="s">
        <v>21</v>
      </c>
      <c r="N57">
        <v>1</v>
      </c>
      <c r="O57">
        <v>30</v>
      </c>
      <c r="P57">
        <v>30</v>
      </c>
      <c r="Q57">
        <v>0.44999999999999996</v>
      </c>
      <c r="R57">
        <v>0.6</v>
      </c>
    </row>
    <row r="58" spans="1:18" x14ac:dyDescent="0.35">
      <c r="A58">
        <v>46</v>
      </c>
      <c r="B58">
        <v>26</v>
      </c>
      <c r="C58">
        <v>6</v>
      </c>
      <c r="D58">
        <v>2023</v>
      </c>
      <c r="E58" t="s">
        <v>1067</v>
      </c>
      <c r="F58" t="s">
        <v>1069</v>
      </c>
      <c r="G58" t="s">
        <v>1061</v>
      </c>
      <c r="H58" s="18">
        <v>45103</v>
      </c>
      <c r="I58" t="s">
        <v>71</v>
      </c>
      <c r="J58" t="s">
        <v>23</v>
      </c>
      <c r="K58" s="46" t="s">
        <v>1034</v>
      </c>
      <c r="L58">
        <v>20</v>
      </c>
      <c r="M58" t="s">
        <v>21</v>
      </c>
      <c r="N58">
        <v>4</v>
      </c>
      <c r="O58">
        <v>300</v>
      </c>
      <c r="P58">
        <v>1200</v>
      </c>
      <c r="Q58">
        <v>18</v>
      </c>
      <c r="R58">
        <v>24</v>
      </c>
    </row>
    <row r="59" spans="1:18" x14ac:dyDescent="0.35">
      <c r="A59">
        <v>47</v>
      </c>
      <c r="B59">
        <v>6</v>
      </c>
      <c r="C59">
        <v>11</v>
      </c>
      <c r="D59">
        <v>2023</v>
      </c>
      <c r="E59" t="s">
        <v>1067</v>
      </c>
      <c r="F59" t="s">
        <v>1068</v>
      </c>
      <c r="G59" t="s">
        <v>1061</v>
      </c>
      <c r="H59" s="18">
        <v>45236</v>
      </c>
      <c r="I59" t="s">
        <v>72</v>
      </c>
      <c r="J59" t="s">
        <v>23</v>
      </c>
      <c r="K59" s="46" t="s">
        <v>1030</v>
      </c>
      <c r="L59">
        <v>40</v>
      </c>
      <c r="M59" t="s">
        <v>21</v>
      </c>
      <c r="N59">
        <v>3</v>
      </c>
      <c r="O59">
        <v>500</v>
      </c>
      <c r="P59">
        <v>1500</v>
      </c>
      <c r="Q59">
        <v>22.5</v>
      </c>
      <c r="R59">
        <v>30</v>
      </c>
    </row>
    <row r="60" spans="1:18" x14ac:dyDescent="0.35">
      <c r="A60">
        <v>48</v>
      </c>
      <c r="B60">
        <v>16</v>
      </c>
      <c r="C60">
        <v>5</v>
      </c>
      <c r="D60">
        <v>2023</v>
      </c>
      <c r="E60" t="s">
        <v>1059</v>
      </c>
      <c r="F60" t="s">
        <v>1076</v>
      </c>
      <c r="G60" t="s">
        <v>1061</v>
      </c>
      <c r="H60" s="18">
        <v>45062</v>
      </c>
      <c r="I60" t="s">
        <v>73</v>
      </c>
      <c r="J60" t="s">
        <v>20</v>
      </c>
      <c r="K60" s="46" t="s">
        <v>1032</v>
      </c>
      <c r="L60">
        <v>54</v>
      </c>
      <c r="M60" t="s">
        <v>21</v>
      </c>
      <c r="N60">
        <v>3</v>
      </c>
      <c r="O60">
        <v>300</v>
      </c>
      <c r="P60">
        <v>900</v>
      </c>
      <c r="Q60">
        <v>13.5</v>
      </c>
      <c r="R60">
        <v>18</v>
      </c>
    </row>
    <row r="61" spans="1:18" x14ac:dyDescent="0.35">
      <c r="A61">
        <v>49</v>
      </c>
      <c r="B61">
        <v>23</v>
      </c>
      <c r="C61">
        <v>1</v>
      </c>
      <c r="D61">
        <v>2023</v>
      </c>
      <c r="E61" t="s">
        <v>1067</v>
      </c>
      <c r="F61" t="s">
        <v>1060</v>
      </c>
      <c r="G61" t="s">
        <v>1061</v>
      </c>
      <c r="H61" s="18">
        <v>44949</v>
      </c>
      <c r="I61" t="s">
        <v>74</v>
      </c>
      <c r="J61" t="s">
        <v>23</v>
      </c>
      <c r="K61" s="46" t="s">
        <v>1032</v>
      </c>
      <c r="L61">
        <v>54</v>
      </c>
      <c r="M61" t="s">
        <v>21</v>
      </c>
      <c r="N61">
        <v>2</v>
      </c>
      <c r="O61">
        <v>500</v>
      </c>
      <c r="P61">
        <v>1000</v>
      </c>
      <c r="Q61">
        <v>15</v>
      </c>
      <c r="R61">
        <v>20</v>
      </c>
    </row>
    <row r="62" spans="1:18" x14ac:dyDescent="0.35">
      <c r="A62">
        <v>50</v>
      </c>
      <c r="B62">
        <v>24</v>
      </c>
      <c r="C62">
        <v>8</v>
      </c>
      <c r="D62">
        <v>2023</v>
      </c>
      <c r="E62" t="s">
        <v>1072</v>
      </c>
      <c r="F62" t="s">
        <v>1074</v>
      </c>
      <c r="G62" t="s">
        <v>1061</v>
      </c>
      <c r="H62" s="18">
        <v>45162</v>
      </c>
      <c r="I62" t="s">
        <v>75</v>
      </c>
      <c r="J62" t="s">
        <v>23</v>
      </c>
      <c r="K62" s="46" t="s">
        <v>1034</v>
      </c>
      <c r="L62">
        <v>27</v>
      </c>
      <c r="M62" t="s">
        <v>21</v>
      </c>
      <c r="N62">
        <v>3</v>
      </c>
      <c r="O62">
        <v>25</v>
      </c>
      <c r="P62">
        <v>75</v>
      </c>
      <c r="Q62">
        <v>1.125</v>
      </c>
      <c r="R62">
        <v>1.5</v>
      </c>
    </row>
    <row r="63" spans="1:18" x14ac:dyDescent="0.35">
      <c r="A63">
        <v>51</v>
      </c>
      <c r="B63">
        <v>2</v>
      </c>
      <c r="C63">
        <v>10</v>
      </c>
      <c r="D63">
        <v>2023</v>
      </c>
      <c r="E63" t="s">
        <v>1067</v>
      </c>
      <c r="F63" t="s">
        <v>1064</v>
      </c>
      <c r="G63" t="s">
        <v>1061</v>
      </c>
      <c r="H63" s="18">
        <v>45201</v>
      </c>
      <c r="I63" t="s">
        <v>76</v>
      </c>
      <c r="J63" t="s">
        <v>20</v>
      </c>
      <c r="K63" s="46" t="s">
        <v>1034</v>
      </c>
      <c r="L63">
        <v>27</v>
      </c>
      <c r="M63" t="s">
        <v>21</v>
      </c>
      <c r="N63">
        <v>3</v>
      </c>
      <c r="O63">
        <v>25</v>
      </c>
      <c r="P63">
        <v>75</v>
      </c>
      <c r="Q63">
        <v>1.125</v>
      </c>
      <c r="R63">
        <v>1.5</v>
      </c>
    </row>
    <row r="64" spans="1:18" x14ac:dyDescent="0.35">
      <c r="A64">
        <v>52</v>
      </c>
      <c r="B64">
        <v>5</v>
      </c>
      <c r="C64">
        <v>3</v>
      </c>
      <c r="D64">
        <v>2023</v>
      </c>
      <c r="E64" t="s">
        <v>1063</v>
      </c>
      <c r="F64" t="s">
        <v>1066</v>
      </c>
      <c r="G64" t="s">
        <v>1061</v>
      </c>
      <c r="H64" s="18">
        <v>44990</v>
      </c>
      <c r="I64" t="s">
        <v>77</v>
      </c>
      <c r="J64" t="s">
        <v>23</v>
      </c>
      <c r="K64" s="46" t="s">
        <v>1030</v>
      </c>
      <c r="L64">
        <v>36</v>
      </c>
      <c r="M64" t="s">
        <v>21</v>
      </c>
      <c r="N64">
        <v>1</v>
      </c>
      <c r="O64">
        <v>300</v>
      </c>
      <c r="P64">
        <v>300</v>
      </c>
      <c r="Q64">
        <v>4.5</v>
      </c>
      <c r="R64">
        <v>6</v>
      </c>
    </row>
    <row r="65" spans="1:18" x14ac:dyDescent="0.35">
      <c r="A65">
        <v>53</v>
      </c>
      <c r="B65">
        <v>13</v>
      </c>
      <c r="C65">
        <v>7</v>
      </c>
      <c r="D65">
        <v>2023</v>
      </c>
      <c r="E65" t="s">
        <v>1072</v>
      </c>
      <c r="F65" t="s">
        <v>1078</v>
      </c>
      <c r="G65" t="s">
        <v>1061</v>
      </c>
      <c r="H65" s="18">
        <v>45120</v>
      </c>
      <c r="I65" t="s">
        <v>78</v>
      </c>
      <c r="J65" t="s">
        <v>20</v>
      </c>
      <c r="K65" s="46" t="s">
        <v>1030</v>
      </c>
      <c r="L65">
        <v>34</v>
      </c>
      <c r="M65" t="s">
        <v>21</v>
      </c>
      <c r="N65">
        <v>2</v>
      </c>
      <c r="O65">
        <v>50</v>
      </c>
      <c r="P65">
        <v>100</v>
      </c>
      <c r="Q65">
        <v>1.5</v>
      </c>
      <c r="R65">
        <v>2</v>
      </c>
    </row>
    <row r="66" spans="1:18" x14ac:dyDescent="0.35">
      <c r="A66">
        <v>54</v>
      </c>
      <c r="B66">
        <v>10</v>
      </c>
      <c r="C66">
        <v>2</v>
      </c>
      <c r="D66">
        <v>2023</v>
      </c>
      <c r="E66" t="s">
        <v>1070</v>
      </c>
      <c r="F66" t="s">
        <v>1073</v>
      </c>
      <c r="G66" t="s">
        <v>1061</v>
      </c>
      <c r="H66" s="18">
        <v>44967</v>
      </c>
      <c r="I66" t="s">
        <v>79</v>
      </c>
      <c r="J66" t="s">
        <v>23</v>
      </c>
      <c r="K66" s="46" t="s">
        <v>1030</v>
      </c>
      <c r="L66">
        <v>38</v>
      </c>
      <c r="M66" t="s">
        <v>21</v>
      </c>
      <c r="N66">
        <v>3</v>
      </c>
      <c r="O66">
        <v>500</v>
      </c>
      <c r="P66">
        <v>1500</v>
      </c>
      <c r="Q66">
        <v>22.5</v>
      </c>
      <c r="R66">
        <v>30</v>
      </c>
    </row>
    <row r="67" spans="1:18" x14ac:dyDescent="0.35">
      <c r="A67">
        <v>55</v>
      </c>
      <c r="B67">
        <v>10</v>
      </c>
      <c r="C67">
        <v>10</v>
      </c>
      <c r="D67">
        <v>2023</v>
      </c>
      <c r="E67" t="s">
        <v>1059</v>
      </c>
      <c r="F67" t="s">
        <v>1064</v>
      </c>
      <c r="G67" t="s">
        <v>1061</v>
      </c>
      <c r="H67" s="18">
        <v>45209</v>
      </c>
      <c r="I67" t="s">
        <v>80</v>
      </c>
      <c r="J67" t="s">
        <v>20</v>
      </c>
      <c r="K67" s="46" t="s">
        <v>1030</v>
      </c>
      <c r="L67">
        <v>31</v>
      </c>
      <c r="M67" t="s">
        <v>21</v>
      </c>
      <c r="N67">
        <v>4</v>
      </c>
      <c r="O67">
        <v>30</v>
      </c>
      <c r="P67">
        <v>120</v>
      </c>
      <c r="Q67">
        <v>1.7999999999999998</v>
      </c>
      <c r="R67">
        <v>2.4</v>
      </c>
    </row>
    <row r="68" spans="1:18" x14ac:dyDescent="0.35">
      <c r="A68">
        <v>56</v>
      </c>
      <c r="B68">
        <v>31</v>
      </c>
      <c r="C68">
        <v>5</v>
      </c>
      <c r="D68">
        <v>2023</v>
      </c>
      <c r="E68" t="s">
        <v>1065</v>
      </c>
      <c r="F68" t="s">
        <v>1076</v>
      </c>
      <c r="G68" t="s">
        <v>1061</v>
      </c>
      <c r="H68" s="18">
        <v>45077</v>
      </c>
      <c r="I68" t="s">
        <v>81</v>
      </c>
      <c r="J68" t="s">
        <v>23</v>
      </c>
      <c r="K68" s="46" t="s">
        <v>1034</v>
      </c>
      <c r="L68">
        <v>26</v>
      </c>
      <c r="M68" t="s">
        <v>21</v>
      </c>
      <c r="N68">
        <v>3</v>
      </c>
      <c r="O68">
        <v>300</v>
      </c>
      <c r="P68">
        <v>900</v>
      </c>
      <c r="Q68">
        <v>13.5</v>
      </c>
      <c r="R68">
        <v>18</v>
      </c>
    </row>
    <row r="69" spans="1:18" x14ac:dyDescent="0.35">
      <c r="A69">
        <v>57</v>
      </c>
      <c r="B69">
        <v>18</v>
      </c>
      <c r="C69">
        <v>11</v>
      </c>
      <c r="D69">
        <v>2023</v>
      </c>
      <c r="E69" t="s">
        <v>1075</v>
      </c>
      <c r="F69" t="s">
        <v>1068</v>
      </c>
      <c r="G69" t="s">
        <v>1061</v>
      </c>
      <c r="H69" s="18">
        <v>45248</v>
      </c>
      <c r="I69" t="s">
        <v>82</v>
      </c>
      <c r="J69" t="s">
        <v>23</v>
      </c>
      <c r="K69" s="46" t="s">
        <v>1032</v>
      </c>
      <c r="L69">
        <v>63</v>
      </c>
      <c r="M69" t="s">
        <v>21</v>
      </c>
      <c r="N69">
        <v>1</v>
      </c>
      <c r="O69">
        <v>30</v>
      </c>
      <c r="P69">
        <v>30</v>
      </c>
      <c r="Q69">
        <v>0.44999999999999996</v>
      </c>
      <c r="R69">
        <v>0.6</v>
      </c>
    </row>
    <row r="70" spans="1:18" x14ac:dyDescent="0.35">
      <c r="A70">
        <v>58</v>
      </c>
      <c r="B70">
        <v>13</v>
      </c>
      <c r="C70">
        <v>11</v>
      </c>
      <c r="D70">
        <v>2023</v>
      </c>
      <c r="E70" t="s">
        <v>1067</v>
      </c>
      <c r="F70" t="s">
        <v>1068</v>
      </c>
      <c r="G70" t="s">
        <v>1061</v>
      </c>
      <c r="H70" s="18">
        <v>45243</v>
      </c>
      <c r="I70" t="s">
        <v>83</v>
      </c>
      <c r="J70" t="s">
        <v>20</v>
      </c>
      <c r="K70" s="46" t="s">
        <v>1034</v>
      </c>
      <c r="L70">
        <v>18</v>
      </c>
      <c r="M70" t="s">
        <v>21</v>
      </c>
      <c r="N70">
        <v>4</v>
      </c>
      <c r="O70">
        <v>300</v>
      </c>
      <c r="P70">
        <v>1200</v>
      </c>
      <c r="Q70">
        <v>18</v>
      </c>
      <c r="R70">
        <v>24</v>
      </c>
    </row>
    <row r="71" spans="1:18" x14ac:dyDescent="0.35">
      <c r="A71">
        <v>59</v>
      </c>
      <c r="B71">
        <v>5</v>
      </c>
      <c r="C71">
        <v>7</v>
      </c>
      <c r="D71">
        <v>2023</v>
      </c>
      <c r="E71" t="s">
        <v>1065</v>
      </c>
      <c r="F71" t="s">
        <v>1078</v>
      </c>
      <c r="G71" t="s">
        <v>1061</v>
      </c>
      <c r="H71" s="18">
        <v>45112</v>
      </c>
      <c r="I71" t="s">
        <v>84</v>
      </c>
      <c r="J71" t="s">
        <v>20</v>
      </c>
      <c r="K71" s="46" t="s">
        <v>1032</v>
      </c>
      <c r="L71">
        <v>62</v>
      </c>
      <c r="M71" t="s">
        <v>21</v>
      </c>
      <c r="N71">
        <v>1</v>
      </c>
      <c r="O71">
        <v>50</v>
      </c>
      <c r="P71">
        <v>50</v>
      </c>
      <c r="Q71">
        <v>0.75</v>
      </c>
      <c r="R71">
        <v>1</v>
      </c>
    </row>
    <row r="72" spans="1:18" x14ac:dyDescent="0.35">
      <c r="A72">
        <v>60</v>
      </c>
      <c r="B72">
        <v>23</v>
      </c>
      <c r="C72">
        <v>10</v>
      </c>
      <c r="D72">
        <v>2023</v>
      </c>
      <c r="E72" t="s">
        <v>1067</v>
      </c>
      <c r="F72" t="s">
        <v>1064</v>
      </c>
      <c r="G72" t="s">
        <v>1061</v>
      </c>
      <c r="H72" s="18">
        <v>45222</v>
      </c>
      <c r="I72" t="s">
        <v>85</v>
      </c>
      <c r="J72" t="s">
        <v>20</v>
      </c>
      <c r="K72" s="46" t="s">
        <v>1030</v>
      </c>
      <c r="L72">
        <v>30</v>
      </c>
      <c r="M72" t="s">
        <v>21</v>
      </c>
      <c r="N72">
        <v>3</v>
      </c>
      <c r="O72">
        <v>50</v>
      </c>
      <c r="P72">
        <v>150</v>
      </c>
      <c r="Q72">
        <v>2.25</v>
      </c>
      <c r="R72">
        <v>3</v>
      </c>
    </row>
    <row r="73" spans="1:18" x14ac:dyDescent="0.35">
      <c r="A73">
        <v>61</v>
      </c>
      <c r="B73">
        <v>9</v>
      </c>
      <c r="C73">
        <v>4</v>
      </c>
      <c r="D73">
        <v>2023</v>
      </c>
      <c r="E73" t="s">
        <v>1063</v>
      </c>
      <c r="F73" t="s">
        <v>1077</v>
      </c>
      <c r="G73" t="s">
        <v>1061</v>
      </c>
      <c r="H73" s="18">
        <v>45025</v>
      </c>
      <c r="I73" t="s">
        <v>86</v>
      </c>
      <c r="J73" t="s">
        <v>20</v>
      </c>
      <c r="K73" s="46" t="s">
        <v>1034</v>
      </c>
      <c r="L73">
        <v>21</v>
      </c>
      <c r="M73" t="s">
        <v>21</v>
      </c>
      <c r="N73">
        <v>4</v>
      </c>
      <c r="O73">
        <v>50</v>
      </c>
      <c r="P73">
        <v>200</v>
      </c>
      <c r="Q73">
        <v>3</v>
      </c>
      <c r="R73">
        <v>4</v>
      </c>
    </row>
    <row r="74" spans="1:18" x14ac:dyDescent="0.35">
      <c r="A74">
        <v>62</v>
      </c>
      <c r="B74">
        <v>27</v>
      </c>
      <c r="C74">
        <v>12</v>
      </c>
      <c r="D74">
        <v>2023</v>
      </c>
      <c r="E74" t="s">
        <v>1065</v>
      </c>
      <c r="F74" t="s">
        <v>1062</v>
      </c>
      <c r="G74" t="s">
        <v>1061</v>
      </c>
      <c r="H74" s="18">
        <v>45287</v>
      </c>
      <c r="I74" t="s">
        <v>87</v>
      </c>
      <c r="J74" t="s">
        <v>20</v>
      </c>
      <c r="K74" s="46" t="s">
        <v>1034</v>
      </c>
      <c r="L74">
        <v>18</v>
      </c>
      <c r="M74" t="s">
        <v>21</v>
      </c>
      <c r="N74">
        <v>2</v>
      </c>
      <c r="O74">
        <v>50</v>
      </c>
      <c r="P74">
        <v>100</v>
      </c>
      <c r="Q74">
        <v>1.5</v>
      </c>
      <c r="R74">
        <v>2</v>
      </c>
    </row>
    <row r="75" spans="1:18" x14ac:dyDescent="0.35">
      <c r="A75">
        <v>63</v>
      </c>
      <c r="B75">
        <v>5</v>
      </c>
      <c r="C75">
        <v>2</v>
      </c>
      <c r="D75">
        <v>2023</v>
      </c>
      <c r="E75" t="s">
        <v>1063</v>
      </c>
      <c r="F75" t="s">
        <v>1073</v>
      </c>
      <c r="G75" t="s">
        <v>1061</v>
      </c>
      <c r="H75" s="18">
        <v>44962</v>
      </c>
      <c r="I75" t="s">
        <v>88</v>
      </c>
      <c r="J75" t="s">
        <v>20</v>
      </c>
      <c r="K75" s="46" t="s">
        <v>1032</v>
      </c>
      <c r="L75">
        <v>57</v>
      </c>
      <c r="M75" t="s">
        <v>21</v>
      </c>
      <c r="N75">
        <v>2</v>
      </c>
      <c r="O75">
        <v>25</v>
      </c>
      <c r="P75">
        <v>50</v>
      </c>
      <c r="Q75">
        <v>0.75</v>
      </c>
      <c r="R75">
        <v>1</v>
      </c>
    </row>
    <row r="76" spans="1:18" x14ac:dyDescent="0.35">
      <c r="A76">
        <v>64</v>
      </c>
      <c r="B76">
        <v>24</v>
      </c>
      <c r="C76">
        <v>1</v>
      </c>
      <c r="D76">
        <v>2023</v>
      </c>
      <c r="E76" t="s">
        <v>1059</v>
      </c>
      <c r="F76" t="s">
        <v>1060</v>
      </c>
      <c r="G76" t="s">
        <v>1061</v>
      </c>
      <c r="H76" s="18">
        <v>44950</v>
      </c>
      <c r="I76" t="s">
        <v>89</v>
      </c>
      <c r="J76" t="s">
        <v>20</v>
      </c>
      <c r="K76" s="46" t="s">
        <v>1030</v>
      </c>
      <c r="L76">
        <v>49</v>
      </c>
      <c r="M76" t="s">
        <v>21</v>
      </c>
      <c r="N76">
        <v>4</v>
      </c>
      <c r="O76">
        <v>25</v>
      </c>
      <c r="P76">
        <v>100</v>
      </c>
      <c r="Q76">
        <v>1.5</v>
      </c>
      <c r="R76">
        <v>2</v>
      </c>
    </row>
    <row r="77" spans="1:18" x14ac:dyDescent="0.35">
      <c r="A77">
        <v>65</v>
      </c>
      <c r="B77">
        <v>5</v>
      </c>
      <c r="C77">
        <v>12</v>
      </c>
      <c r="D77">
        <v>2023</v>
      </c>
      <c r="E77" t="s">
        <v>1059</v>
      </c>
      <c r="F77" t="s">
        <v>1062</v>
      </c>
      <c r="G77" t="s">
        <v>1061</v>
      </c>
      <c r="H77" s="18">
        <v>45265</v>
      </c>
      <c r="I77" t="s">
        <v>90</v>
      </c>
      <c r="J77" t="s">
        <v>20</v>
      </c>
      <c r="K77" s="46" t="s">
        <v>1032</v>
      </c>
      <c r="L77">
        <v>51</v>
      </c>
      <c r="M77" t="s">
        <v>21</v>
      </c>
      <c r="N77">
        <v>4</v>
      </c>
      <c r="O77">
        <v>500</v>
      </c>
      <c r="P77">
        <v>2000</v>
      </c>
      <c r="Q77">
        <v>30</v>
      </c>
      <c r="R77">
        <v>40</v>
      </c>
    </row>
    <row r="78" spans="1:18" x14ac:dyDescent="0.35">
      <c r="A78">
        <v>66</v>
      </c>
      <c r="B78">
        <v>27</v>
      </c>
      <c r="C78">
        <v>4</v>
      </c>
      <c r="D78">
        <v>2023</v>
      </c>
      <c r="E78" t="s">
        <v>1072</v>
      </c>
      <c r="F78" t="s">
        <v>1077</v>
      </c>
      <c r="G78" t="s">
        <v>1061</v>
      </c>
      <c r="H78" s="18">
        <v>45043</v>
      </c>
      <c r="I78" t="s">
        <v>91</v>
      </c>
      <c r="J78" t="s">
        <v>23</v>
      </c>
      <c r="K78" s="46" t="s">
        <v>1030</v>
      </c>
      <c r="L78">
        <v>45</v>
      </c>
      <c r="M78" t="s">
        <v>21</v>
      </c>
      <c r="N78">
        <v>1</v>
      </c>
      <c r="O78">
        <v>30</v>
      </c>
      <c r="P78">
        <v>30</v>
      </c>
      <c r="Q78">
        <v>0.44999999999999996</v>
      </c>
      <c r="R78">
        <v>0.6</v>
      </c>
    </row>
    <row r="79" spans="1:18" x14ac:dyDescent="0.35">
      <c r="A79">
        <v>67</v>
      </c>
      <c r="B79">
        <v>29</v>
      </c>
      <c r="C79">
        <v>5</v>
      </c>
      <c r="D79">
        <v>2023</v>
      </c>
      <c r="E79" t="s">
        <v>1067</v>
      </c>
      <c r="F79" t="s">
        <v>1076</v>
      </c>
      <c r="G79" t="s">
        <v>1061</v>
      </c>
      <c r="H79" s="18">
        <v>45075</v>
      </c>
      <c r="I79" t="s">
        <v>92</v>
      </c>
      <c r="J79" t="s">
        <v>23</v>
      </c>
      <c r="K79" s="46" t="s">
        <v>1030</v>
      </c>
      <c r="L79">
        <v>48</v>
      </c>
      <c r="M79" t="s">
        <v>21</v>
      </c>
      <c r="N79">
        <v>4</v>
      </c>
      <c r="O79">
        <v>300</v>
      </c>
      <c r="P79">
        <v>1200</v>
      </c>
      <c r="Q79">
        <v>18</v>
      </c>
      <c r="R79">
        <v>24</v>
      </c>
    </row>
    <row r="80" spans="1:18" x14ac:dyDescent="0.35">
      <c r="A80">
        <v>68</v>
      </c>
      <c r="B80">
        <v>10</v>
      </c>
      <c r="C80">
        <v>2</v>
      </c>
      <c r="D80">
        <v>2023</v>
      </c>
      <c r="E80" t="s">
        <v>1070</v>
      </c>
      <c r="F80" t="s">
        <v>1073</v>
      </c>
      <c r="G80" t="s">
        <v>1061</v>
      </c>
      <c r="H80" s="18">
        <v>44967</v>
      </c>
      <c r="I80" t="s">
        <v>93</v>
      </c>
      <c r="J80" t="s">
        <v>20</v>
      </c>
      <c r="K80" s="46" t="s">
        <v>1034</v>
      </c>
      <c r="L80">
        <v>25</v>
      </c>
      <c r="M80" t="s">
        <v>21</v>
      </c>
      <c r="N80">
        <v>1</v>
      </c>
      <c r="O80">
        <v>300</v>
      </c>
      <c r="P80">
        <v>300</v>
      </c>
      <c r="Q80">
        <v>4.5</v>
      </c>
      <c r="R80">
        <v>6</v>
      </c>
    </row>
    <row r="81" spans="1:18" x14ac:dyDescent="0.35">
      <c r="A81">
        <v>69</v>
      </c>
      <c r="B81">
        <v>30</v>
      </c>
      <c r="C81">
        <v>4</v>
      </c>
      <c r="D81">
        <v>2023</v>
      </c>
      <c r="E81" t="s">
        <v>1063</v>
      </c>
      <c r="F81" t="s">
        <v>1077</v>
      </c>
      <c r="G81" t="s">
        <v>1061</v>
      </c>
      <c r="H81" s="18">
        <v>45046</v>
      </c>
      <c r="I81" t="s">
        <v>94</v>
      </c>
      <c r="J81" t="s">
        <v>23</v>
      </c>
      <c r="K81" s="46" t="s">
        <v>1032</v>
      </c>
      <c r="L81">
        <v>56</v>
      </c>
      <c r="M81" t="s">
        <v>21</v>
      </c>
      <c r="N81">
        <v>3</v>
      </c>
      <c r="O81">
        <v>25</v>
      </c>
      <c r="P81">
        <v>75</v>
      </c>
      <c r="Q81">
        <v>1.125</v>
      </c>
      <c r="R81">
        <v>1.5</v>
      </c>
    </row>
    <row r="82" spans="1:18" x14ac:dyDescent="0.35">
      <c r="A82">
        <v>70</v>
      </c>
      <c r="B82">
        <v>21</v>
      </c>
      <c r="C82">
        <v>2</v>
      </c>
      <c r="D82">
        <v>2023</v>
      </c>
      <c r="E82" t="s">
        <v>1059</v>
      </c>
      <c r="F82" t="s">
        <v>1073</v>
      </c>
      <c r="G82" t="s">
        <v>1061</v>
      </c>
      <c r="H82" s="18">
        <v>44978</v>
      </c>
      <c r="I82" t="s">
        <v>95</v>
      </c>
      <c r="J82" t="s">
        <v>23</v>
      </c>
      <c r="K82" s="46" t="s">
        <v>1030</v>
      </c>
      <c r="L82">
        <v>43</v>
      </c>
      <c r="M82" t="s">
        <v>21</v>
      </c>
      <c r="N82">
        <v>1</v>
      </c>
      <c r="O82">
        <v>300</v>
      </c>
      <c r="P82">
        <v>300</v>
      </c>
      <c r="Q82">
        <v>4.5</v>
      </c>
      <c r="R82">
        <v>6</v>
      </c>
    </row>
    <row r="83" spans="1:18" x14ac:dyDescent="0.35">
      <c r="A83">
        <v>71</v>
      </c>
      <c r="B83">
        <v>14</v>
      </c>
      <c r="C83">
        <v>7</v>
      </c>
      <c r="D83">
        <v>2023</v>
      </c>
      <c r="E83" t="s">
        <v>1070</v>
      </c>
      <c r="F83" t="s">
        <v>1078</v>
      </c>
      <c r="G83" t="s">
        <v>1061</v>
      </c>
      <c r="H83" s="18">
        <v>45121</v>
      </c>
      <c r="I83" t="s">
        <v>96</v>
      </c>
      <c r="J83" t="s">
        <v>23</v>
      </c>
      <c r="K83" s="46" t="s">
        <v>1032</v>
      </c>
      <c r="L83">
        <v>51</v>
      </c>
      <c r="M83" t="s">
        <v>21</v>
      </c>
      <c r="N83">
        <v>4</v>
      </c>
      <c r="O83">
        <v>25</v>
      </c>
      <c r="P83">
        <v>100</v>
      </c>
      <c r="Q83">
        <v>1.5</v>
      </c>
      <c r="R83">
        <v>2</v>
      </c>
    </row>
    <row r="84" spans="1:18" x14ac:dyDescent="0.35">
      <c r="A84">
        <v>72</v>
      </c>
      <c r="B84">
        <v>23</v>
      </c>
      <c r="C84">
        <v>5</v>
      </c>
      <c r="D84">
        <v>2023</v>
      </c>
      <c r="E84" t="s">
        <v>1059</v>
      </c>
      <c r="F84" t="s">
        <v>1076</v>
      </c>
      <c r="G84" t="s">
        <v>1061</v>
      </c>
      <c r="H84" s="18">
        <v>45069</v>
      </c>
      <c r="I84" t="s">
        <v>97</v>
      </c>
      <c r="J84" t="s">
        <v>23</v>
      </c>
      <c r="K84" s="46" t="s">
        <v>1034</v>
      </c>
      <c r="L84">
        <v>20</v>
      </c>
      <c r="M84" t="s">
        <v>21</v>
      </c>
      <c r="N84">
        <v>4</v>
      </c>
      <c r="O84">
        <v>500</v>
      </c>
      <c r="P84">
        <v>2000</v>
      </c>
      <c r="Q84">
        <v>30</v>
      </c>
      <c r="R84">
        <v>40</v>
      </c>
    </row>
    <row r="85" spans="1:18" x14ac:dyDescent="0.35">
      <c r="A85">
        <v>73</v>
      </c>
      <c r="B85">
        <v>21</v>
      </c>
      <c r="C85">
        <v>8</v>
      </c>
      <c r="D85">
        <v>2023</v>
      </c>
      <c r="E85" t="s">
        <v>1067</v>
      </c>
      <c r="F85" t="s">
        <v>1074</v>
      </c>
      <c r="G85" t="s">
        <v>1061</v>
      </c>
      <c r="H85" s="18">
        <v>45159</v>
      </c>
      <c r="I85" t="s">
        <v>98</v>
      </c>
      <c r="J85" t="s">
        <v>20</v>
      </c>
      <c r="K85" s="46" t="s">
        <v>1034</v>
      </c>
      <c r="L85">
        <v>29</v>
      </c>
      <c r="M85" t="s">
        <v>21</v>
      </c>
      <c r="N85">
        <v>3</v>
      </c>
      <c r="O85">
        <v>30</v>
      </c>
      <c r="P85">
        <v>90</v>
      </c>
      <c r="Q85">
        <v>1.3499999999999999</v>
      </c>
      <c r="R85">
        <v>1.8</v>
      </c>
    </row>
    <row r="86" spans="1:18" x14ac:dyDescent="0.35">
      <c r="A86">
        <v>74</v>
      </c>
      <c r="B86">
        <v>22</v>
      </c>
      <c r="C86">
        <v>11</v>
      </c>
      <c r="D86">
        <v>2023</v>
      </c>
      <c r="E86" t="s">
        <v>1065</v>
      </c>
      <c r="F86" t="s">
        <v>1068</v>
      </c>
      <c r="G86" t="s">
        <v>1061</v>
      </c>
      <c r="H86" s="18">
        <v>45252</v>
      </c>
      <c r="I86" t="s">
        <v>99</v>
      </c>
      <c r="J86" t="s">
        <v>23</v>
      </c>
      <c r="K86" s="46" t="s">
        <v>1034</v>
      </c>
      <c r="L86">
        <v>18</v>
      </c>
      <c r="M86" t="s">
        <v>21</v>
      </c>
      <c r="N86">
        <v>4</v>
      </c>
      <c r="O86">
        <v>500</v>
      </c>
      <c r="P86">
        <v>2000</v>
      </c>
      <c r="Q86">
        <v>30</v>
      </c>
      <c r="R86">
        <v>40</v>
      </c>
    </row>
    <row r="87" spans="1:18" x14ac:dyDescent="0.35">
      <c r="A87">
        <v>75</v>
      </c>
      <c r="B87">
        <v>6</v>
      </c>
      <c r="C87">
        <v>7</v>
      </c>
      <c r="D87">
        <v>2023</v>
      </c>
      <c r="E87" t="s">
        <v>1072</v>
      </c>
      <c r="F87" t="s">
        <v>1078</v>
      </c>
      <c r="G87" t="s">
        <v>1061</v>
      </c>
      <c r="H87" s="18">
        <v>45113</v>
      </c>
      <c r="I87" t="s">
        <v>100</v>
      </c>
      <c r="J87" t="s">
        <v>20</v>
      </c>
      <c r="K87" s="46" t="s">
        <v>1032</v>
      </c>
      <c r="L87">
        <v>61</v>
      </c>
      <c r="M87" t="s">
        <v>21</v>
      </c>
      <c r="N87">
        <v>4</v>
      </c>
      <c r="O87">
        <v>50</v>
      </c>
      <c r="P87">
        <v>200</v>
      </c>
      <c r="Q87">
        <v>3</v>
      </c>
      <c r="R87">
        <v>4</v>
      </c>
    </row>
    <row r="88" spans="1:18" x14ac:dyDescent="0.35">
      <c r="A88">
        <v>76</v>
      </c>
      <c r="B88">
        <v>25</v>
      </c>
      <c r="C88">
        <v>3</v>
      </c>
      <c r="D88">
        <v>2023</v>
      </c>
      <c r="E88" t="s">
        <v>1075</v>
      </c>
      <c r="F88" t="s">
        <v>1066</v>
      </c>
      <c r="G88" t="s">
        <v>1061</v>
      </c>
      <c r="H88" s="18">
        <v>45010</v>
      </c>
      <c r="I88" t="s">
        <v>101</v>
      </c>
      <c r="J88" t="s">
        <v>23</v>
      </c>
      <c r="K88" s="46" t="s">
        <v>1034</v>
      </c>
      <c r="L88">
        <v>22</v>
      </c>
      <c r="M88" t="s">
        <v>21</v>
      </c>
      <c r="N88">
        <v>2</v>
      </c>
      <c r="O88">
        <v>50</v>
      </c>
      <c r="P88">
        <v>100</v>
      </c>
      <c r="Q88">
        <v>1.5</v>
      </c>
      <c r="R88">
        <v>2</v>
      </c>
    </row>
    <row r="89" spans="1:18" x14ac:dyDescent="0.35">
      <c r="A89">
        <v>77</v>
      </c>
      <c r="B89">
        <v>9</v>
      </c>
      <c r="C89">
        <v>7</v>
      </c>
      <c r="D89">
        <v>2023</v>
      </c>
      <c r="E89" t="s">
        <v>1063</v>
      </c>
      <c r="F89" t="s">
        <v>1078</v>
      </c>
      <c r="G89" t="s">
        <v>1061</v>
      </c>
      <c r="H89" s="18">
        <v>45116</v>
      </c>
      <c r="I89" t="s">
        <v>102</v>
      </c>
      <c r="J89" t="s">
        <v>23</v>
      </c>
      <c r="K89" s="46" t="s">
        <v>1030</v>
      </c>
      <c r="L89">
        <v>47</v>
      </c>
      <c r="M89" t="s">
        <v>21</v>
      </c>
      <c r="N89">
        <v>2</v>
      </c>
      <c r="O89">
        <v>50</v>
      </c>
      <c r="P89">
        <v>100</v>
      </c>
      <c r="Q89">
        <v>1.5</v>
      </c>
      <c r="R89">
        <v>2</v>
      </c>
    </row>
    <row r="90" spans="1:18" x14ac:dyDescent="0.35">
      <c r="A90">
        <v>78</v>
      </c>
      <c r="B90">
        <v>1</v>
      </c>
      <c r="C90">
        <v>7</v>
      </c>
      <c r="D90">
        <v>2023</v>
      </c>
      <c r="E90" t="s">
        <v>1075</v>
      </c>
      <c r="F90" t="s">
        <v>1078</v>
      </c>
      <c r="G90" t="s">
        <v>1061</v>
      </c>
      <c r="H90" s="18">
        <v>45108</v>
      </c>
      <c r="I90" t="s">
        <v>103</v>
      </c>
      <c r="J90" t="s">
        <v>23</v>
      </c>
      <c r="K90" s="46" t="s">
        <v>1030</v>
      </c>
      <c r="L90">
        <v>47</v>
      </c>
      <c r="M90" t="s">
        <v>21</v>
      </c>
      <c r="N90">
        <v>3</v>
      </c>
      <c r="O90">
        <v>500</v>
      </c>
      <c r="P90">
        <v>1500</v>
      </c>
      <c r="Q90">
        <v>22.5</v>
      </c>
      <c r="R90">
        <v>30</v>
      </c>
    </row>
    <row r="91" spans="1:18" x14ac:dyDescent="0.35">
      <c r="A91">
        <v>79</v>
      </c>
      <c r="B91">
        <v>18</v>
      </c>
      <c r="C91">
        <v>4</v>
      </c>
      <c r="D91">
        <v>2023</v>
      </c>
      <c r="E91" t="s">
        <v>1059</v>
      </c>
      <c r="F91" t="s">
        <v>1077</v>
      </c>
      <c r="G91" t="s">
        <v>1061</v>
      </c>
      <c r="H91" s="18">
        <v>45034</v>
      </c>
      <c r="I91" t="s">
        <v>104</v>
      </c>
      <c r="J91" t="s">
        <v>20</v>
      </c>
      <c r="K91" s="46" t="s">
        <v>1030</v>
      </c>
      <c r="L91">
        <v>34</v>
      </c>
      <c r="M91" t="s">
        <v>21</v>
      </c>
      <c r="N91">
        <v>1</v>
      </c>
      <c r="O91">
        <v>300</v>
      </c>
      <c r="P91">
        <v>300</v>
      </c>
      <c r="Q91">
        <v>4.5</v>
      </c>
      <c r="R91">
        <v>6</v>
      </c>
    </row>
    <row r="92" spans="1:18" x14ac:dyDescent="0.35">
      <c r="A92">
        <v>80</v>
      </c>
      <c r="B92">
        <v>10</v>
      </c>
      <c r="C92">
        <v>12</v>
      </c>
      <c r="D92">
        <v>2023</v>
      </c>
      <c r="E92" t="s">
        <v>1063</v>
      </c>
      <c r="F92" t="s">
        <v>1062</v>
      </c>
      <c r="G92" t="s">
        <v>1061</v>
      </c>
      <c r="H92" s="18">
        <v>45270</v>
      </c>
      <c r="I92" t="s">
        <v>105</v>
      </c>
      <c r="J92" t="s">
        <v>23</v>
      </c>
      <c r="K92" s="46" t="s">
        <v>1032</v>
      </c>
      <c r="L92">
        <v>64</v>
      </c>
      <c r="M92" t="s">
        <v>21</v>
      </c>
      <c r="N92">
        <v>2</v>
      </c>
      <c r="O92">
        <v>30</v>
      </c>
      <c r="P92">
        <v>60</v>
      </c>
      <c r="Q92">
        <v>0.89999999999999991</v>
      </c>
      <c r="R92">
        <v>1.2</v>
      </c>
    </row>
    <row r="93" spans="1:18" x14ac:dyDescent="0.35">
      <c r="A93">
        <v>81</v>
      </c>
      <c r="B93">
        <v>17</v>
      </c>
      <c r="C93">
        <v>5</v>
      </c>
      <c r="D93">
        <v>2023</v>
      </c>
      <c r="E93" t="s">
        <v>1065</v>
      </c>
      <c r="F93" t="s">
        <v>1076</v>
      </c>
      <c r="G93" t="s">
        <v>1061</v>
      </c>
      <c r="H93" s="18">
        <v>45063</v>
      </c>
      <c r="I93" t="s">
        <v>106</v>
      </c>
      <c r="J93" t="s">
        <v>20</v>
      </c>
      <c r="K93" s="46" t="s">
        <v>1030</v>
      </c>
      <c r="L93">
        <v>40</v>
      </c>
      <c r="M93" t="s">
        <v>21</v>
      </c>
      <c r="N93">
        <v>1</v>
      </c>
      <c r="O93">
        <v>50</v>
      </c>
      <c r="P93">
        <v>50</v>
      </c>
      <c r="Q93">
        <v>0.75</v>
      </c>
      <c r="R93">
        <v>1</v>
      </c>
    </row>
    <row r="94" spans="1:18" x14ac:dyDescent="0.35">
      <c r="A94">
        <v>82</v>
      </c>
      <c r="B94">
        <v>26</v>
      </c>
      <c r="C94">
        <v>12</v>
      </c>
      <c r="D94">
        <v>2023</v>
      </c>
      <c r="E94" t="s">
        <v>1059</v>
      </c>
      <c r="F94" t="s">
        <v>1062</v>
      </c>
      <c r="G94" t="s">
        <v>1061</v>
      </c>
      <c r="H94" s="18">
        <v>45286</v>
      </c>
      <c r="I94" t="s">
        <v>107</v>
      </c>
      <c r="J94" t="s">
        <v>23</v>
      </c>
      <c r="K94" s="46" t="s">
        <v>1030</v>
      </c>
      <c r="L94">
        <v>32</v>
      </c>
      <c r="M94" t="s">
        <v>21</v>
      </c>
      <c r="N94">
        <v>4</v>
      </c>
      <c r="O94">
        <v>50</v>
      </c>
      <c r="P94">
        <v>200</v>
      </c>
      <c r="Q94">
        <v>3</v>
      </c>
      <c r="R94">
        <v>4</v>
      </c>
    </row>
    <row r="95" spans="1:18" x14ac:dyDescent="0.35">
      <c r="A95">
        <v>83</v>
      </c>
      <c r="B95">
        <v>16</v>
      </c>
      <c r="C95">
        <v>12</v>
      </c>
      <c r="D95">
        <v>2023</v>
      </c>
      <c r="E95" t="s">
        <v>1075</v>
      </c>
      <c r="F95" t="s">
        <v>1062</v>
      </c>
      <c r="G95" t="s">
        <v>1061</v>
      </c>
      <c r="H95" s="18">
        <v>45276</v>
      </c>
      <c r="I95" t="s">
        <v>108</v>
      </c>
      <c r="J95" t="s">
        <v>20</v>
      </c>
      <c r="K95" s="46" t="s">
        <v>1032</v>
      </c>
      <c r="L95">
        <v>54</v>
      </c>
      <c r="M95" t="s">
        <v>21</v>
      </c>
      <c r="N95">
        <v>2</v>
      </c>
      <c r="O95">
        <v>50</v>
      </c>
      <c r="P95">
        <v>100</v>
      </c>
      <c r="Q95">
        <v>1.5</v>
      </c>
      <c r="R95">
        <v>2</v>
      </c>
    </row>
    <row r="96" spans="1:18" x14ac:dyDescent="0.35">
      <c r="A96">
        <v>84</v>
      </c>
      <c r="B96">
        <v>28</v>
      </c>
      <c r="C96">
        <v>11</v>
      </c>
      <c r="D96">
        <v>2023</v>
      </c>
      <c r="E96" t="s">
        <v>1059</v>
      </c>
      <c r="F96" t="s">
        <v>1068</v>
      </c>
      <c r="G96" t="s">
        <v>1061</v>
      </c>
      <c r="H96" s="18">
        <v>45258</v>
      </c>
      <c r="I96" t="s">
        <v>109</v>
      </c>
      <c r="J96" t="s">
        <v>23</v>
      </c>
      <c r="K96" s="46" t="s">
        <v>1030</v>
      </c>
      <c r="L96">
        <v>38</v>
      </c>
      <c r="M96" t="s">
        <v>21</v>
      </c>
      <c r="N96">
        <v>3</v>
      </c>
      <c r="O96">
        <v>30</v>
      </c>
      <c r="P96">
        <v>90</v>
      </c>
      <c r="Q96">
        <v>1.3499999999999999</v>
      </c>
      <c r="R96">
        <v>1.8</v>
      </c>
    </row>
    <row r="97" spans="1:18" x14ac:dyDescent="0.35">
      <c r="A97">
        <v>85</v>
      </c>
      <c r="B97">
        <v>6</v>
      </c>
      <c r="C97">
        <v>2</v>
      </c>
      <c r="D97">
        <v>2023</v>
      </c>
      <c r="E97" t="s">
        <v>1067</v>
      </c>
      <c r="F97" t="s">
        <v>1073</v>
      </c>
      <c r="G97" t="s">
        <v>1061</v>
      </c>
      <c r="H97" s="18">
        <v>44963</v>
      </c>
      <c r="I97" t="s">
        <v>110</v>
      </c>
      <c r="J97" t="s">
        <v>20</v>
      </c>
      <c r="K97" s="46" t="s">
        <v>1030</v>
      </c>
      <c r="L97">
        <v>31</v>
      </c>
      <c r="M97" t="s">
        <v>21</v>
      </c>
      <c r="N97">
        <v>3</v>
      </c>
      <c r="O97">
        <v>50</v>
      </c>
      <c r="P97">
        <v>150</v>
      </c>
      <c r="Q97">
        <v>2.25</v>
      </c>
      <c r="R97">
        <v>3</v>
      </c>
    </row>
    <row r="98" spans="1:18" x14ac:dyDescent="0.35">
      <c r="A98">
        <v>86</v>
      </c>
      <c r="B98">
        <v>8</v>
      </c>
      <c r="C98">
        <v>11</v>
      </c>
      <c r="D98">
        <v>2023</v>
      </c>
      <c r="E98" t="s">
        <v>1065</v>
      </c>
      <c r="F98" t="s">
        <v>1068</v>
      </c>
      <c r="G98" t="s">
        <v>1061</v>
      </c>
      <c r="H98" s="18">
        <v>45238</v>
      </c>
      <c r="I98" t="s">
        <v>111</v>
      </c>
      <c r="J98" t="s">
        <v>20</v>
      </c>
      <c r="K98" s="46" t="s">
        <v>1034</v>
      </c>
      <c r="L98">
        <v>19</v>
      </c>
      <c r="M98" t="s">
        <v>21</v>
      </c>
      <c r="N98">
        <v>3</v>
      </c>
      <c r="O98">
        <v>30</v>
      </c>
      <c r="P98">
        <v>90</v>
      </c>
      <c r="Q98">
        <v>1.3499999999999999</v>
      </c>
      <c r="R98">
        <v>1.8</v>
      </c>
    </row>
    <row r="99" spans="1:18" x14ac:dyDescent="0.35">
      <c r="A99">
        <v>87</v>
      </c>
      <c r="B99">
        <v>22</v>
      </c>
      <c r="C99">
        <v>11</v>
      </c>
      <c r="D99">
        <v>2023</v>
      </c>
      <c r="E99" t="s">
        <v>1065</v>
      </c>
      <c r="F99" t="s">
        <v>1068</v>
      </c>
      <c r="G99" t="s">
        <v>1061</v>
      </c>
      <c r="H99" s="18">
        <v>45252</v>
      </c>
      <c r="I99" t="s">
        <v>112</v>
      </c>
      <c r="J99" t="s">
        <v>23</v>
      </c>
      <c r="K99" s="46" t="s">
        <v>1034</v>
      </c>
      <c r="L99">
        <v>28</v>
      </c>
      <c r="M99" t="s">
        <v>21</v>
      </c>
      <c r="N99">
        <v>2</v>
      </c>
      <c r="O99">
        <v>50</v>
      </c>
      <c r="P99">
        <v>100</v>
      </c>
      <c r="Q99">
        <v>1.5</v>
      </c>
      <c r="R99">
        <v>2</v>
      </c>
    </row>
    <row r="100" spans="1:18" x14ac:dyDescent="0.35">
      <c r="A100">
        <v>88</v>
      </c>
      <c r="B100">
        <v>29</v>
      </c>
      <c r="C100">
        <v>3</v>
      </c>
      <c r="D100">
        <v>2023</v>
      </c>
      <c r="E100" t="s">
        <v>1065</v>
      </c>
      <c r="F100" t="s">
        <v>1066</v>
      </c>
      <c r="G100" t="s">
        <v>1061</v>
      </c>
      <c r="H100" s="18">
        <v>45014</v>
      </c>
      <c r="I100" t="s">
        <v>113</v>
      </c>
      <c r="J100" t="s">
        <v>20</v>
      </c>
      <c r="K100" s="46" t="s">
        <v>1032</v>
      </c>
      <c r="L100">
        <v>56</v>
      </c>
      <c r="M100" t="s">
        <v>21</v>
      </c>
      <c r="N100">
        <v>1</v>
      </c>
      <c r="O100">
        <v>500</v>
      </c>
      <c r="P100">
        <v>500</v>
      </c>
      <c r="Q100">
        <v>7.5</v>
      </c>
      <c r="R100">
        <v>10</v>
      </c>
    </row>
    <row r="101" spans="1:18" x14ac:dyDescent="0.35">
      <c r="A101">
        <v>89</v>
      </c>
      <c r="B101">
        <v>1</v>
      </c>
      <c r="C101">
        <v>10</v>
      </c>
      <c r="D101">
        <v>2023</v>
      </c>
      <c r="E101" t="s">
        <v>1063</v>
      </c>
      <c r="F101" t="s">
        <v>1064</v>
      </c>
      <c r="G101" t="s">
        <v>1061</v>
      </c>
      <c r="H101" s="18">
        <v>45200</v>
      </c>
      <c r="I101" t="s">
        <v>114</v>
      </c>
      <c r="J101" t="s">
        <v>23</v>
      </c>
      <c r="K101" s="46" t="s">
        <v>1032</v>
      </c>
      <c r="L101">
        <v>55</v>
      </c>
      <c r="M101" t="s">
        <v>21</v>
      </c>
      <c r="N101">
        <v>4</v>
      </c>
      <c r="O101">
        <v>500</v>
      </c>
      <c r="P101">
        <v>2000</v>
      </c>
      <c r="Q101">
        <v>30</v>
      </c>
      <c r="R101">
        <v>40</v>
      </c>
    </row>
    <row r="102" spans="1:18" x14ac:dyDescent="0.35">
      <c r="A102">
        <v>90</v>
      </c>
      <c r="B102">
        <v>6</v>
      </c>
      <c r="C102">
        <v>5</v>
      </c>
      <c r="D102">
        <v>2023</v>
      </c>
      <c r="E102" t="s">
        <v>1075</v>
      </c>
      <c r="F102" t="s">
        <v>1076</v>
      </c>
      <c r="G102" t="s">
        <v>1061</v>
      </c>
      <c r="H102" s="18">
        <v>45052</v>
      </c>
      <c r="I102" t="s">
        <v>115</v>
      </c>
      <c r="J102" t="s">
        <v>23</v>
      </c>
      <c r="K102" s="46" t="s">
        <v>1032</v>
      </c>
      <c r="L102">
        <v>51</v>
      </c>
      <c r="M102" t="s">
        <v>21</v>
      </c>
      <c r="N102">
        <v>1</v>
      </c>
      <c r="O102">
        <v>30</v>
      </c>
      <c r="P102">
        <v>30</v>
      </c>
      <c r="Q102">
        <v>0.44999999999999996</v>
      </c>
      <c r="R102">
        <v>0.6</v>
      </c>
    </row>
    <row r="103" spans="1:18" x14ac:dyDescent="0.35">
      <c r="A103">
        <v>91</v>
      </c>
      <c r="B103">
        <v>25</v>
      </c>
      <c r="C103">
        <v>3</v>
      </c>
      <c r="D103">
        <v>2023</v>
      </c>
      <c r="E103" t="s">
        <v>1075</v>
      </c>
      <c r="F103" t="s">
        <v>1066</v>
      </c>
      <c r="G103" t="s">
        <v>1061</v>
      </c>
      <c r="H103" s="18">
        <v>45010</v>
      </c>
      <c r="I103" t="s">
        <v>116</v>
      </c>
      <c r="J103" t="s">
        <v>23</v>
      </c>
      <c r="K103" s="46" t="s">
        <v>1032</v>
      </c>
      <c r="L103">
        <v>55</v>
      </c>
      <c r="M103" t="s">
        <v>21</v>
      </c>
      <c r="N103">
        <v>1</v>
      </c>
      <c r="O103">
        <v>500</v>
      </c>
      <c r="P103">
        <v>500</v>
      </c>
      <c r="Q103">
        <v>7.5</v>
      </c>
      <c r="R103">
        <v>10</v>
      </c>
    </row>
    <row r="104" spans="1:18" x14ac:dyDescent="0.35">
      <c r="A104">
        <v>92</v>
      </c>
      <c r="B104">
        <v>25</v>
      </c>
      <c r="C104">
        <v>8</v>
      </c>
      <c r="D104">
        <v>2023</v>
      </c>
      <c r="E104" t="s">
        <v>1070</v>
      </c>
      <c r="F104" t="s">
        <v>1074</v>
      </c>
      <c r="G104" t="s">
        <v>1061</v>
      </c>
      <c r="H104" s="18">
        <v>45163</v>
      </c>
      <c r="I104" t="s">
        <v>117</v>
      </c>
      <c r="J104" t="s">
        <v>23</v>
      </c>
      <c r="K104" s="46" t="s">
        <v>1032</v>
      </c>
      <c r="L104">
        <v>51</v>
      </c>
      <c r="M104" t="s">
        <v>21</v>
      </c>
      <c r="N104">
        <v>4</v>
      </c>
      <c r="O104">
        <v>30</v>
      </c>
      <c r="P104">
        <v>120</v>
      </c>
      <c r="Q104">
        <v>1.7999999999999998</v>
      </c>
      <c r="R104">
        <v>2.4</v>
      </c>
    </row>
    <row r="105" spans="1:18" x14ac:dyDescent="0.35">
      <c r="A105">
        <v>93</v>
      </c>
      <c r="B105">
        <v>14</v>
      </c>
      <c r="C105">
        <v>7</v>
      </c>
      <c r="D105">
        <v>2023</v>
      </c>
      <c r="E105" t="s">
        <v>1070</v>
      </c>
      <c r="F105" t="s">
        <v>1078</v>
      </c>
      <c r="G105" t="s">
        <v>1061</v>
      </c>
      <c r="H105" s="18">
        <v>45121</v>
      </c>
      <c r="I105" t="s">
        <v>118</v>
      </c>
      <c r="J105" t="s">
        <v>23</v>
      </c>
      <c r="K105" s="46" t="s">
        <v>1030</v>
      </c>
      <c r="L105">
        <v>35</v>
      </c>
      <c r="M105" t="s">
        <v>21</v>
      </c>
      <c r="N105">
        <v>4</v>
      </c>
      <c r="O105">
        <v>500</v>
      </c>
      <c r="P105">
        <v>2000</v>
      </c>
      <c r="Q105">
        <v>30</v>
      </c>
      <c r="R105">
        <v>40</v>
      </c>
    </row>
    <row r="106" spans="1:18" x14ac:dyDescent="0.35">
      <c r="A106">
        <v>94</v>
      </c>
      <c r="B106">
        <v>19</v>
      </c>
      <c r="C106">
        <v>5</v>
      </c>
      <c r="D106">
        <v>2023</v>
      </c>
      <c r="E106" t="s">
        <v>1070</v>
      </c>
      <c r="F106" t="s">
        <v>1076</v>
      </c>
      <c r="G106" t="s">
        <v>1061</v>
      </c>
      <c r="H106" s="18">
        <v>45065</v>
      </c>
      <c r="I106" t="s">
        <v>119</v>
      </c>
      <c r="J106" t="s">
        <v>23</v>
      </c>
      <c r="K106" s="46" t="s">
        <v>1030</v>
      </c>
      <c r="L106">
        <v>47</v>
      </c>
      <c r="M106" t="s">
        <v>21</v>
      </c>
      <c r="N106">
        <v>2</v>
      </c>
      <c r="O106">
        <v>500</v>
      </c>
      <c r="P106">
        <v>1000</v>
      </c>
      <c r="Q106">
        <v>15</v>
      </c>
      <c r="R106">
        <v>20</v>
      </c>
    </row>
    <row r="107" spans="1:18" x14ac:dyDescent="0.35">
      <c r="A107">
        <v>95</v>
      </c>
      <c r="B107">
        <v>24</v>
      </c>
      <c r="C107">
        <v>11</v>
      </c>
      <c r="D107">
        <v>2023</v>
      </c>
      <c r="E107" t="s">
        <v>1070</v>
      </c>
      <c r="F107" t="s">
        <v>1068</v>
      </c>
      <c r="G107" t="s">
        <v>1061</v>
      </c>
      <c r="H107" s="18">
        <v>45254</v>
      </c>
      <c r="I107" t="s">
        <v>120</v>
      </c>
      <c r="J107" t="s">
        <v>23</v>
      </c>
      <c r="K107" s="46" t="s">
        <v>1030</v>
      </c>
      <c r="L107">
        <v>32</v>
      </c>
      <c r="M107" t="s">
        <v>21</v>
      </c>
      <c r="N107">
        <v>2</v>
      </c>
      <c r="O107">
        <v>30</v>
      </c>
      <c r="P107">
        <v>60</v>
      </c>
      <c r="Q107">
        <v>0.89999999999999991</v>
      </c>
      <c r="R107">
        <v>1.2</v>
      </c>
    </row>
    <row r="108" spans="1:18" x14ac:dyDescent="0.35">
      <c r="A108">
        <v>96</v>
      </c>
      <c r="B108">
        <v>19</v>
      </c>
      <c r="C108">
        <v>12</v>
      </c>
      <c r="D108">
        <v>2023</v>
      </c>
      <c r="E108" t="s">
        <v>1059</v>
      </c>
      <c r="F108" t="s">
        <v>1062</v>
      </c>
      <c r="G108" t="s">
        <v>1061</v>
      </c>
      <c r="H108" s="18">
        <v>45279</v>
      </c>
      <c r="I108" t="s">
        <v>121</v>
      </c>
      <c r="J108" t="s">
        <v>23</v>
      </c>
      <c r="K108" s="46" t="s">
        <v>1030</v>
      </c>
      <c r="L108">
        <v>44</v>
      </c>
      <c r="M108" t="s">
        <v>21</v>
      </c>
      <c r="N108">
        <v>2</v>
      </c>
      <c r="O108">
        <v>300</v>
      </c>
      <c r="P108">
        <v>600</v>
      </c>
      <c r="Q108">
        <v>9</v>
      </c>
      <c r="R108">
        <v>12</v>
      </c>
    </row>
    <row r="109" spans="1:18" x14ac:dyDescent="0.35">
      <c r="A109">
        <v>97</v>
      </c>
      <c r="B109">
        <v>13</v>
      </c>
      <c r="C109">
        <v>10</v>
      </c>
      <c r="D109">
        <v>2023</v>
      </c>
      <c r="E109" t="s">
        <v>1070</v>
      </c>
      <c r="F109" t="s">
        <v>1064</v>
      </c>
      <c r="G109" t="s">
        <v>1061</v>
      </c>
      <c r="H109" s="18">
        <v>45212</v>
      </c>
      <c r="I109" t="s">
        <v>122</v>
      </c>
      <c r="J109" t="s">
        <v>23</v>
      </c>
      <c r="K109" s="46" t="s">
        <v>1032</v>
      </c>
      <c r="L109">
        <v>51</v>
      </c>
      <c r="M109" t="s">
        <v>21</v>
      </c>
      <c r="N109">
        <v>2</v>
      </c>
      <c r="O109">
        <v>500</v>
      </c>
      <c r="P109">
        <v>1000</v>
      </c>
      <c r="Q109">
        <v>15</v>
      </c>
      <c r="R109">
        <v>20</v>
      </c>
    </row>
    <row r="110" spans="1:18" x14ac:dyDescent="0.35">
      <c r="A110">
        <v>98</v>
      </c>
      <c r="B110">
        <v>23</v>
      </c>
      <c r="C110">
        <v>4</v>
      </c>
      <c r="D110">
        <v>2023</v>
      </c>
      <c r="E110" t="s">
        <v>1063</v>
      </c>
      <c r="F110" t="s">
        <v>1077</v>
      </c>
      <c r="G110" t="s">
        <v>1061</v>
      </c>
      <c r="H110" s="18">
        <v>45039</v>
      </c>
      <c r="I110" t="s">
        <v>123</v>
      </c>
      <c r="J110" t="s">
        <v>23</v>
      </c>
      <c r="K110" s="46" t="s">
        <v>1032</v>
      </c>
      <c r="L110">
        <v>55</v>
      </c>
      <c r="M110" t="s">
        <v>21</v>
      </c>
      <c r="N110">
        <v>2</v>
      </c>
      <c r="O110">
        <v>50</v>
      </c>
      <c r="P110">
        <v>100</v>
      </c>
      <c r="Q110">
        <v>1.5</v>
      </c>
      <c r="R110">
        <v>2</v>
      </c>
    </row>
    <row r="111" spans="1:18" x14ac:dyDescent="0.35">
      <c r="A111">
        <v>99</v>
      </c>
      <c r="B111">
        <v>17</v>
      </c>
      <c r="C111">
        <v>12</v>
      </c>
      <c r="D111">
        <v>2023</v>
      </c>
      <c r="E111" t="s">
        <v>1063</v>
      </c>
      <c r="F111" t="s">
        <v>1062</v>
      </c>
      <c r="G111" t="s">
        <v>1061</v>
      </c>
      <c r="H111" s="18">
        <v>45277</v>
      </c>
      <c r="I111" t="s">
        <v>124</v>
      </c>
      <c r="J111" t="s">
        <v>23</v>
      </c>
      <c r="K111" s="46" t="s">
        <v>1030</v>
      </c>
      <c r="L111">
        <v>50</v>
      </c>
      <c r="M111" t="s">
        <v>21</v>
      </c>
      <c r="N111">
        <v>4</v>
      </c>
      <c r="O111">
        <v>300</v>
      </c>
      <c r="P111">
        <v>1200</v>
      </c>
      <c r="Q111">
        <v>18</v>
      </c>
      <c r="R111">
        <v>24</v>
      </c>
    </row>
    <row r="112" spans="1:18" x14ac:dyDescent="0.35">
      <c r="A112">
        <v>100</v>
      </c>
      <c r="B112">
        <v>16</v>
      </c>
      <c r="C112">
        <v>6</v>
      </c>
      <c r="D112">
        <v>2023</v>
      </c>
      <c r="E112" t="s">
        <v>1070</v>
      </c>
      <c r="F112" t="s">
        <v>1069</v>
      </c>
      <c r="G112" t="s">
        <v>1061</v>
      </c>
      <c r="H112" s="18">
        <v>45093</v>
      </c>
      <c r="I112" t="s">
        <v>125</v>
      </c>
      <c r="J112" t="s">
        <v>20</v>
      </c>
      <c r="K112" s="46" t="s">
        <v>1030</v>
      </c>
      <c r="L112">
        <v>41</v>
      </c>
      <c r="M112" t="s">
        <v>21</v>
      </c>
      <c r="N112">
        <v>1</v>
      </c>
      <c r="O112">
        <v>30</v>
      </c>
      <c r="P112">
        <v>30</v>
      </c>
      <c r="Q112">
        <v>0.44999999999999996</v>
      </c>
      <c r="R112">
        <v>0.6</v>
      </c>
    </row>
    <row r="113" spans="1:18" x14ac:dyDescent="0.35">
      <c r="A113">
        <v>101</v>
      </c>
      <c r="B113">
        <v>29</v>
      </c>
      <c r="C113">
        <v>1</v>
      </c>
      <c r="D113">
        <v>2023</v>
      </c>
      <c r="E113" t="s">
        <v>1063</v>
      </c>
      <c r="F113" t="s">
        <v>1060</v>
      </c>
      <c r="G113" t="s">
        <v>1061</v>
      </c>
      <c r="H113" s="18">
        <v>44955</v>
      </c>
      <c r="I113" t="s">
        <v>126</v>
      </c>
      <c r="J113" t="s">
        <v>20</v>
      </c>
      <c r="K113" s="46" t="s">
        <v>1030</v>
      </c>
      <c r="L113">
        <v>32</v>
      </c>
      <c r="M113" t="s">
        <v>21</v>
      </c>
      <c r="N113">
        <v>2</v>
      </c>
      <c r="O113">
        <v>300</v>
      </c>
      <c r="P113">
        <v>600</v>
      </c>
      <c r="Q113">
        <v>9</v>
      </c>
      <c r="R113">
        <v>12</v>
      </c>
    </row>
    <row r="114" spans="1:18" x14ac:dyDescent="0.35">
      <c r="A114">
        <v>102</v>
      </c>
      <c r="B114">
        <v>28</v>
      </c>
      <c r="C114">
        <v>4</v>
      </c>
      <c r="D114">
        <v>2023</v>
      </c>
      <c r="E114" t="s">
        <v>1070</v>
      </c>
      <c r="F114" t="s">
        <v>1077</v>
      </c>
      <c r="G114" t="s">
        <v>1061</v>
      </c>
      <c r="H114" s="18">
        <v>45044</v>
      </c>
      <c r="I114" t="s">
        <v>127</v>
      </c>
      <c r="J114" t="s">
        <v>23</v>
      </c>
      <c r="K114" s="46" t="s">
        <v>1030</v>
      </c>
      <c r="L114">
        <v>47</v>
      </c>
      <c r="M114" t="s">
        <v>21</v>
      </c>
      <c r="N114">
        <v>2</v>
      </c>
      <c r="O114">
        <v>25</v>
      </c>
      <c r="P114">
        <v>50</v>
      </c>
      <c r="Q114">
        <v>0.75</v>
      </c>
      <c r="R114">
        <v>1</v>
      </c>
    </row>
    <row r="115" spans="1:18" x14ac:dyDescent="0.35">
      <c r="A115">
        <v>103</v>
      </c>
      <c r="B115">
        <v>17</v>
      </c>
      <c r="C115">
        <v>1</v>
      </c>
      <c r="D115">
        <v>2023</v>
      </c>
      <c r="E115" t="s">
        <v>1059</v>
      </c>
      <c r="F115" t="s">
        <v>1060</v>
      </c>
      <c r="G115" t="s">
        <v>1061</v>
      </c>
      <c r="H115" s="18">
        <v>44943</v>
      </c>
      <c r="I115" t="s">
        <v>128</v>
      </c>
      <c r="J115" t="s">
        <v>23</v>
      </c>
      <c r="K115" s="46" t="s">
        <v>1032</v>
      </c>
      <c r="L115">
        <v>59</v>
      </c>
      <c r="M115" t="s">
        <v>21</v>
      </c>
      <c r="N115">
        <v>1</v>
      </c>
      <c r="O115">
        <v>25</v>
      </c>
      <c r="P115">
        <v>25</v>
      </c>
      <c r="Q115">
        <v>0.375</v>
      </c>
      <c r="R115">
        <v>0.5</v>
      </c>
    </row>
    <row r="116" spans="1:18" x14ac:dyDescent="0.35">
      <c r="A116">
        <v>104</v>
      </c>
      <c r="B116">
        <v>11</v>
      </c>
      <c r="C116">
        <v>6</v>
      </c>
      <c r="D116">
        <v>2023</v>
      </c>
      <c r="E116" t="s">
        <v>1063</v>
      </c>
      <c r="F116" t="s">
        <v>1069</v>
      </c>
      <c r="G116" t="s">
        <v>1061</v>
      </c>
      <c r="H116" s="18">
        <v>45088</v>
      </c>
      <c r="I116" t="s">
        <v>129</v>
      </c>
      <c r="J116" t="s">
        <v>23</v>
      </c>
      <c r="K116" s="46" t="s">
        <v>1030</v>
      </c>
      <c r="L116">
        <v>34</v>
      </c>
      <c r="M116" t="s">
        <v>21</v>
      </c>
      <c r="N116">
        <v>2</v>
      </c>
      <c r="O116">
        <v>500</v>
      </c>
      <c r="P116">
        <v>1000</v>
      </c>
      <c r="Q116">
        <v>15</v>
      </c>
      <c r="R116">
        <v>20</v>
      </c>
    </row>
    <row r="117" spans="1:18" x14ac:dyDescent="0.35">
      <c r="A117">
        <v>105</v>
      </c>
      <c r="B117">
        <v>25</v>
      </c>
      <c r="C117">
        <v>7</v>
      </c>
      <c r="D117">
        <v>2023</v>
      </c>
      <c r="E117" t="s">
        <v>1059</v>
      </c>
      <c r="F117" t="s">
        <v>1078</v>
      </c>
      <c r="G117" t="s">
        <v>1061</v>
      </c>
      <c r="H117" s="18">
        <v>45132</v>
      </c>
      <c r="I117" t="s">
        <v>130</v>
      </c>
      <c r="J117" t="s">
        <v>23</v>
      </c>
      <c r="K117" s="46" t="s">
        <v>1034</v>
      </c>
      <c r="L117">
        <v>22</v>
      </c>
      <c r="M117" t="s">
        <v>21</v>
      </c>
      <c r="N117">
        <v>1</v>
      </c>
      <c r="O117">
        <v>500</v>
      </c>
      <c r="P117">
        <v>500</v>
      </c>
      <c r="Q117">
        <v>7.5</v>
      </c>
      <c r="R117">
        <v>10</v>
      </c>
    </row>
    <row r="118" spans="1:18" x14ac:dyDescent="0.35">
      <c r="A118">
        <v>106</v>
      </c>
      <c r="B118">
        <v>18</v>
      </c>
      <c r="C118">
        <v>5</v>
      </c>
      <c r="D118">
        <v>2023</v>
      </c>
      <c r="E118" t="s">
        <v>1072</v>
      </c>
      <c r="F118" t="s">
        <v>1076</v>
      </c>
      <c r="G118" t="s">
        <v>1061</v>
      </c>
      <c r="H118" s="18">
        <v>45064</v>
      </c>
      <c r="I118" t="s">
        <v>131</v>
      </c>
      <c r="J118" t="s">
        <v>23</v>
      </c>
      <c r="K118" s="46" t="s">
        <v>1030</v>
      </c>
      <c r="L118">
        <v>46</v>
      </c>
      <c r="M118" t="s">
        <v>21</v>
      </c>
      <c r="N118">
        <v>1</v>
      </c>
      <c r="O118">
        <v>50</v>
      </c>
      <c r="P118">
        <v>50</v>
      </c>
      <c r="Q118">
        <v>0.75</v>
      </c>
      <c r="R118">
        <v>1</v>
      </c>
    </row>
    <row r="119" spans="1:18" x14ac:dyDescent="0.35">
      <c r="A119">
        <v>107</v>
      </c>
      <c r="B119">
        <v>3</v>
      </c>
      <c r="C119">
        <v>2</v>
      </c>
      <c r="D119">
        <v>2023</v>
      </c>
      <c r="E119" t="s">
        <v>1070</v>
      </c>
      <c r="F119" t="s">
        <v>1073</v>
      </c>
      <c r="G119" t="s">
        <v>1061</v>
      </c>
      <c r="H119" s="18">
        <v>44960</v>
      </c>
      <c r="I119" t="s">
        <v>132</v>
      </c>
      <c r="J119" t="s">
        <v>23</v>
      </c>
      <c r="K119" s="46" t="s">
        <v>1034</v>
      </c>
      <c r="L119">
        <v>21</v>
      </c>
      <c r="M119" t="s">
        <v>21</v>
      </c>
      <c r="N119">
        <v>4</v>
      </c>
      <c r="O119">
        <v>300</v>
      </c>
      <c r="P119">
        <v>1200</v>
      </c>
      <c r="Q119">
        <v>18</v>
      </c>
      <c r="R119">
        <v>24</v>
      </c>
    </row>
    <row r="120" spans="1:18" x14ac:dyDescent="0.35">
      <c r="A120">
        <v>108</v>
      </c>
      <c r="B120">
        <v>19</v>
      </c>
      <c r="C120">
        <v>4</v>
      </c>
      <c r="D120">
        <v>2023</v>
      </c>
      <c r="E120" t="s">
        <v>1065</v>
      </c>
      <c r="F120" t="s">
        <v>1077</v>
      </c>
      <c r="G120" t="s">
        <v>1061</v>
      </c>
      <c r="H120" s="18">
        <v>45035</v>
      </c>
      <c r="I120" t="s">
        <v>133</v>
      </c>
      <c r="J120" t="s">
        <v>23</v>
      </c>
      <c r="K120" s="46" t="s">
        <v>1034</v>
      </c>
      <c r="L120">
        <v>27</v>
      </c>
      <c r="M120" t="s">
        <v>21</v>
      </c>
      <c r="N120">
        <v>3</v>
      </c>
      <c r="O120">
        <v>25</v>
      </c>
      <c r="P120">
        <v>75</v>
      </c>
      <c r="Q120">
        <v>1.125</v>
      </c>
      <c r="R120">
        <v>1.5</v>
      </c>
    </row>
    <row r="121" spans="1:18" x14ac:dyDescent="0.35">
      <c r="A121">
        <v>109</v>
      </c>
      <c r="B121">
        <v>18</v>
      </c>
      <c r="C121">
        <v>10</v>
      </c>
      <c r="D121">
        <v>2023</v>
      </c>
      <c r="E121" t="s">
        <v>1065</v>
      </c>
      <c r="F121" t="s">
        <v>1064</v>
      </c>
      <c r="G121" t="s">
        <v>1061</v>
      </c>
      <c r="H121" s="18">
        <v>45217</v>
      </c>
      <c r="I121" t="s">
        <v>134</v>
      </c>
      <c r="J121" t="s">
        <v>23</v>
      </c>
      <c r="K121" s="46" t="s">
        <v>1030</v>
      </c>
      <c r="L121">
        <v>34</v>
      </c>
      <c r="M121" t="s">
        <v>21</v>
      </c>
      <c r="N121">
        <v>4</v>
      </c>
      <c r="O121">
        <v>500</v>
      </c>
      <c r="P121">
        <v>2000</v>
      </c>
      <c r="Q121">
        <v>30</v>
      </c>
      <c r="R121">
        <v>40</v>
      </c>
    </row>
    <row r="122" spans="1:18" x14ac:dyDescent="0.35">
      <c r="A122">
        <v>110</v>
      </c>
      <c r="B122">
        <v>11</v>
      </c>
      <c r="C122">
        <v>6</v>
      </c>
      <c r="D122">
        <v>2023</v>
      </c>
      <c r="E122" t="s">
        <v>1063</v>
      </c>
      <c r="F122" t="s">
        <v>1069</v>
      </c>
      <c r="G122" t="s">
        <v>1061</v>
      </c>
      <c r="H122" s="18">
        <v>45088</v>
      </c>
      <c r="I122" t="s">
        <v>135</v>
      </c>
      <c r="J122" t="s">
        <v>20</v>
      </c>
      <c r="K122" s="46" t="s">
        <v>1034</v>
      </c>
      <c r="L122">
        <v>27</v>
      </c>
      <c r="M122" t="s">
        <v>21</v>
      </c>
      <c r="N122">
        <v>3</v>
      </c>
      <c r="O122">
        <v>300</v>
      </c>
      <c r="P122">
        <v>900</v>
      </c>
      <c r="Q122">
        <v>13.5</v>
      </c>
      <c r="R122">
        <v>18</v>
      </c>
    </row>
    <row r="123" spans="1:18" x14ac:dyDescent="0.35">
      <c r="A123">
        <v>111</v>
      </c>
      <c r="B123">
        <v>19</v>
      </c>
      <c r="C123">
        <v>4</v>
      </c>
      <c r="D123">
        <v>2023</v>
      </c>
      <c r="E123" t="s">
        <v>1065</v>
      </c>
      <c r="F123" t="s">
        <v>1077</v>
      </c>
      <c r="G123" t="s">
        <v>1061</v>
      </c>
      <c r="H123" s="18">
        <v>45035</v>
      </c>
      <c r="I123" t="s">
        <v>136</v>
      </c>
      <c r="J123" t="s">
        <v>23</v>
      </c>
      <c r="K123" s="46" t="s">
        <v>1030</v>
      </c>
      <c r="L123">
        <v>34</v>
      </c>
      <c r="M123" t="s">
        <v>21</v>
      </c>
      <c r="N123">
        <v>3</v>
      </c>
      <c r="O123">
        <v>500</v>
      </c>
      <c r="P123">
        <v>1500</v>
      </c>
      <c r="Q123">
        <v>22.5</v>
      </c>
      <c r="R123">
        <v>30</v>
      </c>
    </row>
    <row r="124" spans="1:18" x14ac:dyDescent="0.35">
      <c r="A124">
        <v>112</v>
      </c>
      <c r="B124">
        <v>2</v>
      </c>
      <c r="C124">
        <v>12</v>
      </c>
      <c r="D124">
        <v>2023</v>
      </c>
      <c r="E124" t="s">
        <v>1075</v>
      </c>
      <c r="F124" t="s">
        <v>1062</v>
      </c>
      <c r="G124" t="s">
        <v>1061</v>
      </c>
      <c r="H124" s="18">
        <v>45262</v>
      </c>
      <c r="I124" t="s">
        <v>137</v>
      </c>
      <c r="J124" t="s">
        <v>20</v>
      </c>
      <c r="K124" s="46" t="s">
        <v>1030</v>
      </c>
      <c r="L124">
        <v>37</v>
      </c>
      <c r="M124" t="s">
        <v>21</v>
      </c>
      <c r="N124">
        <v>3</v>
      </c>
      <c r="O124">
        <v>500</v>
      </c>
      <c r="P124">
        <v>1500</v>
      </c>
      <c r="Q124">
        <v>22.5</v>
      </c>
      <c r="R124">
        <v>30</v>
      </c>
    </row>
    <row r="125" spans="1:18" x14ac:dyDescent="0.35">
      <c r="A125">
        <v>113</v>
      </c>
      <c r="B125">
        <v>13</v>
      </c>
      <c r="C125">
        <v>9</v>
      </c>
      <c r="D125">
        <v>2023</v>
      </c>
      <c r="E125" t="s">
        <v>1065</v>
      </c>
      <c r="F125" t="s">
        <v>1071</v>
      </c>
      <c r="G125" t="s">
        <v>1061</v>
      </c>
      <c r="H125" s="18">
        <v>45182</v>
      </c>
      <c r="I125" t="s">
        <v>138</v>
      </c>
      <c r="J125" t="s">
        <v>23</v>
      </c>
      <c r="K125" s="46" t="s">
        <v>1030</v>
      </c>
      <c r="L125">
        <v>41</v>
      </c>
      <c r="M125" t="s">
        <v>21</v>
      </c>
      <c r="N125">
        <v>2</v>
      </c>
      <c r="O125">
        <v>25</v>
      </c>
      <c r="P125">
        <v>50</v>
      </c>
      <c r="Q125">
        <v>0.75</v>
      </c>
      <c r="R125">
        <v>1</v>
      </c>
    </row>
    <row r="126" spans="1:18" x14ac:dyDescent="0.35">
      <c r="A126">
        <v>114</v>
      </c>
      <c r="B126">
        <v>22</v>
      </c>
      <c r="C126">
        <v>7</v>
      </c>
      <c r="D126">
        <v>2023</v>
      </c>
      <c r="E126" t="s">
        <v>1075</v>
      </c>
      <c r="F126" t="s">
        <v>1078</v>
      </c>
      <c r="G126" t="s">
        <v>1061</v>
      </c>
      <c r="H126" s="18">
        <v>45129</v>
      </c>
      <c r="I126" t="s">
        <v>139</v>
      </c>
      <c r="J126" t="s">
        <v>23</v>
      </c>
      <c r="K126" s="46" t="s">
        <v>1034</v>
      </c>
      <c r="L126">
        <v>22</v>
      </c>
      <c r="M126" t="s">
        <v>21</v>
      </c>
      <c r="N126">
        <v>4</v>
      </c>
      <c r="O126">
        <v>25</v>
      </c>
      <c r="P126">
        <v>100</v>
      </c>
      <c r="Q126">
        <v>1.5</v>
      </c>
      <c r="R126">
        <v>2</v>
      </c>
    </row>
    <row r="127" spans="1:18" x14ac:dyDescent="0.35">
      <c r="A127">
        <v>115</v>
      </c>
      <c r="B127">
        <v>26</v>
      </c>
      <c r="C127">
        <v>11</v>
      </c>
      <c r="D127">
        <v>2023</v>
      </c>
      <c r="E127" t="s">
        <v>1063</v>
      </c>
      <c r="F127" t="s">
        <v>1068</v>
      </c>
      <c r="G127" t="s">
        <v>1061</v>
      </c>
      <c r="H127" s="18">
        <v>45256</v>
      </c>
      <c r="I127" t="s">
        <v>140</v>
      </c>
      <c r="J127" t="s">
        <v>20</v>
      </c>
      <c r="K127" s="46" t="s">
        <v>1032</v>
      </c>
      <c r="L127">
        <v>51</v>
      </c>
      <c r="M127" t="s">
        <v>21</v>
      </c>
      <c r="N127">
        <v>3</v>
      </c>
      <c r="O127">
        <v>500</v>
      </c>
      <c r="P127">
        <v>1500</v>
      </c>
      <c r="Q127">
        <v>22.5</v>
      </c>
      <c r="R127">
        <v>30</v>
      </c>
    </row>
    <row r="128" spans="1:18" x14ac:dyDescent="0.35">
      <c r="A128">
        <v>116</v>
      </c>
      <c r="B128">
        <v>23</v>
      </c>
      <c r="C128">
        <v>8</v>
      </c>
      <c r="D128">
        <v>2023</v>
      </c>
      <c r="E128" t="s">
        <v>1065</v>
      </c>
      <c r="F128" t="s">
        <v>1074</v>
      </c>
      <c r="G128" t="s">
        <v>1061</v>
      </c>
      <c r="H128" s="18">
        <v>45161</v>
      </c>
      <c r="I128" t="s">
        <v>141</v>
      </c>
      <c r="J128" t="s">
        <v>23</v>
      </c>
      <c r="K128" s="46" t="s">
        <v>1034</v>
      </c>
      <c r="L128">
        <v>23</v>
      </c>
      <c r="M128" t="s">
        <v>21</v>
      </c>
      <c r="N128">
        <v>1</v>
      </c>
      <c r="O128">
        <v>30</v>
      </c>
      <c r="P128">
        <v>30</v>
      </c>
      <c r="Q128">
        <v>0.44999999999999996</v>
      </c>
      <c r="R128">
        <v>0.6</v>
      </c>
    </row>
    <row r="129" spans="1:18" x14ac:dyDescent="0.35">
      <c r="A129">
        <v>117</v>
      </c>
      <c r="B129">
        <v>15</v>
      </c>
      <c r="C129">
        <v>3</v>
      </c>
      <c r="D129">
        <v>2023</v>
      </c>
      <c r="E129" t="s">
        <v>1065</v>
      </c>
      <c r="F129" t="s">
        <v>1066</v>
      </c>
      <c r="G129" t="s">
        <v>1061</v>
      </c>
      <c r="H129" s="18">
        <v>45000</v>
      </c>
      <c r="I129" t="s">
        <v>142</v>
      </c>
      <c r="J129" t="s">
        <v>20</v>
      </c>
      <c r="K129" s="46" t="s">
        <v>1034</v>
      </c>
      <c r="L129">
        <v>19</v>
      </c>
      <c r="M129" t="s">
        <v>21</v>
      </c>
      <c r="N129">
        <v>2</v>
      </c>
      <c r="O129">
        <v>500</v>
      </c>
      <c r="P129">
        <v>1000</v>
      </c>
      <c r="Q129">
        <v>15</v>
      </c>
      <c r="R129">
        <v>20</v>
      </c>
    </row>
    <row r="130" spans="1:18" x14ac:dyDescent="0.35">
      <c r="A130">
        <v>118</v>
      </c>
      <c r="B130">
        <v>16</v>
      </c>
      <c r="C130">
        <v>5</v>
      </c>
      <c r="D130">
        <v>2023</v>
      </c>
      <c r="E130" t="s">
        <v>1059</v>
      </c>
      <c r="F130" t="s">
        <v>1076</v>
      </c>
      <c r="G130" t="s">
        <v>1061</v>
      </c>
      <c r="H130" s="18">
        <v>45062</v>
      </c>
      <c r="I130" t="s">
        <v>143</v>
      </c>
      <c r="J130" t="s">
        <v>23</v>
      </c>
      <c r="K130" s="46" t="s">
        <v>1030</v>
      </c>
      <c r="L130">
        <v>30</v>
      </c>
      <c r="M130" t="s">
        <v>21</v>
      </c>
      <c r="N130">
        <v>4</v>
      </c>
      <c r="O130">
        <v>500</v>
      </c>
      <c r="P130">
        <v>2000</v>
      </c>
      <c r="Q130">
        <v>30</v>
      </c>
      <c r="R130">
        <v>40</v>
      </c>
    </row>
    <row r="131" spans="1:18" x14ac:dyDescent="0.35">
      <c r="A131">
        <v>119</v>
      </c>
      <c r="B131">
        <v>13</v>
      </c>
      <c r="C131">
        <v>3</v>
      </c>
      <c r="D131">
        <v>2023</v>
      </c>
      <c r="E131" t="s">
        <v>1067</v>
      </c>
      <c r="F131" t="s">
        <v>1066</v>
      </c>
      <c r="G131" t="s">
        <v>1061</v>
      </c>
      <c r="H131" s="18">
        <v>44998</v>
      </c>
      <c r="I131" t="s">
        <v>144</v>
      </c>
      <c r="J131" t="s">
        <v>23</v>
      </c>
      <c r="K131" s="46" t="s">
        <v>1032</v>
      </c>
      <c r="L131">
        <v>60</v>
      </c>
      <c r="M131" t="s">
        <v>21</v>
      </c>
      <c r="N131">
        <v>3</v>
      </c>
      <c r="O131">
        <v>50</v>
      </c>
      <c r="P131">
        <v>150</v>
      </c>
      <c r="Q131">
        <v>2.25</v>
      </c>
      <c r="R131">
        <v>3</v>
      </c>
    </row>
    <row r="132" spans="1:18" x14ac:dyDescent="0.35">
      <c r="A132">
        <v>120</v>
      </c>
      <c r="B132">
        <v>7</v>
      </c>
      <c r="C132">
        <v>5</v>
      </c>
      <c r="D132">
        <v>2023</v>
      </c>
      <c r="E132" t="s">
        <v>1063</v>
      </c>
      <c r="F132" t="s">
        <v>1076</v>
      </c>
      <c r="G132" t="s">
        <v>1061</v>
      </c>
      <c r="H132" s="18">
        <v>45053</v>
      </c>
      <c r="I132" t="s">
        <v>145</v>
      </c>
      <c r="J132" t="s">
        <v>20</v>
      </c>
      <c r="K132" s="46" t="s">
        <v>1032</v>
      </c>
      <c r="L132">
        <v>60</v>
      </c>
      <c r="M132" t="s">
        <v>21</v>
      </c>
      <c r="N132">
        <v>1</v>
      </c>
      <c r="O132">
        <v>50</v>
      </c>
      <c r="P132">
        <v>50</v>
      </c>
      <c r="Q132">
        <v>0.75</v>
      </c>
      <c r="R132">
        <v>1</v>
      </c>
    </row>
    <row r="133" spans="1:18" x14ac:dyDescent="0.35">
      <c r="A133">
        <v>121</v>
      </c>
      <c r="B133">
        <v>15</v>
      </c>
      <c r="C133">
        <v>10</v>
      </c>
      <c r="D133">
        <v>2023</v>
      </c>
      <c r="E133" t="s">
        <v>1063</v>
      </c>
      <c r="F133" t="s">
        <v>1064</v>
      </c>
      <c r="G133" t="s">
        <v>1061</v>
      </c>
      <c r="H133" s="18">
        <v>45214</v>
      </c>
      <c r="I133" t="s">
        <v>146</v>
      </c>
      <c r="J133" t="s">
        <v>23</v>
      </c>
      <c r="K133" s="46" t="s">
        <v>1034</v>
      </c>
      <c r="L133">
        <v>28</v>
      </c>
      <c r="M133" t="s">
        <v>21</v>
      </c>
      <c r="N133">
        <v>4</v>
      </c>
      <c r="O133">
        <v>50</v>
      </c>
      <c r="P133">
        <v>200</v>
      </c>
      <c r="Q133">
        <v>3</v>
      </c>
      <c r="R133">
        <v>4</v>
      </c>
    </row>
    <row r="134" spans="1:18" x14ac:dyDescent="0.35">
      <c r="A134">
        <v>122</v>
      </c>
      <c r="B134">
        <v>3</v>
      </c>
      <c r="C134">
        <v>10</v>
      </c>
      <c r="D134">
        <v>2023</v>
      </c>
      <c r="E134" t="s">
        <v>1059</v>
      </c>
      <c r="F134" t="s">
        <v>1064</v>
      </c>
      <c r="G134" t="s">
        <v>1061</v>
      </c>
      <c r="H134" s="18">
        <v>45202</v>
      </c>
      <c r="I134" t="s">
        <v>147</v>
      </c>
      <c r="J134" t="s">
        <v>20</v>
      </c>
      <c r="K134" s="46" t="s">
        <v>1032</v>
      </c>
      <c r="L134">
        <v>64</v>
      </c>
      <c r="M134" t="s">
        <v>21</v>
      </c>
      <c r="N134">
        <v>4</v>
      </c>
      <c r="O134">
        <v>30</v>
      </c>
      <c r="P134">
        <v>120</v>
      </c>
      <c r="Q134">
        <v>1.7999999999999998</v>
      </c>
      <c r="R134">
        <v>2.4</v>
      </c>
    </row>
    <row r="135" spans="1:18" x14ac:dyDescent="0.35">
      <c r="A135">
        <v>123</v>
      </c>
      <c r="B135">
        <v>15</v>
      </c>
      <c r="C135">
        <v>5</v>
      </c>
      <c r="D135">
        <v>2023</v>
      </c>
      <c r="E135" t="s">
        <v>1067</v>
      </c>
      <c r="F135" t="s">
        <v>1076</v>
      </c>
      <c r="G135" t="s">
        <v>1061</v>
      </c>
      <c r="H135" s="18">
        <v>45061</v>
      </c>
      <c r="I135" t="s">
        <v>148</v>
      </c>
      <c r="J135" t="s">
        <v>23</v>
      </c>
      <c r="K135" s="46" t="s">
        <v>1030</v>
      </c>
      <c r="L135">
        <v>40</v>
      </c>
      <c r="M135" t="s">
        <v>21</v>
      </c>
      <c r="N135">
        <v>2</v>
      </c>
      <c r="O135">
        <v>30</v>
      </c>
      <c r="P135">
        <v>60</v>
      </c>
      <c r="Q135">
        <v>0.89999999999999991</v>
      </c>
      <c r="R135">
        <v>1.2</v>
      </c>
    </row>
    <row r="136" spans="1:18" x14ac:dyDescent="0.35">
      <c r="A136">
        <v>124</v>
      </c>
      <c r="B136">
        <v>27</v>
      </c>
      <c r="C136">
        <v>10</v>
      </c>
      <c r="D136">
        <v>2023</v>
      </c>
      <c r="E136" t="s">
        <v>1070</v>
      </c>
      <c r="F136" t="s">
        <v>1064</v>
      </c>
      <c r="G136" t="s">
        <v>1061</v>
      </c>
      <c r="H136" s="18">
        <v>45226</v>
      </c>
      <c r="I136" t="s">
        <v>149</v>
      </c>
      <c r="J136" t="s">
        <v>20</v>
      </c>
      <c r="K136" s="46" t="s">
        <v>1030</v>
      </c>
      <c r="L136">
        <v>33</v>
      </c>
      <c r="M136" t="s">
        <v>21</v>
      </c>
      <c r="N136">
        <v>4</v>
      </c>
      <c r="O136">
        <v>500</v>
      </c>
      <c r="P136">
        <v>2000</v>
      </c>
      <c r="Q136">
        <v>30</v>
      </c>
      <c r="R136">
        <v>40</v>
      </c>
    </row>
    <row r="137" spans="1:18" x14ac:dyDescent="0.35">
      <c r="A137">
        <v>125</v>
      </c>
      <c r="B137">
        <v>8</v>
      </c>
      <c r="C137">
        <v>8</v>
      </c>
      <c r="D137">
        <v>2023</v>
      </c>
      <c r="E137" t="s">
        <v>1059</v>
      </c>
      <c r="F137" t="s">
        <v>1074</v>
      </c>
      <c r="G137" t="s">
        <v>1061</v>
      </c>
      <c r="H137" s="18">
        <v>45146</v>
      </c>
      <c r="I137" t="s">
        <v>150</v>
      </c>
      <c r="J137" t="s">
        <v>20</v>
      </c>
      <c r="K137" s="46" t="s">
        <v>1030</v>
      </c>
      <c r="L137">
        <v>48</v>
      </c>
      <c r="M137" t="s">
        <v>21</v>
      </c>
      <c r="N137">
        <v>2</v>
      </c>
      <c r="O137">
        <v>50</v>
      </c>
      <c r="P137">
        <v>100</v>
      </c>
      <c r="Q137">
        <v>1.5</v>
      </c>
      <c r="R137">
        <v>2</v>
      </c>
    </row>
    <row r="138" spans="1:18" x14ac:dyDescent="0.35">
      <c r="A138">
        <v>126</v>
      </c>
      <c r="B138">
        <v>26</v>
      </c>
      <c r="C138">
        <v>10</v>
      </c>
      <c r="D138">
        <v>2023</v>
      </c>
      <c r="E138" t="s">
        <v>1072</v>
      </c>
      <c r="F138" t="s">
        <v>1064</v>
      </c>
      <c r="G138" t="s">
        <v>1061</v>
      </c>
      <c r="H138" s="18">
        <v>45225</v>
      </c>
      <c r="I138" t="s">
        <v>151</v>
      </c>
      <c r="J138" t="s">
        <v>23</v>
      </c>
      <c r="K138" s="46" t="s">
        <v>1034</v>
      </c>
      <c r="L138">
        <v>28</v>
      </c>
      <c r="M138" t="s">
        <v>21</v>
      </c>
      <c r="N138">
        <v>3</v>
      </c>
      <c r="O138">
        <v>30</v>
      </c>
      <c r="P138">
        <v>90</v>
      </c>
      <c r="Q138">
        <v>1.3499999999999999</v>
      </c>
      <c r="R138">
        <v>1.8</v>
      </c>
    </row>
    <row r="139" spans="1:18" x14ac:dyDescent="0.35">
      <c r="A139">
        <v>127</v>
      </c>
      <c r="B139">
        <v>24</v>
      </c>
      <c r="C139">
        <v>7</v>
      </c>
      <c r="D139">
        <v>2023</v>
      </c>
      <c r="E139" t="s">
        <v>1067</v>
      </c>
      <c r="F139" t="s">
        <v>1078</v>
      </c>
      <c r="G139" t="s">
        <v>1061</v>
      </c>
      <c r="H139" s="18">
        <v>45131</v>
      </c>
      <c r="I139" t="s">
        <v>152</v>
      </c>
      <c r="J139" t="s">
        <v>23</v>
      </c>
      <c r="K139" s="46" t="s">
        <v>1030</v>
      </c>
      <c r="L139">
        <v>33</v>
      </c>
      <c r="M139" t="s">
        <v>21</v>
      </c>
      <c r="N139">
        <v>2</v>
      </c>
      <c r="O139">
        <v>25</v>
      </c>
      <c r="P139">
        <v>50</v>
      </c>
      <c r="Q139">
        <v>0.75</v>
      </c>
      <c r="R139">
        <v>1</v>
      </c>
    </row>
    <row r="140" spans="1:18" x14ac:dyDescent="0.35">
      <c r="A140">
        <v>128</v>
      </c>
      <c r="B140">
        <v>5</v>
      </c>
      <c r="C140">
        <v>7</v>
      </c>
      <c r="D140">
        <v>2023</v>
      </c>
      <c r="E140" t="s">
        <v>1065</v>
      </c>
      <c r="F140" t="s">
        <v>1078</v>
      </c>
      <c r="G140" t="s">
        <v>1061</v>
      </c>
      <c r="H140" s="18">
        <v>45112</v>
      </c>
      <c r="I140" t="s">
        <v>153</v>
      </c>
      <c r="J140" t="s">
        <v>20</v>
      </c>
      <c r="K140" s="46" t="s">
        <v>1034</v>
      </c>
      <c r="L140">
        <v>25</v>
      </c>
      <c r="M140" t="s">
        <v>21</v>
      </c>
      <c r="N140">
        <v>1</v>
      </c>
      <c r="O140">
        <v>500</v>
      </c>
      <c r="P140">
        <v>500</v>
      </c>
      <c r="Q140">
        <v>7.5</v>
      </c>
      <c r="R140">
        <v>10</v>
      </c>
    </row>
    <row r="141" spans="1:18" x14ac:dyDescent="0.35">
      <c r="A141">
        <v>129</v>
      </c>
      <c r="B141">
        <v>23</v>
      </c>
      <c r="C141">
        <v>4</v>
      </c>
      <c r="D141">
        <v>2023</v>
      </c>
      <c r="E141" t="s">
        <v>1063</v>
      </c>
      <c r="F141" t="s">
        <v>1077</v>
      </c>
      <c r="G141" t="s">
        <v>1061</v>
      </c>
      <c r="H141" s="18">
        <v>45039</v>
      </c>
      <c r="I141" t="s">
        <v>154</v>
      </c>
      <c r="J141" t="s">
        <v>23</v>
      </c>
      <c r="K141" s="46" t="s">
        <v>1034</v>
      </c>
      <c r="L141">
        <v>21</v>
      </c>
      <c r="M141" t="s">
        <v>21</v>
      </c>
      <c r="N141">
        <v>2</v>
      </c>
      <c r="O141">
        <v>300</v>
      </c>
      <c r="P141">
        <v>600</v>
      </c>
      <c r="Q141">
        <v>9</v>
      </c>
      <c r="R141">
        <v>12</v>
      </c>
    </row>
    <row r="142" spans="1:18" x14ac:dyDescent="0.35">
      <c r="A142">
        <v>130</v>
      </c>
      <c r="B142">
        <v>12</v>
      </c>
      <c r="C142">
        <v>3</v>
      </c>
      <c r="D142">
        <v>2023</v>
      </c>
      <c r="E142" t="s">
        <v>1063</v>
      </c>
      <c r="F142" t="s">
        <v>1066</v>
      </c>
      <c r="G142" t="s">
        <v>1061</v>
      </c>
      <c r="H142" s="18">
        <v>44997</v>
      </c>
      <c r="I142" t="s">
        <v>155</v>
      </c>
      <c r="J142" t="s">
        <v>23</v>
      </c>
      <c r="K142" s="46" t="s">
        <v>1032</v>
      </c>
      <c r="L142">
        <v>57</v>
      </c>
      <c r="M142" t="s">
        <v>21</v>
      </c>
      <c r="N142">
        <v>1</v>
      </c>
      <c r="O142">
        <v>500</v>
      </c>
      <c r="P142">
        <v>500</v>
      </c>
      <c r="Q142">
        <v>7.5</v>
      </c>
      <c r="R142">
        <v>10</v>
      </c>
    </row>
    <row r="143" spans="1:18" x14ac:dyDescent="0.35">
      <c r="A143">
        <v>131</v>
      </c>
      <c r="B143">
        <v>18</v>
      </c>
      <c r="C143">
        <v>9</v>
      </c>
      <c r="D143">
        <v>2023</v>
      </c>
      <c r="E143" t="s">
        <v>1067</v>
      </c>
      <c r="F143" t="s">
        <v>1071</v>
      </c>
      <c r="G143" t="s">
        <v>1061</v>
      </c>
      <c r="H143" s="18">
        <v>45187</v>
      </c>
      <c r="I143" t="s">
        <v>156</v>
      </c>
      <c r="J143" t="s">
        <v>23</v>
      </c>
      <c r="K143" s="46" t="s">
        <v>1034</v>
      </c>
      <c r="L143">
        <v>21</v>
      </c>
      <c r="M143" t="s">
        <v>21</v>
      </c>
      <c r="N143">
        <v>2</v>
      </c>
      <c r="O143">
        <v>300</v>
      </c>
      <c r="P143">
        <v>600</v>
      </c>
      <c r="Q143">
        <v>9</v>
      </c>
      <c r="R143">
        <v>12</v>
      </c>
    </row>
    <row r="144" spans="1:18" x14ac:dyDescent="0.35">
      <c r="A144">
        <v>132</v>
      </c>
      <c r="B144">
        <v>10</v>
      </c>
      <c r="C144">
        <v>9</v>
      </c>
      <c r="D144">
        <v>2023</v>
      </c>
      <c r="E144" t="s">
        <v>1063</v>
      </c>
      <c r="F144" t="s">
        <v>1071</v>
      </c>
      <c r="G144" t="s">
        <v>1061</v>
      </c>
      <c r="H144" s="18">
        <v>45179</v>
      </c>
      <c r="I144" t="s">
        <v>157</v>
      </c>
      <c r="J144" t="s">
        <v>20</v>
      </c>
      <c r="K144" s="46" t="s">
        <v>1030</v>
      </c>
      <c r="L144">
        <v>42</v>
      </c>
      <c r="M144" t="s">
        <v>21</v>
      </c>
      <c r="N144">
        <v>4</v>
      </c>
      <c r="O144">
        <v>50</v>
      </c>
      <c r="P144">
        <v>200</v>
      </c>
      <c r="Q144">
        <v>3</v>
      </c>
      <c r="R144">
        <v>4</v>
      </c>
    </row>
    <row r="145" spans="1:18" x14ac:dyDescent="0.35">
      <c r="A145">
        <v>133</v>
      </c>
      <c r="B145">
        <v>16</v>
      </c>
      <c r="C145">
        <v>2</v>
      </c>
      <c r="D145">
        <v>2023</v>
      </c>
      <c r="E145" t="s">
        <v>1072</v>
      </c>
      <c r="F145" t="s">
        <v>1073</v>
      </c>
      <c r="G145" t="s">
        <v>1061</v>
      </c>
      <c r="H145" s="18">
        <v>44973</v>
      </c>
      <c r="I145" t="s">
        <v>158</v>
      </c>
      <c r="J145" t="s">
        <v>20</v>
      </c>
      <c r="K145" s="46" t="s">
        <v>1034</v>
      </c>
      <c r="L145">
        <v>20</v>
      </c>
      <c r="M145" t="s">
        <v>21</v>
      </c>
      <c r="N145">
        <v>3</v>
      </c>
      <c r="O145">
        <v>300</v>
      </c>
      <c r="P145">
        <v>900</v>
      </c>
      <c r="Q145">
        <v>13.5</v>
      </c>
      <c r="R145">
        <v>18</v>
      </c>
    </row>
    <row r="146" spans="1:18" x14ac:dyDescent="0.35">
      <c r="A146">
        <v>134</v>
      </c>
      <c r="B146">
        <v>25</v>
      </c>
      <c r="C146">
        <v>1</v>
      </c>
      <c r="D146">
        <v>2023</v>
      </c>
      <c r="E146" t="s">
        <v>1065</v>
      </c>
      <c r="F146" t="s">
        <v>1060</v>
      </c>
      <c r="G146" t="s">
        <v>1061</v>
      </c>
      <c r="H146" s="18">
        <v>44951</v>
      </c>
      <c r="I146" t="s">
        <v>159</v>
      </c>
      <c r="J146" t="s">
        <v>20</v>
      </c>
      <c r="K146" s="46" t="s">
        <v>1030</v>
      </c>
      <c r="L146">
        <v>49</v>
      </c>
      <c r="M146" t="s">
        <v>21</v>
      </c>
      <c r="N146">
        <v>1</v>
      </c>
      <c r="O146">
        <v>50</v>
      </c>
      <c r="P146">
        <v>50</v>
      </c>
      <c r="Q146">
        <v>0.75</v>
      </c>
      <c r="R146">
        <v>1</v>
      </c>
    </row>
    <row r="147" spans="1:18" x14ac:dyDescent="0.35">
      <c r="A147">
        <v>135</v>
      </c>
      <c r="B147">
        <v>26</v>
      </c>
      <c r="C147">
        <v>2</v>
      </c>
      <c r="D147">
        <v>2023</v>
      </c>
      <c r="E147" t="s">
        <v>1063</v>
      </c>
      <c r="F147" t="s">
        <v>1073</v>
      </c>
      <c r="G147" t="s">
        <v>1061</v>
      </c>
      <c r="H147" s="18">
        <v>44983</v>
      </c>
      <c r="I147" t="s">
        <v>160</v>
      </c>
      <c r="J147" t="s">
        <v>20</v>
      </c>
      <c r="K147" s="46" t="s">
        <v>1034</v>
      </c>
      <c r="L147">
        <v>20</v>
      </c>
      <c r="M147" t="s">
        <v>21</v>
      </c>
      <c r="N147">
        <v>2</v>
      </c>
      <c r="O147">
        <v>25</v>
      </c>
      <c r="P147">
        <v>50</v>
      </c>
      <c r="Q147">
        <v>0.75</v>
      </c>
      <c r="R147">
        <v>1</v>
      </c>
    </row>
    <row r="148" spans="1:18" x14ac:dyDescent="0.35">
      <c r="A148">
        <v>136</v>
      </c>
      <c r="B148">
        <v>20</v>
      </c>
      <c r="C148">
        <v>3</v>
      </c>
      <c r="D148">
        <v>2023</v>
      </c>
      <c r="E148" t="s">
        <v>1067</v>
      </c>
      <c r="F148" t="s">
        <v>1066</v>
      </c>
      <c r="G148" t="s">
        <v>1061</v>
      </c>
      <c r="H148" s="18">
        <v>45005</v>
      </c>
      <c r="I148" t="s">
        <v>161</v>
      </c>
      <c r="J148" t="s">
        <v>20</v>
      </c>
      <c r="K148" s="46" t="s">
        <v>1030</v>
      </c>
      <c r="L148">
        <v>44</v>
      </c>
      <c r="M148" t="s">
        <v>21</v>
      </c>
      <c r="N148">
        <v>2</v>
      </c>
      <c r="O148">
        <v>300</v>
      </c>
      <c r="P148">
        <v>600</v>
      </c>
      <c r="Q148">
        <v>9</v>
      </c>
      <c r="R148">
        <v>12</v>
      </c>
    </row>
    <row r="149" spans="1:18" x14ac:dyDescent="0.35">
      <c r="A149">
        <v>137</v>
      </c>
      <c r="B149">
        <v>18</v>
      </c>
      <c r="C149">
        <v>11</v>
      </c>
      <c r="D149">
        <v>2023</v>
      </c>
      <c r="E149" t="s">
        <v>1075</v>
      </c>
      <c r="F149" t="s">
        <v>1068</v>
      </c>
      <c r="G149" t="s">
        <v>1061</v>
      </c>
      <c r="H149" s="18">
        <v>45248</v>
      </c>
      <c r="I149" t="s">
        <v>162</v>
      </c>
      <c r="J149" t="s">
        <v>20</v>
      </c>
      <c r="K149" s="46" t="s">
        <v>1030</v>
      </c>
      <c r="L149">
        <v>46</v>
      </c>
      <c r="M149" t="s">
        <v>21</v>
      </c>
      <c r="N149">
        <v>2</v>
      </c>
      <c r="O149">
        <v>500</v>
      </c>
      <c r="P149">
        <v>1000</v>
      </c>
      <c r="Q149">
        <v>15</v>
      </c>
      <c r="R149">
        <v>20</v>
      </c>
    </row>
    <row r="150" spans="1:18" x14ac:dyDescent="0.35">
      <c r="A150">
        <v>138</v>
      </c>
      <c r="B150">
        <v>23</v>
      </c>
      <c r="C150">
        <v>3</v>
      </c>
      <c r="D150">
        <v>2023</v>
      </c>
      <c r="E150" t="s">
        <v>1072</v>
      </c>
      <c r="F150" t="s">
        <v>1066</v>
      </c>
      <c r="G150" t="s">
        <v>1061</v>
      </c>
      <c r="H150" s="18">
        <v>45008</v>
      </c>
      <c r="I150" t="s">
        <v>163</v>
      </c>
      <c r="J150" t="s">
        <v>20</v>
      </c>
      <c r="K150" s="46" t="s">
        <v>1030</v>
      </c>
      <c r="L150">
        <v>49</v>
      </c>
      <c r="M150" t="s">
        <v>21</v>
      </c>
      <c r="N150">
        <v>4</v>
      </c>
      <c r="O150">
        <v>50</v>
      </c>
      <c r="P150">
        <v>200</v>
      </c>
      <c r="Q150">
        <v>3</v>
      </c>
      <c r="R150">
        <v>4</v>
      </c>
    </row>
    <row r="151" spans="1:18" x14ac:dyDescent="0.35">
      <c r="A151">
        <v>139</v>
      </c>
      <c r="B151">
        <v>15</v>
      </c>
      <c r="C151">
        <v>12</v>
      </c>
      <c r="D151">
        <v>2023</v>
      </c>
      <c r="E151" t="s">
        <v>1070</v>
      </c>
      <c r="F151" t="s">
        <v>1062</v>
      </c>
      <c r="G151" t="s">
        <v>1061</v>
      </c>
      <c r="H151" s="18">
        <v>45275</v>
      </c>
      <c r="I151" t="s">
        <v>164</v>
      </c>
      <c r="J151" t="s">
        <v>20</v>
      </c>
      <c r="K151" s="46" t="s">
        <v>1030</v>
      </c>
      <c r="L151">
        <v>36</v>
      </c>
      <c r="M151" t="s">
        <v>21</v>
      </c>
      <c r="N151">
        <v>4</v>
      </c>
      <c r="O151">
        <v>500</v>
      </c>
      <c r="P151">
        <v>2000</v>
      </c>
      <c r="Q151">
        <v>30</v>
      </c>
      <c r="R151">
        <v>40</v>
      </c>
    </row>
    <row r="152" spans="1:18" x14ac:dyDescent="0.35">
      <c r="A152">
        <v>140</v>
      </c>
      <c r="B152">
        <v>5</v>
      </c>
      <c r="C152">
        <v>8</v>
      </c>
      <c r="D152">
        <v>2023</v>
      </c>
      <c r="E152" t="s">
        <v>1075</v>
      </c>
      <c r="F152" t="s">
        <v>1074</v>
      </c>
      <c r="G152" t="s">
        <v>1061</v>
      </c>
      <c r="H152" s="18">
        <v>45143</v>
      </c>
      <c r="I152" t="s">
        <v>165</v>
      </c>
      <c r="J152" t="s">
        <v>20</v>
      </c>
      <c r="K152" s="46" t="s">
        <v>1030</v>
      </c>
      <c r="L152">
        <v>38</v>
      </c>
      <c r="M152" t="s">
        <v>21</v>
      </c>
      <c r="N152">
        <v>1</v>
      </c>
      <c r="O152">
        <v>30</v>
      </c>
      <c r="P152">
        <v>30</v>
      </c>
      <c r="Q152">
        <v>0.44999999999999996</v>
      </c>
      <c r="R152">
        <v>0.6</v>
      </c>
    </row>
    <row r="153" spans="1:18" x14ac:dyDescent="0.35">
      <c r="A153">
        <v>141</v>
      </c>
      <c r="B153">
        <v>2</v>
      </c>
      <c r="C153">
        <v>11</v>
      </c>
      <c r="D153">
        <v>2023</v>
      </c>
      <c r="E153" t="s">
        <v>1072</v>
      </c>
      <c r="F153" t="s">
        <v>1068</v>
      </c>
      <c r="G153" t="s">
        <v>1061</v>
      </c>
      <c r="H153" s="18">
        <v>45232</v>
      </c>
      <c r="I153" t="s">
        <v>166</v>
      </c>
      <c r="J153" t="s">
        <v>23</v>
      </c>
      <c r="K153" s="46" t="s">
        <v>1034</v>
      </c>
      <c r="L153">
        <v>22</v>
      </c>
      <c r="M153" t="s">
        <v>21</v>
      </c>
      <c r="N153">
        <v>1</v>
      </c>
      <c r="O153">
        <v>50</v>
      </c>
      <c r="P153">
        <v>50</v>
      </c>
      <c r="Q153">
        <v>0.75</v>
      </c>
      <c r="R153">
        <v>1</v>
      </c>
    </row>
    <row r="154" spans="1:18" x14ac:dyDescent="0.35">
      <c r="A154">
        <v>142</v>
      </c>
      <c r="B154">
        <v>2</v>
      </c>
      <c r="C154">
        <v>2</v>
      </c>
      <c r="D154">
        <v>2023</v>
      </c>
      <c r="E154" t="s">
        <v>1072</v>
      </c>
      <c r="F154" t="s">
        <v>1073</v>
      </c>
      <c r="G154" t="s">
        <v>1061</v>
      </c>
      <c r="H154" s="18">
        <v>44959</v>
      </c>
      <c r="I154" t="s">
        <v>167</v>
      </c>
      <c r="J154" t="s">
        <v>20</v>
      </c>
      <c r="K154" s="46" t="s">
        <v>1030</v>
      </c>
      <c r="L154">
        <v>35</v>
      </c>
      <c r="M154" t="s">
        <v>21</v>
      </c>
      <c r="N154">
        <v>4</v>
      </c>
      <c r="O154">
        <v>300</v>
      </c>
      <c r="P154">
        <v>1200</v>
      </c>
      <c r="Q154">
        <v>18</v>
      </c>
      <c r="R154">
        <v>24</v>
      </c>
    </row>
    <row r="155" spans="1:18" x14ac:dyDescent="0.35">
      <c r="A155">
        <v>143</v>
      </c>
      <c r="B155">
        <v>17</v>
      </c>
      <c r="C155">
        <v>7</v>
      </c>
      <c r="D155">
        <v>2023</v>
      </c>
      <c r="E155" t="s">
        <v>1067</v>
      </c>
      <c r="F155" t="s">
        <v>1078</v>
      </c>
      <c r="G155" t="s">
        <v>1061</v>
      </c>
      <c r="H155" s="18">
        <v>45124</v>
      </c>
      <c r="I155" t="s">
        <v>168</v>
      </c>
      <c r="J155" t="s">
        <v>23</v>
      </c>
      <c r="K155" s="46" t="s">
        <v>1030</v>
      </c>
      <c r="L155">
        <v>45</v>
      </c>
      <c r="M155" t="s">
        <v>21</v>
      </c>
      <c r="N155">
        <v>1</v>
      </c>
      <c r="O155">
        <v>50</v>
      </c>
      <c r="P155">
        <v>50</v>
      </c>
      <c r="Q155">
        <v>0.75</v>
      </c>
      <c r="R155">
        <v>1</v>
      </c>
    </row>
    <row r="156" spans="1:18" x14ac:dyDescent="0.35">
      <c r="A156">
        <v>144</v>
      </c>
      <c r="B156">
        <v>15</v>
      </c>
      <c r="C156">
        <v>7</v>
      </c>
      <c r="D156">
        <v>2023</v>
      </c>
      <c r="E156" t="s">
        <v>1075</v>
      </c>
      <c r="F156" t="s">
        <v>1078</v>
      </c>
      <c r="G156" t="s">
        <v>1061</v>
      </c>
      <c r="H156" s="18">
        <v>45122</v>
      </c>
      <c r="I156" t="s">
        <v>169</v>
      </c>
      <c r="J156" t="s">
        <v>23</v>
      </c>
      <c r="K156" s="46" t="s">
        <v>1032</v>
      </c>
      <c r="L156">
        <v>59</v>
      </c>
      <c r="M156" t="s">
        <v>21</v>
      </c>
      <c r="N156">
        <v>3</v>
      </c>
      <c r="O156">
        <v>500</v>
      </c>
      <c r="P156">
        <v>1500</v>
      </c>
      <c r="Q156">
        <v>22.5</v>
      </c>
      <c r="R156">
        <v>30</v>
      </c>
    </row>
    <row r="157" spans="1:18" x14ac:dyDescent="0.35">
      <c r="A157">
        <v>145</v>
      </c>
      <c r="B157">
        <v>2</v>
      </c>
      <c r="C157">
        <v>11</v>
      </c>
      <c r="D157">
        <v>2023</v>
      </c>
      <c r="E157" t="s">
        <v>1072</v>
      </c>
      <c r="F157" t="s">
        <v>1068</v>
      </c>
      <c r="G157" t="s">
        <v>1061</v>
      </c>
      <c r="H157" s="18">
        <v>45232</v>
      </c>
      <c r="I157" t="s">
        <v>170</v>
      </c>
      <c r="J157" t="s">
        <v>23</v>
      </c>
      <c r="K157" s="46" t="s">
        <v>1030</v>
      </c>
      <c r="L157">
        <v>39</v>
      </c>
      <c r="M157" t="s">
        <v>21</v>
      </c>
      <c r="N157">
        <v>3</v>
      </c>
      <c r="O157">
        <v>25</v>
      </c>
      <c r="P157">
        <v>75</v>
      </c>
      <c r="Q157">
        <v>1.125</v>
      </c>
      <c r="R157">
        <v>1.5</v>
      </c>
    </row>
    <row r="158" spans="1:18" x14ac:dyDescent="0.35">
      <c r="A158">
        <v>146</v>
      </c>
      <c r="B158">
        <v>28</v>
      </c>
      <c r="C158">
        <v>8</v>
      </c>
      <c r="D158">
        <v>2023</v>
      </c>
      <c r="E158" t="s">
        <v>1067</v>
      </c>
      <c r="F158" t="s">
        <v>1074</v>
      </c>
      <c r="G158" t="s">
        <v>1061</v>
      </c>
      <c r="H158" s="18">
        <v>45166</v>
      </c>
      <c r="I158" t="s">
        <v>171</v>
      </c>
      <c r="J158" t="s">
        <v>20</v>
      </c>
      <c r="K158" s="46" t="s">
        <v>1030</v>
      </c>
      <c r="L158">
        <v>38</v>
      </c>
      <c r="M158" t="s">
        <v>21</v>
      </c>
      <c r="N158">
        <v>4</v>
      </c>
      <c r="O158">
        <v>50</v>
      </c>
      <c r="P158">
        <v>200</v>
      </c>
      <c r="Q158">
        <v>3</v>
      </c>
      <c r="R158">
        <v>4</v>
      </c>
    </row>
    <row r="159" spans="1:18" x14ac:dyDescent="0.35">
      <c r="A159">
        <v>147</v>
      </c>
      <c r="B159">
        <v>28</v>
      </c>
      <c r="C159">
        <v>9</v>
      </c>
      <c r="D159">
        <v>2023</v>
      </c>
      <c r="E159" t="s">
        <v>1072</v>
      </c>
      <c r="F159" t="s">
        <v>1071</v>
      </c>
      <c r="G159" t="s">
        <v>1061</v>
      </c>
      <c r="H159" s="18">
        <v>45197</v>
      </c>
      <c r="I159" t="s">
        <v>172</v>
      </c>
      <c r="J159" t="s">
        <v>20</v>
      </c>
      <c r="K159" s="46" t="s">
        <v>1034</v>
      </c>
      <c r="L159">
        <v>23</v>
      </c>
      <c r="M159" t="s">
        <v>21</v>
      </c>
      <c r="N159">
        <v>1</v>
      </c>
      <c r="O159">
        <v>300</v>
      </c>
      <c r="P159">
        <v>300</v>
      </c>
      <c r="Q159">
        <v>4.5</v>
      </c>
      <c r="R159">
        <v>6</v>
      </c>
    </row>
    <row r="160" spans="1:18" x14ac:dyDescent="0.35">
      <c r="A160">
        <v>148</v>
      </c>
      <c r="B160">
        <v>9</v>
      </c>
      <c r="C160">
        <v>5</v>
      </c>
      <c r="D160">
        <v>2023</v>
      </c>
      <c r="E160" t="s">
        <v>1059</v>
      </c>
      <c r="F160" t="s">
        <v>1076</v>
      </c>
      <c r="G160" t="s">
        <v>1061</v>
      </c>
      <c r="H160" s="18">
        <v>45055</v>
      </c>
      <c r="I160" t="s">
        <v>173</v>
      </c>
      <c r="J160" t="s">
        <v>20</v>
      </c>
      <c r="K160" s="46" t="s">
        <v>1034</v>
      </c>
      <c r="L160">
        <v>18</v>
      </c>
      <c r="M160" t="s">
        <v>21</v>
      </c>
      <c r="N160">
        <v>2</v>
      </c>
      <c r="O160">
        <v>30</v>
      </c>
      <c r="P160">
        <v>60</v>
      </c>
      <c r="Q160">
        <v>0.89999999999999991</v>
      </c>
      <c r="R160">
        <v>1.2</v>
      </c>
    </row>
    <row r="161" spans="1:18" x14ac:dyDescent="0.35">
      <c r="A161">
        <v>149</v>
      </c>
      <c r="B161">
        <v>11</v>
      </c>
      <c r="C161">
        <v>10</v>
      </c>
      <c r="D161">
        <v>2023</v>
      </c>
      <c r="E161" t="s">
        <v>1065</v>
      </c>
      <c r="F161" t="s">
        <v>1064</v>
      </c>
      <c r="G161" t="s">
        <v>1061</v>
      </c>
      <c r="H161" s="18">
        <v>45210</v>
      </c>
      <c r="I161" t="s">
        <v>174</v>
      </c>
      <c r="J161" t="s">
        <v>20</v>
      </c>
      <c r="K161" s="46" t="s">
        <v>1034</v>
      </c>
      <c r="L161">
        <v>22</v>
      </c>
      <c r="M161" t="s">
        <v>21</v>
      </c>
      <c r="N161">
        <v>3</v>
      </c>
      <c r="O161">
        <v>25</v>
      </c>
      <c r="P161">
        <v>75</v>
      </c>
      <c r="Q161">
        <v>1.125</v>
      </c>
      <c r="R161">
        <v>1.5</v>
      </c>
    </row>
    <row r="162" spans="1:18" x14ac:dyDescent="0.35">
      <c r="A162">
        <v>150</v>
      </c>
      <c r="B162">
        <v>6</v>
      </c>
      <c r="C162">
        <v>1</v>
      </c>
      <c r="D162">
        <v>2023</v>
      </c>
      <c r="E162" t="s">
        <v>1070</v>
      </c>
      <c r="F162" t="s">
        <v>1060</v>
      </c>
      <c r="G162" t="s">
        <v>1061</v>
      </c>
      <c r="H162" s="18">
        <v>44932</v>
      </c>
      <c r="I162" t="s">
        <v>175</v>
      </c>
      <c r="J162" t="s">
        <v>23</v>
      </c>
      <c r="K162" s="46" t="s">
        <v>1032</v>
      </c>
      <c r="L162">
        <v>58</v>
      </c>
      <c r="M162" t="s">
        <v>21</v>
      </c>
      <c r="N162">
        <v>4</v>
      </c>
      <c r="O162">
        <v>30</v>
      </c>
      <c r="P162">
        <v>120</v>
      </c>
      <c r="Q162">
        <v>1.7999999999999998</v>
      </c>
      <c r="R162">
        <v>2.4</v>
      </c>
    </row>
    <row r="163" spans="1:18" x14ac:dyDescent="0.35">
      <c r="A163">
        <v>151</v>
      </c>
      <c r="B163">
        <v>15</v>
      </c>
      <c r="C163">
        <v>12</v>
      </c>
      <c r="D163">
        <v>2023</v>
      </c>
      <c r="E163" t="s">
        <v>1070</v>
      </c>
      <c r="F163" t="s">
        <v>1062</v>
      </c>
      <c r="G163" t="s">
        <v>1061</v>
      </c>
      <c r="H163" s="18">
        <v>45275</v>
      </c>
      <c r="I163" t="s">
        <v>176</v>
      </c>
      <c r="J163" t="s">
        <v>20</v>
      </c>
      <c r="K163" s="46" t="s">
        <v>1034</v>
      </c>
      <c r="L163">
        <v>29</v>
      </c>
      <c r="M163" t="s">
        <v>21</v>
      </c>
      <c r="N163">
        <v>1</v>
      </c>
      <c r="O163">
        <v>50</v>
      </c>
      <c r="P163">
        <v>50</v>
      </c>
      <c r="Q163">
        <v>0.75</v>
      </c>
      <c r="R163">
        <v>1</v>
      </c>
    </row>
    <row r="164" spans="1:18" x14ac:dyDescent="0.35">
      <c r="A164">
        <v>152</v>
      </c>
      <c r="B164">
        <v>28</v>
      </c>
      <c r="C164">
        <v>2</v>
      </c>
      <c r="D164">
        <v>2023</v>
      </c>
      <c r="E164" t="s">
        <v>1059</v>
      </c>
      <c r="F164" t="s">
        <v>1073</v>
      </c>
      <c r="G164" t="s">
        <v>1061</v>
      </c>
      <c r="H164" s="18">
        <v>44985</v>
      </c>
      <c r="I164" t="s">
        <v>177</v>
      </c>
      <c r="J164" t="s">
        <v>20</v>
      </c>
      <c r="K164" s="46" t="s">
        <v>1030</v>
      </c>
      <c r="L164">
        <v>43</v>
      </c>
      <c r="M164" t="s">
        <v>21</v>
      </c>
      <c r="N164">
        <v>4</v>
      </c>
      <c r="O164">
        <v>500</v>
      </c>
      <c r="P164">
        <v>2000</v>
      </c>
      <c r="Q164">
        <v>30</v>
      </c>
      <c r="R164">
        <v>40</v>
      </c>
    </row>
    <row r="165" spans="1:18" x14ac:dyDescent="0.35">
      <c r="A165">
        <v>153</v>
      </c>
      <c r="B165">
        <v>16</v>
      </c>
      <c r="C165">
        <v>12</v>
      </c>
      <c r="D165">
        <v>2023</v>
      </c>
      <c r="E165" t="s">
        <v>1075</v>
      </c>
      <c r="F165" t="s">
        <v>1062</v>
      </c>
      <c r="G165" t="s">
        <v>1061</v>
      </c>
      <c r="H165" s="18">
        <v>45276</v>
      </c>
      <c r="I165" t="s">
        <v>178</v>
      </c>
      <c r="J165" t="s">
        <v>20</v>
      </c>
      <c r="K165" s="46" t="s">
        <v>1032</v>
      </c>
      <c r="L165">
        <v>63</v>
      </c>
      <c r="M165" t="s">
        <v>21</v>
      </c>
      <c r="N165">
        <v>2</v>
      </c>
      <c r="O165">
        <v>500</v>
      </c>
      <c r="P165">
        <v>1000</v>
      </c>
      <c r="Q165">
        <v>15</v>
      </c>
      <c r="R165">
        <v>20</v>
      </c>
    </row>
    <row r="166" spans="1:18" x14ac:dyDescent="0.35">
      <c r="A166">
        <v>154</v>
      </c>
      <c r="B166">
        <v>2</v>
      </c>
      <c r="C166">
        <v>10</v>
      </c>
      <c r="D166">
        <v>2023</v>
      </c>
      <c r="E166" t="s">
        <v>1067</v>
      </c>
      <c r="F166" t="s">
        <v>1064</v>
      </c>
      <c r="G166" t="s">
        <v>1061</v>
      </c>
      <c r="H166" s="18">
        <v>45201</v>
      </c>
      <c r="I166" t="s">
        <v>179</v>
      </c>
      <c r="J166" t="s">
        <v>20</v>
      </c>
      <c r="K166" s="46" t="s">
        <v>1032</v>
      </c>
      <c r="L166">
        <v>51</v>
      </c>
      <c r="M166" t="s">
        <v>21</v>
      </c>
      <c r="N166">
        <v>3</v>
      </c>
      <c r="O166">
        <v>300</v>
      </c>
      <c r="P166">
        <v>900</v>
      </c>
      <c r="Q166">
        <v>13.5</v>
      </c>
      <c r="R166">
        <v>18</v>
      </c>
    </row>
    <row r="167" spans="1:18" x14ac:dyDescent="0.35">
      <c r="A167">
        <v>155</v>
      </c>
      <c r="B167">
        <v>17</v>
      </c>
      <c r="C167">
        <v>5</v>
      </c>
      <c r="D167">
        <v>2023</v>
      </c>
      <c r="E167" t="s">
        <v>1065</v>
      </c>
      <c r="F167" t="s">
        <v>1076</v>
      </c>
      <c r="G167" t="s">
        <v>1061</v>
      </c>
      <c r="H167" s="18">
        <v>45063</v>
      </c>
      <c r="I167" t="s">
        <v>180</v>
      </c>
      <c r="J167" t="s">
        <v>20</v>
      </c>
      <c r="K167" s="46" t="s">
        <v>1030</v>
      </c>
      <c r="L167">
        <v>31</v>
      </c>
      <c r="M167" t="s">
        <v>21</v>
      </c>
      <c r="N167">
        <v>4</v>
      </c>
      <c r="O167">
        <v>500</v>
      </c>
      <c r="P167">
        <v>2000</v>
      </c>
      <c r="Q167">
        <v>30</v>
      </c>
      <c r="R167">
        <v>40</v>
      </c>
    </row>
    <row r="168" spans="1:18" x14ac:dyDescent="0.35">
      <c r="A168">
        <v>156</v>
      </c>
      <c r="B168">
        <v>25</v>
      </c>
      <c r="C168">
        <v>11</v>
      </c>
      <c r="D168">
        <v>2023</v>
      </c>
      <c r="E168" t="s">
        <v>1075</v>
      </c>
      <c r="F168" t="s">
        <v>1068</v>
      </c>
      <c r="G168" t="s">
        <v>1061</v>
      </c>
      <c r="H168" s="18">
        <v>45255</v>
      </c>
      <c r="I168" t="s">
        <v>181</v>
      </c>
      <c r="J168" t="s">
        <v>23</v>
      </c>
      <c r="K168" s="46" t="s">
        <v>1030</v>
      </c>
      <c r="L168">
        <v>43</v>
      </c>
      <c r="M168" t="s">
        <v>21</v>
      </c>
      <c r="N168">
        <v>4</v>
      </c>
      <c r="O168">
        <v>25</v>
      </c>
      <c r="P168">
        <v>100</v>
      </c>
      <c r="Q168">
        <v>1.5</v>
      </c>
      <c r="R168">
        <v>2</v>
      </c>
    </row>
    <row r="169" spans="1:18" x14ac:dyDescent="0.35">
      <c r="A169">
        <v>157</v>
      </c>
      <c r="B169">
        <v>24</v>
      </c>
      <c r="C169">
        <v>6</v>
      </c>
      <c r="D169">
        <v>2023</v>
      </c>
      <c r="E169" t="s">
        <v>1075</v>
      </c>
      <c r="F169" t="s">
        <v>1069</v>
      </c>
      <c r="G169" t="s">
        <v>1061</v>
      </c>
      <c r="H169" s="18">
        <v>45101</v>
      </c>
      <c r="I169" t="s">
        <v>182</v>
      </c>
      <c r="J169" t="s">
        <v>20</v>
      </c>
      <c r="K169" s="46" t="s">
        <v>1032</v>
      </c>
      <c r="L169">
        <v>62</v>
      </c>
      <c r="M169" t="s">
        <v>21</v>
      </c>
      <c r="N169">
        <v>4</v>
      </c>
      <c r="O169">
        <v>500</v>
      </c>
      <c r="P169">
        <v>2000</v>
      </c>
      <c r="Q169">
        <v>30</v>
      </c>
      <c r="R169">
        <v>40</v>
      </c>
    </row>
    <row r="170" spans="1:18" x14ac:dyDescent="0.35">
      <c r="A170">
        <v>158</v>
      </c>
      <c r="B170">
        <v>27</v>
      </c>
      <c r="C170">
        <v>2</v>
      </c>
      <c r="D170">
        <v>2023</v>
      </c>
      <c r="E170" t="s">
        <v>1067</v>
      </c>
      <c r="F170" t="s">
        <v>1073</v>
      </c>
      <c r="G170" t="s">
        <v>1061</v>
      </c>
      <c r="H170" s="18">
        <v>44984</v>
      </c>
      <c r="I170" t="s">
        <v>183</v>
      </c>
      <c r="J170" t="s">
        <v>23</v>
      </c>
      <c r="K170" s="46" t="s">
        <v>1030</v>
      </c>
      <c r="L170">
        <v>44</v>
      </c>
      <c r="M170" t="s">
        <v>21</v>
      </c>
      <c r="N170">
        <v>2</v>
      </c>
      <c r="O170">
        <v>300</v>
      </c>
      <c r="P170">
        <v>600</v>
      </c>
      <c r="Q170">
        <v>9</v>
      </c>
      <c r="R170">
        <v>12</v>
      </c>
    </row>
    <row r="171" spans="1:18" x14ac:dyDescent="0.35">
      <c r="A171">
        <v>159</v>
      </c>
      <c r="B171">
        <v>31</v>
      </c>
      <c r="C171">
        <v>5</v>
      </c>
      <c r="D171">
        <v>2023</v>
      </c>
      <c r="E171" t="s">
        <v>1065</v>
      </c>
      <c r="F171" t="s">
        <v>1076</v>
      </c>
      <c r="G171" t="s">
        <v>1061</v>
      </c>
      <c r="H171" s="18">
        <v>45077</v>
      </c>
      <c r="I171" t="s">
        <v>184</v>
      </c>
      <c r="J171" t="s">
        <v>20</v>
      </c>
      <c r="K171" s="46" t="s">
        <v>1034</v>
      </c>
      <c r="L171">
        <v>26</v>
      </c>
      <c r="M171" t="s">
        <v>21</v>
      </c>
      <c r="N171">
        <v>4</v>
      </c>
      <c r="O171">
        <v>50</v>
      </c>
      <c r="P171">
        <v>200</v>
      </c>
      <c r="Q171">
        <v>3</v>
      </c>
      <c r="R171">
        <v>4</v>
      </c>
    </row>
    <row r="172" spans="1:18" x14ac:dyDescent="0.35">
      <c r="A172">
        <v>160</v>
      </c>
      <c r="B172">
        <v>11</v>
      </c>
      <c r="C172">
        <v>8</v>
      </c>
      <c r="D172">
        <v>2023</v>
      </c>
      <c r="E172" t="s">
        <v>1070</v>
      </c>
      <c r="F172" t="s">
        <v>1074</v>
      </c>
      <c r="G172" t="s">
        <v>1061</v>
      </c>
      <c r="H172" s="18">
        <v>45149</v>
      </c>
      <c r="I172" t="s">
        <v>185</v>
      </c>
      <c r="J172" t="s">
        <v>23</v>
      </c>
      <c r="K172" s="46" t="s">
        <v>1030</v>
      </c>
      <c r="L172">
        <v>43</v>
      </c>
      <c r="M172" t="s">
        <v>21</v>
      </c>
      <c r="N172">
        <v>2</v>
      </c>
      <c r="O172">
        <v>50</v>
      </c>
      <c r="P172">
        <v>100</v>
      </c>
      <c r="Q172">
        <v>1.5</v>
      </c>
      <c r="R172">
        <v>2</v>
      </c>
    </row>
    <row r="173" spans="1:18" x14ac:dyDescent="0.35">
      <c r="A173">
        <v>161</v>
      </c>
      <c r="B173">
        <v>22</v>
      </c>
      <c r="C173">
        <v>3</v>
      </c>
      <c r="D173">
        <v>2023</v>
      </c>
      <c r="E173" t="s">
        <v>1065</v>
      </c>
      <c r="F173" t="s">
        <v>1066</v>
      </c>
      <c r="G173" t="s">
        <v>1061</v>
      </c>
      <c r="H173" s="18">
        <v>45007</v>
      </c>
      <c r="I173" t="s">
        <v>186</v>
      </c>
      <c r="J173" t="s">
        <v>20</v>
      </c>
      <c r="K173" s="46" t="s">
        <v>1032</v>
      </c>
      <c r="L173">
        <v>64</v>
      </c>
      <c r="M173" t="s">
        <v>21</v>
      </c>
      <c r="N173">
        <v>2</v>
      </c>
      <c r="O173">
        <v>500</v>
      </c>
      <c r="P173">
        <v>1000</v>
      </c>
      <c r="Q173">
        <v>15</v>
      </c>
      <c r="R173">
        <v>20</v>
      </c>
    </row>
    <row r="174" spans="1:18" x14ac:dyDescent="0.35">
      <c r="A174">
        <v>162</v>
      </c>
      <c r="B174">
        <v>21</v>
      </c>
      <c r="C174">
        <v>8</v>
      </c>
      <c r="D174">
        <v>2023</v>
      </c>
      <c r="E174" t="s">
        <v>1067</v>
      </c>
      <c r="F174" t="s">
        <v>1074</v>
      </c>
      <c r="G174" t="s">
        <v>1061</v>
      </c>
      <c r="H174" s="18">
        <v>45159</v>
      </c>
      <c r="I174" t="s">
        <v>187</v>
      </c>
      <c r="J174" t="s">
        <v>20</v>
      </c>
      <c r="K174" s="46" t="s">
        <v>1030</v>
      </c>
      <c r="L174">
        <v>39</v>
      </c>
      <c r="M174" t="s">
        <v>21</v>
      </c>
      <c r="N174">
        <v>2</v>
      </c>
      <c r="O174">
        <v>30</v>
      </c>
      <c r="P174">
        <v>60</v>
      </c>
      <c r="Q174">
        <v>0.89999999999999991</v>
      </c>
      <c r="R174">
        <v>1.2</v>
      </c>
    </row>
    <row r="175" spans="1:18" x14ac:dyDescent="0.35">
      <c r="A175">
        <v>163</v>
      </c>
      <c r="B175">
        <v>2</v>
      </c>
      <c r="C175">
        <v>1</v>
      </c>
      <c r="D175">
        <v>2023</v>
      </c>
      <c r="E175" t="s">
        <v>1067</v>
      </c>
      <c r="F175" t="s">
        <v>1060</v>
      </c>
      <c r="G175" t="s">
        <v>1061</v>
      </c>
      <c r="H175" s="18">
        <v>44928</v>
      </c>
      <c r="I175" t="s">
        <v>188</v>
      </c>
      <c r="J175" t="s">
        <v>23</v>
      </c>
      <c r="K175" s="46" t="s">
        <v>1032</v>
      </c>
      <c r="L175">
        <v>64</v>
      </c>
      <c r="M175" t="s">
        <v>21</v>
      </c>
      <c r="N175">
        <v>3</v>
      </c>
      <c r="O175">
        <v>50</v>
      </c>
      <c r="P175">
        <v>150</v>
      </c>
      <c r="Q175">
        <v>2.25</v>
      </c>
      <c r="R175">
        <v>3</v>
      </c>
    </row>
    <row r="176" spans="1:18" x14ac:dyDescent="0.35">
      <c r="A176">
        <v>164</v>
      </c>
      <c r="B176">
        <v>15</v>
      </c>
      <c r="C176">
        <v>5</v>
      </c>
      <c r="D176">
        <v>2023</v>
      </c>
      <c r="E176" t="s">
        <v>1067</v>
      </c>
      <c r="F176" t="s">
        <v>1076</v>
      </c>
      <c r="G176" t="s">
        <v>1061</v>
      </c>
      <c r="H176" s="18">
        <v>45061</v>
      </c>
      <c r="I176" t="s">
        <v>189</v>
      </c>
      <c r="J176" t="s">
        <v>23</v>
      </c>
      <c r="K176" s="46" t="s">
        <v>1030</v>
      </c>
      <c r="L176">
        <v>47</v>
      </c>
      <c r="M176" t="s">
        <v>21</v>
      </c>
      <c r="N176">
        <v>3</v>
      </c>
      <c r="O176">
        <v>500</v>
      </c>
      <c r="P176">
        <v>1500</v>
      </c>
      <c r="Q176">
        <v>22.5</v>
      </c>
      <c r="R176">
        <v>30</v>
      </c>
    </row>
    <row r="177" spans="1:18" x14ac:dyDescent="0.35">
      <c r="A177">
        <v>165</v>
      </c>
      <c r="B177">
        <v>14</v>
      </c>
      <c r="C177">
        <v>9</v>
      </c>
      <c r="D177">
        <v>2023</v>
      </c>
      <c r="E177" t="s">
        <v>1072</v>
      </c>
      <c r="F177" t="s">
        <v>1071</v>
      </c>
      <c r="G177" t="s">
        <v>1061</v>
      </c>
      <c r="H177" s="18">
        <v>45183</v>
      </c>
      <c r="I177" t="s">
        <v>190</v>
      </c>
      <c r="J177" t="s">
        <v>23</v>
      </c>
      <c r="K177" s="46" t="s">
        <v>1032</v>
      </c>
      <c r="L177">
        <v>60</v>
      </c>
      <c r="M177" t="s">
        <v>21</v>
      </c>
      <c r="N177">
        <v>4</v>
      </c>
      <c r="O177">
        <v>300</v>
      </c>
      <c r="P177">
        <v>1200</v>
      </c>
      <c r="Q177">
        <v>18</v>
      </c>
      <c r="R177">
        <v>24</v>
      </c>
    </row>
    <row r="178" spans="1:18" x14ac:dyDescent="0.35">
      <c r="A178">
        <v>166</v>
      </c>
      <c r="B178">
        <v>2</v>
      </c>
      <c r="C178">
        <v>4</v>
      </c>
      <c r="D178">
        <v>2023</v>
      </c>
      <c r="E178" t="s">
        <v>1063</v>
      </c>
      <c r="F178" t="s">
        <v>1077</v>
      </c>
      <c r="G178" t="s">
        <v>1061</v>
      </c>
      <c r="H178" s="18">
        <v>45018</v>
      </c>
      <c r="I178" t="s">
        <v>191</v>
      </c>
      <c r="J178" t="s">
        <v>20</v>
      </c>
      <c r="K178" s="46" t="s">
        <v>1030</v>
      </c>
      <c r="L178">
        <v>34</v>
      </c>
      <c r="M178" t="s">
        <v>21</v>
      </c>
      <c r="N178">
        <v>4</v>
      </c>
      <c r="O178">
        <v>500</v>
      </c>
      <c r="P178">
        <v>2000</v>
      </c>
      <c r="Q178">
        <v>30</v>
      </c>
      <c r="R178">
        <v>40</v>
      </c>
    </row>
    <row r="179" spans="1:18" x14ac:dyDescent="0.35">
      <c r="A179">
        <v>167</v>
      </c>
      <c r="B179">
        <v>17</v>
      </c>
      <c r="C179">
        <v>9</v>
      </c>
      <c r="D179">
        <v>2023</v>
      </c>
      <c r="E179" t="s">
        <v>1063</v>
      </c>
      <c r="F179" t="s">
        <v>1071</v>
      </c>
      <c r="G179" t="s">
        <v>1061</v>
      </c>
      <c r="H179" s="18">
        <v>45186</v>
      </c>
      <c r="I179" t="s">
        <v>192</v>
      </c>
      <c r="J179" t="s">
        <v>23</v>
      </c>
      <c r="K179" s="46" t="s">
        <v>1030</v>
      </c>
      <c r="L179">
        <v>43</v>
      </c>
      <c r="M179" t="s">
        <v>21</v>
      </c>
      <c r="N179">
        <v>3</v>
      </c>
      <c r="O179">
        <v>50</v>
      </c>
      <c r="P179">
        <v>150</v>
      </c>
      <c r="Q179">
        <v>2.25</v>
      </c>
      <c r="R179">
        <v>3</v>
      </c>
    </row>
    <row r="180" spans="1:18" x14ac:dyDescent="0.35">
      <c r="A180">
        <v>168</v>
      </c>
      <c r="B180">
        <v>24</v>
      </c>
      <c r="C180">
        <v>2</v>
      </c>
      <c r="D180">
        <v>2023</v>
      </c>
      <c r="E180" t="s">
        <v>1070</v>
      </c>
      <c r="F180" t="s">
        <v>1073</v>
      </c>
      <c r="G180" t="s">
        <v>1061</v>
      </c>
      <c r="H180" s="18">
        <v>44981</v>
      </c>
      <c r="I180" t="s">
        <v>193</v>
      </c>
      <c r="J180" t="s">
        <v>20</v>
      </c>
      <c r="K180" s="46" t="s">
        <v>1032</v>
      </c>
      <c r="L180">
        <v>53</v>
      </c>
      <c r="M180" t="s">
        <v>21</v>
      </c>
      <c r="N180">
        <v>1</v>
      </c>
      <c r="O180">
        <v>300</v>
      </c>
      <c r="P180">
        <v>300</v>
      </c>
      <c r="Q180">
        <v>4.5</v>
      </c>
      <c r="R180">
        <v>6</v>
      </c>
    </row>
    <row r="181" spans="1:18" x14ac:dyDescent="0.35">
      <c r="A181">
        <v>169</v>
      </c>
      <c r="B181">
        <v>17</v>
      </c>
      <c r="C181">
        <v>11</v>
      </c>
      <c r="D181">
        <v>2023</v>
      </c>
      <c r="E181" t="s">
        <v>1070</v>
      </c>
      <c r="F181" t="s">
        <v>1068</v>
      </c>
      <c r="G181" t="s">
        <v>1061</v>
      </c>
      <c r="H181" s="18">
        <v>45247</v>
      </c>
      <c r="I181" t="s">
        <v>194</v>
      </c>
      <c r="J181" t="s">
        <v>20</v>
      </c>
      <c r="K181" s="46" t="s">
        <v>1034</v>
      </c>
      <c r="L181">
        <v>18</v>
      </c>
      <c r="M181" t="s">
        <v>21</v>
      </c>
      <c r="N181">
        <v>3</v>
      </c>
      <c r="O181">
        <v>500</v>
      </c>
      <c r="P181">
        <v>1500</v>
      </c>
      <c r="Q181">
        <v>22.5</v>
      </c>
      <c r="R181">
        <v>30</v>
      </c>
    </row>
    <row r="182" spans="1:18" x14ac:dyDescent="0.35">
      <c r="A182">
        <v>170</v>
      </c>
      <c r="B182">
        <v>2</v>
      </c>
      <c r="C182">
        <v>6</v>
      </c>
      <c r="D182">
        <v>2023</v>
      </c>
      <c r="E182" t="s">
        <v>1070</v>
      </c>
      <c r="F182" t="s">
        <v>1069</v>
      </c>
      <c r="G182" t="s">
        <v>1061</v>
      </c>
      <c r="H182" s="18">
        <v>45079</v>
      </c>
      <c r="I182" t="s">
        <v>195</v>
      </c>
      <c r="J182" t="s">
        <v>23</v>
      </c>
      <c r="K182" s="46" t="s">
        <v>1034</v>
      </c>
      <c r="L182">
        <v>25</v>
      </c>
      <c r="M182" t="s">
        <v>21</v>
      </c>
      <c r="N182">
        <v>2</v>
      </c>
      <c r="O182">
        <v>25</v>
      </c>
      <c r="P182">
        <v>50</v>
      </c>
      <c r="Q182">
        <v>0.75</v>
      </c>
      <c r="R182">
        <v>1</v>
      </c>
    </row>
    <row r="183" spans="1:18" x14ac:dyDescent="0.35">
      <c r="A183">
        <v>171</v>
      </c>
      <c r="B183">
        <v>24</v>
      </c>
      <c r="C183">
        <v>11</v>
      </c>
      <c r="D183">
        <v>2023</v>
      </c>
      <c r="E183" t="s">
        <v>1070</v>
      </c>
      <c r="F183" t="s">
        <v>1068</v>
      </c>
      <c r="G183" t="s">
        <v>1061</v>
      </c>
      <c r="H183" s="18">
        <v>45254</v>
      </c>
      <c r="I183" t="s">
        <v>196</v>
      </c>
      <c r="J183" t="s">
        <v>23</v>
      </c>
      <c r="K183" s="46" t="s">
        <v>1032</v>
      </c>
      <c r="L183">
        <v>52</v>
      </c>
      <c r="M183" t="s">
        <v>21</v>
      </c>
      <c r="N183">
        <v>3</v>
      </c>
      <c r="O183">
        <v>300</v>
      </c>
      <c r="P183">
        <v>900</v>
      </c>
      <c r="Q183">
        <v>13.5</v>
      </c>
      <c r="R183">
        <v>18</v>
      </c>
    </row>
    <row r="184" spans="1:18" x14ac:dyDescent="0.35">
      <c r="A184">
        <v>172</v>
      </c>
      <c r="B184">
        <v>17</v>
      </c>
      <c r="C184">
        <v>9</v>
      </c>
      <c r="D184">
        <v>2023</v>
      </c>
      <c r="E184" t="s">
        <v>1063</v>
      </c>
      <c r="F184" t="s">
        <v>1071</v>
      </c>
      <c r="G184" t="s">
        <v>1061</v>
      </c>
      <c r="H184" s="18">
        <v>45186</v>
      </c>
      <c r="I184" t="s">
        <v>197</v>
      </c>
      <c r="J184" t="s">
        <v>20</v>
      </c>
      <c r="K184" s="46" t="s">
        <v>1030</v>
      </c>
      <c r="L184">
        <v>32</v>
      </c>
      <c r="M184" t="s">
        <v>21</v>
      </c>
      <c r="N184">
        <v>2</v>
      </c>
      <c r="O184">
        <v>25</v>
      </c>
      <c r="P184">
        <v>50</v>
      </c>
      <c r="Q184">
        <v>0.75</v>
      </c>
      <c r="R184">
        <v>1</v>
      </c>
    </row>
    <row r="185" spans="1:18" x14ac:dyDescent="0.35">
      <c r="A185">
        <v>173</v>
      </c>
      <c r="B185">
        <v>8</v>
      </c>
      <c r="C185">
        <v>11</v>
      </c>
      <c r="D185">
        <v>2023</v>
      </c>
      <c r="E185" t="s">
        <v>1065</v>
      </c>
      <c r="F185" t="s">
        <v>1068</v>
      </c>
      <c r="G185" t="s">
        <v>1061</v>
      </c>
      <c r="H185" s="18">
        <v>45238</v>
      </c>
      <c r="I185" t="s">
        <v>198</v>
      </c>
      <c r="J185" t="s">
        <v>20</v>
      </c>
      <c r="K185" s="46" t="s">
        <v>1032</v>
      </c>
      <c r="L185">
        <v>64</v>
      </c>
      <c r="M185" t="s">
        <v>21</v>
      </c>
      <c r="N185">
        <v>4</v>
      </c>
      <c r="O185">
        <v>30</v>
      </c>
      <c r="P185">
        <v>120</v>
      </c>
      <c r="Q185">
        <v>1.7999999999999998</v>
      </c>
      <c r="R185">
        <v>2.4</v>
      </c>
    </row>
    <row r="186" spans="1:18" x14ac:dyDescent="0.35">
      <c r="A186">
        <v>174</v>
      </c>
      <c r="B186">
        <v>12</v>
      </c>
      <c r="C186">
        <v>4</v>
      </c>
      <c r="D186">
        <v>2023</v>
      </c>
      <c r="E186" t="s">
        <v>1065</v>
      </c>
      <c r="F186" t="s">
        <v>1077</v>
      </c>
      <c r="G186" t="s">
        <v>1061</v>
      </c>
      <c r="H186" s="18">
        <v>45028</v>
      </c>
      <c r="I186" t="s">
        <v>199</v>
      </c>
      <c r="J186" t="s">
        <v>23</v>
      </c>
      <c r="K186" s="46" t="s">
        <v>1030</v>
      </c>
      <c r="L186">
        <v>39</v>
      </c>
      <c r="M186" t="s">
        <v>21</v>
      </c>
      <c r="N186">
        <v>1</v>
      </c>
      <c r="O186">
        <v>300</v>
      </c>
      <c r="P186">
        <v>300</v>
      </c>
      <c r="Q186">
        <v>4.5</v>
      </c>
      <c r="R186">
        <v>6</v>
      </c>
    </row>
    <row r="187" spans="1:18" x14ac:dyDescent="0.35">
      <c r="A187">
        <v>175</v>
      </c>
      <c r="B187">
        <v>20</v>
      </c>
      <c r="C187">
        <v>3</v>
      </c>
      <c r="D187">
        <v>2023</v>
      </c>
      <c r="E187" t="s">
        <v>1067</v>
      </c>
      <c r="F187" t="s">
        <v>1066</v>
      </c>
      <c r="G187" t="s">
        <v>1061</v>
      </c>
      <c r="H187" s="18">
        <v>45005</v>
      </c>
      <c r="I187" t="s">
        <v>200</v>
      </c>
      <c r="J187" t="s">
        <v>23</v>
      </c>
      <c r="K187" s="46" t="s">
        <v>1030</v>
      </c>
      <c r="L187">
        <v>31</v>
      </c>
      <c r="M187" t="s">
        <v>21</v>
      </c>
      <c r="N187">
        <v>4</v>
      </c>
      <c r="O187">
        <v>25</v>
      </c>
      <c r="P187">
        <v>100</v>
      </c>
      <c r="Q187">
        <v>1.5</v>
      </c>
      <c r="R187">
        <v>2</v>
      </c>
    </row>
    <row r="188" spans="1:18" x14ac:dyDescent="0.35">
      <c r="A188">
        <v>176</v>
      </c>
      <c r="B188">
        <v>11</v>
      </c>
      <c r="C188">
        <v>7</v>
      </c>
      <c r="D188">
        <v>2023</v>
      </c>
      <c r="E188" t="s">
        <v>1059</v>
      </c>
      <c r="F188" t="s">
        <v>1078</v>
      </c>
      <c r="G188" t="s">
        <v>1061</v>
      </c>
      <c r="H188" s="18">
        <v>45118</v>
      </c>
      <c r="I188" t="s">
        <v>201</v>
      </c>
      <c r="J188" t="s">
        <v>23</v>
      </c>
      <c r="K188" s="46" t="s">
        <v>1030</v>
      </c>
      <c r="L188">
        <v>43</v>
      </c>
      <c r="M188" t="s">
        <v>21</v>
      </c>
      <c r="N188">
        <v>2</v>
      </c>
      <c r="O188">
        <v>50</v>
      </c>
      <c r="P188">
        <v>100</v>
      </c>
      <c r="Q188">
        <v>1.5</v>
      </c>
      <c r="R188">
        <v>2</v>
      </c>
    </row>
    <row r="189" spans="1:18" x14ac:dyDescent="0.35">
      <c r="A189">
        <v>177</v>
      </c>
      <c r="B189">
        <v>24</v>
      </c>
      <c r="C189">
        <v>3</v>
      </c>
      <c r="D189">
        <v>2023</v>
      </c>
      <c r="E189" t="s">
        <v>1070</v>
      </c>
      <c r="F189" t="s">
        <v>1066</v>
      </c>
      <c r="G189" t="s">
        <v>1061</v>
      </c>
      <c r="H189" s="18">
        <v>45009</v>
      </c>
      <c r="I189" t="s">
        <v>202</v>
      </c>
      <c r="J189" t="s">
        <v>20</v>
      </c>
      <c r="K189" s="46" t="s">
        <v>1030</v>
      </c>
      <c r="L189">
        <v>45</v>
      </c>
      <c r="M189" t="s">
        <v>21</v>
      </c>
      <c r="N189">
        <v>2</v>
      </c>
      <c r="O189">
        <v>50</v>
      </c>
      <c r="P189">
        <v>100</v>
      </c>
      <c r="Q189">
        <v>1.5</v>
      </c>
      <c r="R189">
        <v>2</v>
      </c>
    </row>
    <row r="190" spans="1:18" x14ac:dyDescent="0.35">
      <c r="A190">
        <v>178</v>
      </c>
      <c r="B190">
        <v>4</v>
      </c>
      <c r="C190">
        <v>10</v>
      </c>
      <c r="D190">
        <v>2023</v>
      </c>
      <c r="E190" t="s">
        <v>1065</v>
      </c>
      <c r="F190" t="s">
        <v>1064</v>
      </c>
      <c r="G190" t="s">
        <v>1061</v>
      </c>
      <c r="H190" s="18">
        <v>45203</v>
      </c>
      <c r="I190" t="s">
        <v>203</v>
      </c>
      <c r="J190" t="s">
        <v>20</v>
      </c>
      <c r="K190" s="46" t="s">
        <v>1030</v>
      </c>
      <c r="L190">
        <v>40</v>
      </c>
      <c r="M190" t="s">
        <v>21</v>
      </c>
      <c r="N190">
        <v>2</v>
      </c>
      <c r="O190">
        <v>30</v>
      </c>
      <c r="P190">
        <v>60</v>
      </c>
      <c r="Q190">
        <v>0.89999999999999991</v>
      </c>
      <c r="R190">
        <v>1.2</v>
      </c>
    </row>
    <row r="191" spans="1:18" x14ac:dyDescent="0.35">
      <c r="A191">
        <v>179</v>
      </c>
      <c r="B191">
        <v>29</v>
      </c>
      <c r="C191">
        <v>9</v>
      </c>
      <c r="D191">
        <v>2023</v>
      </c>
      <c r="E191" t="s">
        <v>1070</v>
      </c>
      <c r="F191" t="s">
        <v>1071</v>
      </c>
      <c r="G191" t="s">
        <v>1061</v>
      </c>
      <c r="H191" s="18">
        <v>45198</v>
      </c>
      <c r="I191" t="s">
        <v>204</v>
      </c>
      <c r="J191" t="s">
        <v>20</v>
      </c>
      <c r="K191" s="46" t="s">
        <v>1030</v>
      </c>
      <c r="L191">
        <v>31</v>
      </c>
      <c r="M191" t="s">
        <v>21</v>
      </c>
      <c r="N191">
        <v>1</v>
      </c>
      <c r="O191">
        <v>300</v>
      </c>
      <c r="P191">
        <v>300</v>
      </c>
      <c r="Q191">
        <v>4.5</v>
      </c>
      <c r="R191">
        <v>6</v>
      </c>
    </row>
    <row r="192" spans="1:18" x14ac:dyDescent="0.35">
      <c r="A192">
        <v>180</v>
      </c>
      <c r="B192">
        <v>1</v>
      </c>
      <c r="C192">
        <v>1</v>
      </c>
      <c r="D192">
        <v>2023</v>
      </c>
      <c r="E192" t="s">
        <v>1063</v>
      </c>
      <c r="F192" t="s">
        <v>1060</v>
      </c>
      <c r="G192" t="s">
        <v>1061</v>
      </c>
      <c r="H192" s="18">
        <v>44927</v>
      </c>
      <c r="I192" t="s">
        <v>205</v>
      </c>
      <c r="J192" t="s">
        <v>20</v>
      </c>
      <c r="K192" s="46" t="s">
        <v>1030</v>
      </c>
      <c r="L192">
        <v>41</v>
      </c>
      <c r="M192" t="s">
        <v>21</v>
      </c>
      <c r="N192">
        <v>3</v>
      </c>
      <c r="O192">
        <v>300</v>
      </c>
      <c r="P192">
        <v>900</v>
      </c>
      <c r="Q192">
        <v>13.5</v>
      </c>
      <c r="R192">
        <v>18</v>
      </c>
    </row>
    <row r="193" spans="1:18" x14ac:dyDescent="0.35">
      <c r="A193">
        <v>181</v>
      </c>
      <c r="B193">
        <v>3</v>
      </c>
      <c r="C193">
        <v>11</v>
      </c>
      <c r="D193">
        <v>2023</v>
      </c>
      <c r="E193" t="s">
        <v>1070</v>
      </c>
      <c r="F193" t="s">
        <v>1068</v>
      </c>
      <c r="G193" t="s">
        <v>1061</v>
      </c>
      <c r="H193" s="18">
        <v>45233</v>
      </c>
      <c r="I193" t="s">
        <v>206</v>
      </c>
      <c r="J193" t="s">
        <v>20</v>
      </c>
      <c r="K193" s="46" t="s">
        <v>1034</v>
      </c>
      <c r="L193">
        <v>19</v>
      </c>
      <c r="M193" t="s">
        <v>21</v>
      </c>
      <c r="N193">
        <v>4</v>
      </c>
      <c r="O193">
        <v>300</v>
      </c>
      <c r="P193">
        <v>1200</v>
      </c>
      <c r="Q193">
        <v>18</v>
      </c>
      <c r="R193">
        <v>24</v>
      </c>
    </row>
    <row r="194" spans="1:18" x14ac:dyDescent="0.35">
      <c r="A194">
        <v>182</v>
      </c>
      <c r="B194">
        <v>15</v>
      </c>
      <c r="C194">
        <v>6</v>
      </c>
      <c r="D194">
        <v>2023</v>
      </c>
      <c r="E194" t="s">
        <v>1072</v>
      </c>
      <c r="F194" t="s">
        <v>1069</v>
      </c>
      <c r="G194" t="s">
        <v>1061</v>
      </c>
      <c r="H194" s="18">
        <v>45092</v>
      </c>
      <c r="I194" t="s">
        <v>207</v>
      </c>
      <c r="J194" t="s">
        <v>20</v>
      </c>
      <c r="K194" s="46" t="s">
        <v>1032</v>
      </c>
      <c r="L194">
        <v>62</v>
      </c>
      <c r="M194" t="s">
        <v>21</v>
      </c>
      <c r="N194">
        <v>4</v>
      </c>
      <c r="O194">
        <v>30</v>
      </c>
      <c r="P194">
        <v>120</v>
      </c>
      <c r="Q194">
        <v>1.7999999999999998</v>
      </c>
      <c r="R194">
        <v>2.4</v>
      </c>
    </row>
    <row r="195" spans="1:18" x14ac:dyDescent="0.35">
      <c r="A195">
        <v>183</v>
      </c>
      <c r="B195">
        <v>8</v>
      </c>
      <c r="C195">
        <v>9</v>
      </c>
      <c r="D195">
        <v>2023</v>
      </c>
      <c r="E195" t="s">
        <v>1070</v>
      </c>
      <c r="F195" t="s">
        <v>1071</v>
      </c>
      <c r="G195" t="s">
        <v>1061</v>
      </c>
      <c r="H195" s="18">
        <v>45177</v>
      </c>
      <c r="I195" t="s">
        <v>208</v>
      </c>
      <c r="J195" t="s">
        <v>23</v>
      </c>
      <c r="K195" s="46" t="s">
        <v>1030</v>
      </c>
      <c r="L195">
        <v>43</v>
      </c>
      <c r="M195" t="s">
        <v>21</v>
      </c>
      <c r="N195">
        <v>3</v>
      </c>
      <c r="O195">
        <v>300</v>
      </c>
      <c r="P195">
        <v>900</v>
      </c>
      <c r="Q195">
        <v>13.5</v>
      </c>
      <c r="R195">
        <v>18</v>
      </c>
    </row>
    <row r="196" spans="1:18" x14ac:dyDescent="0.35">
      <c r="A196">
        <v>184</v>
      </c>
      <c r="B196">
        <v>10</v>
      </c>
      <c r="C196">
        <v>1</v>
      </c>
      <c r="D196">
        <v>2023</v>
      </c>
      <c r="E196" t="s">
        <v>1059</v>
      </c>
      <c r="F196" t="s">
        <v>1060</v>
      </c>
      <c r="G196" t="s">
        <v>1061</v>
      </c>
      <c r="H196" s="18">
        <v>44936</v>
      </c>
      <c r="I196" t="s">
        <v>209</v>
      </c>
      <c r="J196" t="s">
        <v>20</v>
      </c>
      <c r="K196" s="46" t="s">
        <v>1030</v>
      </c>
      <c r="L196">
        <v>31</v>
      </c>
      <c r="M196" t="s">
        <v>21</v>
      </c>
      <c r="N196">
        <v>4</v>
      </c>
      <c r="O196">
        <v>50</v>
      </c>
      <c r="P196">
        <v>200</v>
      </c>
      <c r="Q196">
        <v>3</v>
      </c>
      <c r="R196">
        <v>4</v>
      </c>
    </row>
    <row r="197" spans="1:18" x14ac:dyDescent="0.35">
      <c r="A197">
        <v>185</v>
      </c>
      <c r="B197">
        <v>27</v>
      </c>
      <c r="C197">
        <v>2</v>
      </c>
      <c r="D197">
        <v>2023</v>
      </c>
      <c r="E197" t="s">
        <v>1067</v>
      </c>
      <c r="F197" t="s">
        <v>1073</v>
      </c>
      <c r="G197" t="s">
        <v>1061</v>
      </c>
      <c r="H197" s="18">
        <v>44984</v>
      </c>
      <c r="I197" t="s">
        <v>210</v>
      </c>
      <c r="J197" t="s">
        <v>20</v>
      </c>
      <c r="K197" s="46" t="s">
        <v>1034</v>
      </c>
      <c r="L197">
        <v>24</v>
      </c>
      <c r="M197" t="s">
        <v>21</v>
      </c>
      <c r="N197">
        <v>1</v>
      </c>
      <c r="O197">
        <v>25</v>
      </c>
      <c r="P197">
        <v>25</v>
      </c>
      <c r="Q197">
        <v>0.375</v>
      </c>
      <c r="R197">
        <v>0.5</v>
      </c>
    </row>
    <row r="198" spans="1:18" x14ac:dyDescent="0.35">
      <c r="A198">
        <v>186</v>
      </c>
      <c r="B198">
        <v>5</v>
      </c>
      <c r="C198">
        <v>7</v>
      </c>
      <c r="D198">
        <v>2023</v>
      </c>
      <c r="E198" t="s">
        <v>1065</v>
      </c>
      <c r="F198" t="s">
        <v>1078</v>
      </c>
      <c r="G198" t="s">
        <v>1061</v>
      </c>
      <c r="H198" s="18">
        <v>45112</v>
      </c>
      <c r="I198" t="s">
        <v>211</v>
      </c>
      <c r="J198" t="s">
        <v>20</v>
      </c>
      <c r="K198" s="46" t="s">
        <v>1034</v>
      </c>
      <c r="L198">
        <v>20</v>
      </c>
      <c r="M198" t="s">
        <v>21</v>
      </c>
      <c r="N198">
        <v>4</v>
      </c>
      <c r="O198">
        <v>50</v>
      </c>
      <c r="P198">
        <v>200</v>
      </c>
      <c r="Q198">
        <v>3</v>
      </c>
      <c r="R198">
        <v>4</v>
      </c>
    </row>
    <row r="199" spans="1:18" x14ac:dyDescent="0.35">
      <c r="A199">
        <v>187</v>
      </c>
      <c r="B199">
        <v>7</v>
      </c>
      <c r="C199">
        <v>6</v>
      </c>
      <c r="D199">
        <v>2023</v>
      </c>
      <c r="E199" t="s">
        <v>1065</v>
      </c>
      <c r="F199" t="s">
        <v>1069</v>
      </c>
      <c r="G199" t="s">
        <v>1061</v>
      </c>
      <c r="H199" s="18">
        <v>45084</v>
      </c>
      <c r="I199" t="s">
        <v>212</v>
      </c>
      <c r="J199" t="s">
        <v>23</v>
      </c>
      <c r="K199" s="46" t="s">
        <v>1032</v>
      </c>
      <c r="L199">
        <v>64</v>
      </c>
      <c r="M199" t="s">
        <v>21</v>
      </c>
      <c r="N199">
        <v>2</v>
      </c>
      <c r="O199">
        <v>50</v>
      </c>
      <c r="P199">
        <v>100</v>
      </c>
      <c r="Q199">
        <v>1.5</v>
      </c>
      <c r="R199">
        <v>2</v>
      </c>
    </row>
    <row r="200" spans="1:18" x14ac:dyDescent="0.35">
      <c r="A200">
        <v>188</v>
      </c>
      <c r="B200">
        <v>3</v>
      </c>
      <c r="C200">
        <v>5</v>
      </c>
      <c r="D200">
        <v>2023</v>
      </c>
      <c r="E200" t="s">
        <v>1065</v>
      </c>
      <c r="F200" t="s">
        <v>1076</v>
      </c>
      <c r="G200" t="s">
        <v>1061</v>
      </c>
      <c r="H200" s="18">
        <v>45049</v>
      </c>
      <c r="I200" t="s">
        <v>213</v>
      </c>
      <c r="J200" t="s">
        <v>20</v>
      </c>
      <c r="K200" s="46" t="s">
        <v>1030</v>
      </c>
      <c r="L200">
        <v>40</v>
      </c>
      <c r="M200" t="s">
        <v>21</v>
      </c>
      <c r="N200">
        <v>3</v>
      </c>
      <c r="O200">
        <v>25</v>
      </c>
      <c r="P200">
        <v>75</v>
      </c>
      <c r="Q200">
        <v>1.125</v>
      </c>
      <c r="R200">
        <v>1.5</v>
      </c>
    </row>
    <row r="201" spans="1:18" x14ac:dyDescent="0.35">
      <c r="A201">
        <v>189</v>
      </c>
      <c r="B201">
        <v>30</v>
      </c>
      <c r="C201">
        <v>1</v>
      </c>
      <c r="D201">
        <v>2023</v>
      </c>
      <c r="E201" t="s">
        <v>1067</v>
      </c>
      <c r="F201" t="s">
        <v>1060</v>
      </c>
      <c r="G201" t="s">
        <v>1061</v>
      </c>
      <c r="H201" s="18">
        <v>44956</v>
      </c>
      <c r="I201" t="s">
        <v>214</v>
      </c>
      <c r="J201" t="s">
        <v>20</v>
      </c>
      <c r="K201" s="46" t="s">
        <v>1032</v>
      </c>
      <c r="L201">
        <v>63</v>
      </c>
      <c r="M201" t="s">
        <v>21</v>
      </c>
      <c r="N201">
        <v>1</v>
      </c>
      <c r="O201">
        <v>50</v>
      </c>
      <c r="P201">
        <v>50</v>
      </c>
      <c r="Q201">
        <v>0.75</v>
      </c>
      <c r="R201">
        <v>1</v>
      </c>
    </row>
    <row r="202" spans="1:18" x14ac:dyDescent="0.35">
      <c r="A202">
        <v>190</v>
      </c>
      <c r="B202">
        <v>4</v>
      </c>
      <c r="C202">
        <v>5</v>
      </c>
      <c r="D202">
        <v>2023</v>
      </c>
      <c r="E202" t="s">
        <v>1072</v>
      </c>
      <c r="F202" t="s">
        <v>1076</v>
      </c>
      <c r="G202" t="s">
        <v>1061</v>
      </c>
      <c r="H202" s="18">
        <v>45050</v>
      </c>
      <c r="I202" t="s">
        <v>215</v>
      </c>
      <c r="J202" t="s">
        <v>23</v>
      </c>
      <c r="K202" s="46" t="s">
        <v>1032</v>
      </c>
      <c r="L202">
        <v>60</v>
      </c>
      <c r="M202" t="s">
        <v>21</v>
      </c>
      <c r="N202">
        <v>3</v>
      </c>
      <c r="O202">
        <v>30</v>
      </c>
      <c r="P202">
        <v>90</v>
      </c>
      <c r="Q202">
        <v>1.3499999999999999</v>
      </c>
      <c r="R202">
        <v>1.8</v>
      </c>
    </row>
    <row r="203" spans="1:18" x14ac:dyDescent="0.35">
      <c r="A203">
        <v>191</v>
      </c>
      <c r="B203">
        <v>18</v>
      </c>
      <c r="C203">
        <v>10</v>
      </c>
      <c r="D203">
        <v>2023</v>
      </c>
      <c r="E203" t="s">
        <v>1065</v>
      </c>
      <c r="F203" t="s">
        <v>1064</v>
      </c>
      <c r="G203" t="s">
        <v>1061</v>
      </c>
      <c r="H203" s="18">
        <v>45217</v>
      </c>
      <c r="I203" t="s">
        <v>216</v>
      </c>
      <c r="J203" t="s">
        <v>20</v>
      </c>
      <c r="K203" s="46" t="s">
        <v>1032</v>
      </c>
      <c r="L203">
        <v>64</v>
      </c>
      <c r="M203" t="s">
        <v>21</v>
      </c>
      <c r="N203">
        <v>1</v>
      </c>
      <c r="O203">
        <v>25</v>
      </c>
      <c r="P203">
        <v>25</v>
      </c>
      <c r="Q203">
        <v>0.375</v>
      </c>
      <c r="R203">
        <v>0.5</v>
      </c>
    </row>
    <row r="204" spans="1:18" x14ac:dyDescent="0.35">
      <c r="A204">
        <v>192</v>
      </c>
      <c r="B204">
        <v>10</v>
      </c>
      <c r="C204">
        <v>2</v>
      </c>
      <c r="D204">
        <v>2023</v>
      </c>
      <c r="E204" t="s">
        <v>1070</v>
      </c>
      <c r="F204" t="s">
        <v>1073</v>
      </c>
      <c r="G204" t="s">
        <v>1061</v>
      </c>
      <c r="H204" s="18">
        <v>44967</v>
      </c>
      <c r="I204" t="s">
        <v>217</v>
      </c>
      <c r="J204" t="s">
        <v>20</v>
      </c>
      <c r="K204" s="46" t="s">
        <v>1032</v>
      </c>
      <c r="L204">
        <v>62</v>
      </c>
      <c r="M204" t="s">
        <v>21</v>
      </c>
      <c r="N204">
        <v>2</v>
      </c>
      <c r="O204">
        <v>50</v>
      </c>
      <c r="P204">
        <v>100</v>
      </c>
      <c r="Q204">
        <v>1.5</v>
      </c>
      <c r="R204">
        <v>2</v>
      </c>
    </row>
    <row r="205" spans="1:18" x14ac:dyDescent="0.35">
      <c r="A205">
        <v>193</v>
      </c>
      <c r="B205">
        <v>13</v>
      </c>
      <c r="C205">
        <v>2</v>
      </c>
      <c r="D205">
        <v>2023</v>
      </c>
      <c r="E205" t="s">
        <v>1067</v>
      </c>
      <c r="F205" t="s">
        <v>1073</v>
      </c>
      <c r="G205" t="s">
        <v>1061</v>
      </c>
      <c r="H205" s="18">
        <v>44970</v>
      </c>
      <c r="I205" t="s">
        <v>218</v>
      </c>
      <c r="J205" t="s">
        <v>20</v>
      </c>
      <c r="K205" s="46" t="s">
        <v>1030</v>
      </c>
      <c r="L205">
        <v>35</v>
      </c>
      <c r="M205" t="s">
        <v>21</v>
      </c>
      <c r="N205">
        <v>3</v>
      </c>
      <c r="O205">
        <v>500</v>
      </c>
      <c r="P205">
        <v>1500</v>
      </c>
      <c r="Q205">
        <v>22.5</v>
      </c>
      <c r="R205">
        <v>30</v>
      </c>
    </row>
    <row r="206" spans="1:18" x14ac:dyDescent="0.35">
      <c r="A206">
        <v>194</v>
      </c>
      <c r="B206">
        <v>6</v>
      </c>
      <c r="C206">
        <v>9</v>
      </c>
      <c r="D206">
        <v>2023</v>
      </c>
      <c r="E206" t="s">
        <v>1065</v>
      </c>
      <c r="F206" t="s">
        <v>1071</v>
      </c>
      <c r="G206" t="s">
        <v>1061</v>
      </c>
      <c r="H206" s="18">
        <v>45175</v>
      </c>
      <c r="I206" t="s">
        <v>219</v>
      </c>
      <c r="J206" t="s">
        <v>20</v>
      </c>
      <c r="K206" s="46" t="s">
        <v>1032</v>
      </c>
      <c r="L206">
        <v>55</v>
      </c>
      <c r="M206" t="s">
        <v>21</v>
      </c>
      <c r="N206">
        <v>4</v>
      </c>
      <c r="O206">
        <v>50</v>
      </c>
      <c r="P206">
        <v>200</v>
      </c>
      <c r="Q206">
        <v>3</v>
      </c>
      <c r="R206">
        <v>4</v>
      </c>
    </row>
    <row r="207" spans="1:18" x14ac:dyDescent="0.35">
      <c r="A207">
        <v>195</v>
      </c>
      <c r="B207">
        <v>5</v>
      </c>
      <c r="C207">
        <v>2</v>
      </c>
      <c r="D207">
        <v>2023</v>
      </c>
      <c r="E207" t="s">
        <v>1063</v>
      </c>
      <c r="F207" t="s">
        <v>1073</v>
      </c>
      <c r="G207" t="s">
        <v>1061</v>
      </c>
      <c r="H207" s="18">
        <v>44962</v>
      </c>
      <c r="I207" t="s">
        <v>220</v>
      </c>
      <c r="J207" t="s">
        <v>20</v>
      </c>
      <c r="K207" s="46" t="s">
        <v>1032</v>
      </c>
      <c r="L207">
        <v>52</v>
      </c>
      <c r="M207" t="s">
        <v>21</v>
      </c>
      <c r="N207">
        <v>1</v>
      </c>
      <c r="O207">
        <v>30</v>
      </c>
      <c r="P207">
        <v>30</v>
      </c>
      <c r="Q207">
        <v>0.44999999999999996</v>
      </c>
      <c r="R207">
        <v>0.6</v>
      </c>
    </row>
    <row r="208" spans="1:18" x14ac:dyDescent="0.35">
      <c r="A208">
        <v>196</v>
      </c>
      <c r="B208">
        <v>30</v>
      </c>
      <c r="C208">
        <v>9</v>
      </c>
      <c r="D208">
        <v>2023</v>
      </c>
      <c r="E208" t="s">
        <v>1075</v>
      </c>
      <c r="F208" t="s">
        <v>1071</v>
      </c>
      <c r="G208" t="s">
        <v>1061</v>
      </c>
      <c r="H208" s="18">
        <v>45199</v>
      </c>
      <c r="I208" t="s">
        <v>221</v>
      </c>
      <c r="J208" t="s">
        <v>23</v>
      </c>
      <c r="K208" s="46" t="s">
        <v>1030</v>
      </c>
      <c r="L208">
        <v>32</v>
      </c>
      <c r="M208" t="s">
        <v>21</v>
      </c>
      <c r="N208">
        <v>3</v>
      </c>
      <c r="O208">
        <v>300</v>
      </c>
      <c r="P208">
        <v>900</v>
      </c>
      <c r="Q208">
        <v>13.5</v>
      </c>
      <c r="R208">
        <v>18</v>
      </c>
    </row>
    <row r="209" spans="1:18" x14ac:dyDescent="0.35">
      <c r="A209">
        <v>197</v>
      </c>
      <c r="B209">
        <v>6</v>
      </c>
      <c r="C209">
        <v>3</v>
      </c>
      <c r="D209">
        <v>2023</v>
      </c>
      <c r="E209" t="s">
        <v>1067</v>
      </c>
      <c r="F209" t="s">
        <v>1066</v>
      </c>
      <c r="G209" t="s">
        <v>1061</v>
      </c>
      <c r="H209" s="18">
        <v>44991</v>
      </c>
      <c r="I209" t="s">
        <v>222</v>
      </c>
      <c r="J209" t="s">
        <v>23</v>
      </c>
      <c r="K209" s="46" t="s">
        <v>1030</v>
      </c>
      <c r="L209">
        <v>42</v>
      </c>
      <c r="M209" t="s">
        <v>21</v>
      </c>
      <c r="N209">
        <v>4</v>
      </c>
      <c r="O209">
        <v>50</v>
      </c>
      <c r="P209">
        <v>200</v>
      </c>
      <c r="Q209">
        <v>3</v>
      </c>
      <c r="R209">
        <v>4</v>
      </c>
    </row>
    <row r="210" spans="1:18" x14ac:dyDescent="0.35">
      <c r="A210">
        <v>198</v>
      </c>
      <c r="B210">
        <v>7</v>
      </c>
      <c r="C210">
        <v>3</v>
      </c>
      <c r="D210">
        <v>2023</v>
      </c>
      <c r="E210" t="s">
        <v>1059</v>
      </c>
      <c r="F210" t="s">
        <v>1066</v>
      </c>
      <c r="G210" t="s">
        <v>1061</v>
      </c>
      <c r="H210" s="18">
        <v>44992</v>
      </c>
      <c r="I210" t="s">
        <v>223</v>
      </c>
      <c r="J210" t="s">
        <v>23</v>
      </c>
      <c r="K210" s="46" t="s">
        <v>1032</v>
      </c>
      <c r="L210">
        <v>54</v>
      </c>
      <c r="M210" t="s">
        <v>21</v>
      </c>
      <c r="N210">
        <v>3</v>
      </c>
      <c r="O210">
        <v>300</v>
      </c>
      <c r="P210">
        <v>900</v>
      </c>
      <c r="Q210">
        <v>13.5</v>
      </c>
      <c r="R210">
        <v>18</v>
      </c>
    </row>
    <row r="211" spans="1:18" x14ac:dyDescent="0.35">
      <c r="A211">
        <v>199</v>
      </c>
      <c r="B211">
        <v>4</v>
      </c>
      <c r="C211">
        <v>12</v>
      </c>
      <c r="D211">
        <v>2023</v>
      </c>
      <c r="E211" t="s">
        <v>1067</v>
      </c>
      <c r="F211" t="s">
        <v>1062</v>
      </c>
      <c r="G211" t="s">
        <v>1061</v>
      </c>
      <c r="H211" s="18">
        <v>45264</v>
      </c>
      <c r="I211" t="s">
        <v>224</v>
      </c>
      <c r="J211" t="s">
        <v>20</v>
      </c>
      <c r="K211" s="46" t="s">
        <v>1030</v>
      </c>
      <c r="L211">
        <v>45</v>
      </c>
      <c r="M211" t="s">
        <v>21</v>
      </c>
      <c r="N211">
        <v>3</v>
      </c>
      <c r="O211">
        <v>500</v>
      </c>
      <c r="P211">
        <v>1500</v>
      </c>
      <c r="Q211">
        <v>22.5</v>
      </c>
      <c r="R211">
        <v>30</v>
      </c>
    </row>
    <row r="212" spans="1:18" x14ac:dyDescent="0.35">
      <c r="A212">
        <v>200</v>
      </c>
      <c r="B212">
        <v>1</v>
      </c>
      <c r="C212">
        <v>9</v>
      </c>
      <c r="D212">
        <v>2023</v>
      </c>
      <c r="E212" t="s">
        <v>1070</v>
      </c>
      <c r="F212" t="s">
        <v>1071</v>
      </c>
      <c r="G212" t="s">
        <v>1061</v>
      </c>
      <c r="H212" s="18">
        <v>45170</v>
      </c>
      <c r="I212" t="s">
        <v>225</v>
      </c>
      <c r="J212" t="s">
        <v>20</v>
      </c>
      <c r="K212" s="46" t="s">
        <v>1034</v>
      </c>
      <c r="L212">
        <v>27</v>
      </c>
      <c r="M212" t="s">
        <v>21</v>
      </c>
      <c r="N212">
        <v>3</v>
      </c>
      <c r="O212">
        <v>50</v>
      </c>
      <c r="P212">
        <v>150</v>
      </c>
      <c r="Q212">
        <v>2.25</v>
      </c>
      <c r="R212">
        <v>3</v>
      </c>
    </row>
    <row r="213" spans="1:18" x14ac:dyDescent="0.35">
      <c r="A213">
        <v>201</v>
      </c>
      <c r="B213">
        <v>9</v>
      </c>
      <c r="C213">
        <v>10</v>
      </c>
      <c r="D213">
        <v>2023</v>
      </c>
      <c r="E213" t="s">
        <v>1067</v>
      </c>
      <c r="F213" t="s">
        <v>1064</v>
      </c>
      <c r="G213" t="s">
        <v>1061</v>
      </c>
      <c r="H213" s="18">
        <v>45208</v>
      </c>
      <c r="I213" t="s">
        <v>226</v>
      </c>
      <c r="J213" t="s">
        <v>20</v>
      </c>
      <c r="K213" s="46" t="s">
        <v>1032</v>
      </c>
      <c r="L213">
        <v>56</v>
      </c>
      <c r="M213" t="s">
        <v>21</v>
      </c>
      <c r="N213">
        <v>1</v>
      </c>
      <c r="O213">
        <v>25</v>
      </c>
      <c r="P213">
        <v>25</v>
      </c>
      <c r="Q213">
        <v>0.375</v>
      </c>
      <c r="R213">
        <v>0.5</v>
      </c>
    </row>
    <row r="214" spans="1:18" x14ac:dyDescent="0.35">
      <c r="A214">
        <v>202</v>
      </c>
      <c r="B214">
        <v>26</v>
      </c>
      <c r="C214">
        <v>3</v>
      </c>
      <c r="D214">
        <v>2023</v>
      </c>
      <c r="E214" t="s">
        <v>1063</v>
      </c>
      <c r="F214" t="s">
        <v>1066</v>
      </c>
      <c r="G214" t="s">
        <v>1061</v>
      </c>
      <c r="H214" s="18">
        <v>45011</v>
      </c>
      <c r="I214" t="s">
        <v>227</v>
      </c>
      <c r="J214" t="s">
        <v>23</v>
      </c>
      <c r="K214" s="46" t="s">
        <v>1030</v>
      </c>
      <c r="L214">
        <v>34</v>
      </c>
      <c r="M214" t="s">
        <v>21</v>
      </c>
      <c r="N214">
        <v>4</v>
      </c>
      <c r="O214">
        <v>300</v>
      </c>
      <c r="P214">
        <v>1200</v>
      </c>
      <c r="Q214">
        <v>18</v>
      </c>
      <c r="R214">
        <v>24</v>
      </c>
    </row>
    <row r="215" spans="1:18" x14ac:dyDescent="0.35">
      <c r="A215">
        <v>203</v>
      </c>
      <c r="B215">
        <v>16</v>
      </c>
      <c r="C215">
        <v>5</v>
      </c>
      <c r="D215">
        <v>2023</v>
      </c>
      <c r="E215" t="s">
        <v>1059</v>
      </c>
      <c r="F215" t="s">
        <v>1076</v>
      </c>
      <c r="G215" t="s">
        <v>1061</v>
      </c>
      <c r="H215" s="18">
        <v>45062</v>
      </c>
      <c r="I215" t="s">
        <v>228</v>
      </c>
      <c r="J215" t="s">
        <v>20</v>
      </c>
      <c r="K215" s="46" t="s">
        <v>1032</v>
      </c>
      <c r="L215">
        <v>56</v>
      </c>
      <c r="M215" t="s">
        <v>21</v>
      </c>
      <c r="N215">
        <v>2</v>
      </c>
      <c r="O215">
        <v>500</v>
      </c>
      <c r="P215">
        <v>1000</v>
      </c>
      <c r="Q215">
        <v>15</v>
      </c>
      <c r="R215">
        <v>20</v>
      </c>
    </row>
    <row r="216" spans="1:18" x14ac:dyDescent="0.35">
      <c r="A216">
        <v>204</v>
      </c>
      <c r="B216">
        <v>28</v>
      </c>
      <c r="C216">
        <v>9</v>
      </c>
      <c r="D216">
        <v>2023</v>
      </c>
      <c r="E216" t="s">
        <v>1072</v>
      </c>
      <c r="F216" t="s">
        <v>1071</v>
      </c>
      <c r="G216" t="s">
        <v>1061</v>
      </c>
      <c r="H216" s="18">
        <v>45197</v>
      </c>
      <c r="I216" t="s">
        <v>229</v>
      </c>
      <c r="J216" t="s">
        <v>20</v>
      </c>
      <c r="K216" s="46" t="s">
        <v>1030</v>
      </c>
      <c r="L216">
        <v>39</v>
      </c>
      <c r="M216" t="s">
        <v>21</v>
      </c>
      <c r="N216">
        <v>1</v>
      </c>
      <c r="O216">
        <v>25</v>
      </c>
      <c r="P216">
        <v>25</v>
      </c>
      <c r="Q216">
        <v>0.375</v>
      </c>
      <c r="R216">
        <v>0.5</v>
      </c>
    </row>
    <row r="217" spans="1:18" x14ac:dyDescent="0.35">
      <c r="A217">
        <v>205</v>
      </c>
      <c r="B217">
        <v>7</v>
      </c>
      <c r="C217">
        <v>11</v>
      </c>
      <c r="D217">
        <v>2023</v>
      </c>
      <c r="E217" t="s">
        <v>1059</v>
      </c>
      <c r="F217" t="s">
        <v>1068</v>
      </c>
      <c r="G217" t="s">
        <v>1061</v>
      </c>
      <c r="H217" s="18">
        <v>45237</v>
      </c>
      <c r="I217" t="s">
        <v>230</v>
      </c>
      <c r="J217" t="s">
        <v>23</v>
      </c>
      <c r="K217" s="46" t="s">
        <v>1030</v>
      </c>
      <c r="L217">
        <v>43</v>
      </c>
      <c r="M217" t="s">
        <v>21</v>
      </c>
      <c r="N217">
        <v>1</v>
      </c>
      <c r="O217">
        <v>25</v>
      </c>
      <c r="P217">
        <v>25</v>
      </c>
      <c r="Q217">
        <v>0.375</v>
      </c>
      <c r="R217">
        <v>0.5</v>
      </c>
    </row>
    <row r="218" spans="1:18" x14ac:dyDescent="0.35">
      <c r="A218">
        <v>206</v>
      </c>
      <c r="B218">
        <v>5</v>
      </c>
      <c r="C218">
        <v>8</v>
      </c>
      <c r="D218">
        <v>2023</v>
      </c>
      <c r="E218" t="s">
        <v>1075</v>
      </c>
      <c r="F218" t="s">
        <v>1074</v>
      </c>
      <c r="G218" t="s">
        <v>1061</v>
      </c>
      <c r="H218" s="18">
        <v>45143</v>
      </c>
      <c r="I218" t="s">
        <v>231</v>
      </c>
      <c r="J218" t="s">
        <v>20</v>
      </c>
      <c r="K218" s="46" t="s">
        <v>1032</v>
      </c>
      <c r="L218">
        <v>61</v>
      </c>
      <c r="M218" t="s">
        <v>21</v>
      </c>
      <c r="N218">
        <v>1</v>
      </c>
      <c r="O218">
        <v>25</v>
      </c>
      <c r="P218">
        <v>25</v>
      </c>
      <c r="Q218">
        <v>0.375</v>
      </c>
      <c r="R218">
        <v>0.5</v>
      </c>
    </row>
    <row r="219" spans="1:18" x14ac:dyDescent="0.35">
      <c r="A219">
        <v>207</v>
      </c>
      <c r="B219">
        <v>19</v>
      </c>
      <c r="C219">
        <v>4</v>
      </c>
      <c r="D219">
        <v>2023</v>
      </c>
      <c r="E219" t="s">
        <v>1065</v>
      </c>
      <c r="F219" t="s">
        <v>1077</v>
      </c>
      <c r="G219" t="s">
        <v>1061</v>
      </c>
      <c r="H219" s="18">
        <v>45035</v>
      </c>
      <c r="I219" t="s">
        <v>232</v>
      </c>
      <c r="J219" t="s">
        <v>23</v>
      </c>
      <c r="K219" s="46" t="s">
        <v>1030</v>
      </c>
      <c r="L219">
        <v>42</v>
      </c>
      <c r="M219" t="s">
        <v>21</v>
      </c>
      <c r="N219">
        <v>2</v>
      </c>
      <c r="O219">
        <v>25</v>
      </c>
      <c r="P219">
        <v>50</v>
      </c>
      <c r="Q219">
        <v>0.75</v>
      </c>
      <c r="R219">
        <v>1</v>
      </c>
    </row>
    <row r="220" spans="1:18" x14ac:dyDescent="0.35">
      <c r="A220">
        <v>208</v>
      </c>
      <c r="B220">
        <v>4</v>
      </c>
      <c r="C220">
        <v>10</v>
      </c>
      <c r="D220">
        <v>2023</v>
      </c>
      <c r="E220" t="s">
        <v>1065</v>
      </c>
      <c r="F220" t="s">
        <v>1064</v>
      </c>
      <c r="G220" t="s">
        <v>1061</v>
      </c>
      <c r="H220" s="18">
        <v>45203</v>
      </c>
      <c r="I220" t="s">
        <v>233</v>
      </c>
      <c r="J220" t="s">
        <v>23</v>
      </c>
      <c r="K220" s="46" t="s">
        <v>1030</v>
      </c>
      <c r="L220">
        <v>34</v>
      </c>
      <c r="M220" t="s">
        <v>21</v>
      </c>
      <c r="N220">
        <v>4</v>
      </c>
      <c r="O220">
        <v>50</v>
      </c>
      <c r="P220">
        <v>200</v>
      </c>
      <c r="Q220">
        <v>3</v>
      </c>
      <c r="R220">
        <v>4</v>
      </c>
    </row>
    <row r="221" spans="1:18" x14ac:dyDescent="0.35">
      <c r="A221">
        <v>209</v>
      </c>
      <c r="B221">
        <v>20</v>
      </c>
      <c r="C221">
        <v>12</v>
      </c>
      <c r="D221">
        <v>2023</v>
      </c>
      <c r="E221" t="s">
        <v>1065</v>
      </c>
      <c r="F221" t="s">
        <v>1062</v>
      </c>
      <c r="G221" t="s">
        <v>1061</v>
      </c>
      <c r="H221" s="18">
        <v>45280</v>
      </c>
      <c r="I221" t="s">
        <v>234</v>
      </c>
      <c r="J221" t="s">
        <v>23</v>
      </c>
      <c r="K221" s="46" t="s">
        <v>1030</v>
      </c>
      <c r="L221">
        <v>30</v>
      </c>
      <c r="M221" t="s">
        <v>21</v>
      </c>
      <c r="N221">
        <v>4</v>
      </c>
      <c r="O221">
        <v>50</v>
      </c>
      <c r="P221">
        <v>200</v>
      </c>
      <c r="Q221">
        <v>3</v>
      </c>
      <c r="R221">
        <v>4</v>
      </c>
    </row>
    <row r="222" spans="1:18" x14ac:dyDescent="0.35">
      <c r="A222">
        <v>210</v>
      </c>
      <c r="B222">
        <v>13</v>
      </c>
      <c r="C222">
        <v>4</v>
      </c>
      <c r="D222">
        <v>2023</v>
      </c>
      <c r="E222" t="s">
        <v>1072</v>
      </c>
      <c r="F222" t="s">
        <v>1077</v>
      </c>
      <c r="G222" t="s">
        <v>1061</v>
      </c>
      <c r="H222" s="18">
        <v>45029</v>
      </c>
      <c r="I222" t="s">
        <v>235</v>
      </c>
      <c r="J222" t="s">
        <v>20</v>
      </c>
      <c r="K222" s="46" t="s">
        <v>1030</v>
      </c>
      <c r="L222">
        <v>37</v>
      </c>
      <c r="M222" t="s">
        <v>21</v>
      </c>
      <c r="N222">
        <v>4</v>
      </c>
      <c r="O222">
        <v>50</v>
      </c>
      <c r="P222">
        <v>200</v>
      </c>
      <c r="Q222">
        <v>3</v>
      </c>
      <c r="R222">
        <v>4</v>
      </c>
    </row>
    <row r="223" spans="1:18" x14ac:dyDescent="0.35">
      <c r="A223">
        <v>211</v>
      </c>
      <c r="B223">
        <v>1</v>
      </c>
      <c r="C223">
        <v>1</v>
      </c>
      <c r="D223">
        <v>2024</v>
      </c>
      <c r="E223" t="s">
        <v>1067</v>
      </c>
      <c r="F223" t="s">
        <v>1060</v>
      </c>
      <c r="G223" t="s">
        <v>1079</v>
      </c>
      <c r="H223" s="18">
        <v>45292</v>
      </c>
      <c r="I223" t="s">
        <v>236</v>
      </c>
      <c r="J223" t="s">
        <v>20</v>
      </c>
      <c r="K223" s="46" t="s">
        <v>1030</v>
      </c>
      <c r="L223">
        <v>42</v>
      </c>
      <c r="M223" t="s">
        <v>21</v>
      </c>
      <c r="N223">
        <v>3</v>
      </c>
      <c r="O223">
        <v>500</v>
      </c>
      <c r="P223">
        <v>1500</v>
      </c>
      <c r="Q223">
        <v>22.5</v>
      </c>
      <c r="R223">
        <v>30</v>
      </c>
    </row>
    <row r="224" spans="1:18" x14ac:dyDescent="0.35">
      <c r="A224">
        <v>212</v>
      </c>
      <c r="B224">
        <v>9</v>
      </c>
      <c r="C224">
        <v>6</v>
      </c>
      <c r="D224">
        <v>2023</v>
      </c>
      <c r="E224" t="s">
        <v>1070</v>
      </c>
      <c r="F224" t="s">
        <v>1069</v>
      </c>
      <c r="G224" t="s">
        <v>1061</v>
      </c>
      <c r="H224" s="18">
        <v>45086</v>
      </c>
      <c r="I224" t="s">
        <v>237</v>
      </c>
      <c r="J224" t="s">
        <v>20</v>
      </c>
      <c r="K224" s="46" t="s">
        <v>1034</v>
      </c>
      <c r="L224">
        <v>21</v>
      </c>
      <c r="M224" t="s">
        <v>21</v>
      </c>
      <c r="N224">
        <v>3</v>
      </c>
      <c r="O224">
        <v>500</v>
      </c>
      <c r="P224">
        <v>1500</v>
      </c>
      <c r="Q224">
        <v>22.5</v>
      </c>
      <c r="R224">
        <v>30</v>
      </c>
    </row>
    <row r="225" spans="1:18" x14ac:dyDescent="0.35">
      <c r="A225">
        <v>213</v>
      </c>
      <c r="B225">
        <v>24</v>
      </c>
      <c r="C225">
        <v>7</v>
      </c>
      <c r="D225">
        <v>2023</v>
      </c>
      <c r="E225" t="s">
        <v>1067</v>
      </c>
      <c r="F225" t="s">
        <v>1078</v>
      </c>
      <c r="G225" t="s">
        <v>1061</v>
      </c>
      <c r="H225" s="18">
        <v>45131</v>
      </c>
      <c r="I225" t="s">
        <v>238</v>
      </c>
      <c r="J225" t="s">
        <v>20</v>
      </c>
      <c r="K225" s="46" t="s">
        <v>1034</v>
      </c>
      <c r="L225">
        <v>27</v>
      </c>
      <c r="M225" t="s">
        <v>21</v>
      </c>
      <c r="N225">
        <v>3</v>
      </c>
      <c r="O225">
        <v>500</v>
      </c>
      <c r="P225">
        <v>1500</v>
      </c>
      <c r="Q225">
        <v>22.5</v>
      </c>
      <c r="R225">
        <v>30</v>
      </c>
    </row>
    <row r="226" spans="1:18" x14ac:dyDescent="0.35">
      <c r="A226">
        <v>214</v>
      </c>
      <c r="B226">
        <v>10</v>
      </c>
      <c r="C226">
        <v>12</v>
      </c>
      <c r="D226">
        <v>2023</v>
      </c>
      <c r="E226" t="s">
        <v>1063</v>
      </c>
      <c r="F226" t="s">
        <v>1062</v>
      </c>
      <c r="G226" t="s">
        <v>1061</v>
      </c>
      <c r="H226" s="18">
        <v>45270</v>
      </c>
      <c r="I226" t="s">
        <v>239</v>
      </c>
      <c r="J226" t="s">
        <v>20</v>
      </c>
      <c r="K226" s="46" t="s">
        <v>1034</v>
      </c>
      <c r="L226">
        <v>20</v>
      </c>
      <c r="M226" t="s">
        <v>21</v>
      </c>
      <c r="N226">
        <v>2</v>
      </c>
      <c r="O226">
        <v>30</v>
      </c>
      <c r="P226">
        <v>60</v>
      </c>
      <c r="Q226">
        <v>0.89999999999999991</v>
      </c>
      <c r="R226">
        <v>1.2</v>
      </c>
    </row>
    <row r="227" spans="1:18" x14ac:dyDescent="0.35">
      <c r="A227">
        <v>215</v>
      </c>
      <c r="B227">
        <v>29</v>
      </c>
      <c r="C227">
        <v>11</v>
      </c>
      <c r="D227">
        <v>2023</v>
      </c>
      <c r="E227" t="s">
        <v>1065</v>
      </c>
      <c r="F227" t="s">
        <v>1068</v>
      </c>
      <c r="G227" t="s">
        <v>1061</v>
      </c>
      <c r="H227" s="18">
        <v>45259</v>
      </c>
      <c r="I227" t="s">
        <v>240</v>
      </c>
      <c r="J227" t="s">
        <v>20</v>
      </c>
      <c r="K227" s="46" t="s">
        <v>1032</v>
      </c>
      <c r="L227">
        <v>58</v>
      </c>
      <c r="M227" t="s">
        <v>21</v>
      </c>
      <c r="N227">
        <v>3</v>
      </c>
      <c r="O227">
        <v>500</v>
      </c>
      <c r="P227">
        <v>1500</v>
      </c>
      <c r="Q227">
        <v>22.5</v>
      </c>
      <c r="R227">
        <v>30</v>
      </c>
    </row>
    <row r="228" spans="1:18" x14ac:dyDescent="0.35">
      <c r="A228">
        <v>216</v>
      </c>
      <c r="B228">
        <v>11</v>
      </c>
      <c r="C228">
        <v>7</v>
      </c>
      <c r="D228">
        <v>2023</v>
      </c>
      <c r="E228" t="s">
        <v>1059</v>
      </c>
      <c r="F228" t="s">
        <v>1078</v>
      </c>
      <c r="G228" t="s">
        <v>1061</v>
      </c>
      <c r="H228" s="18">
        <v>45118</v>
      </c>
      <c r="I228" t="s">
        <v>241</v>
      </c>
      <c r="J228" t="s">
        <v>20</v>
      </c>
      <c r="K228" s="46" t="s">
        <v>1032</v>
      </c>
      <c r="L228">
        <v>62</v>
      </c>
      <c r="M228" t="s">
        <v>21</v>
      </c>
      <c r="N228">
        <v>2</v>
      </c>
      <c r="O228">
        <v>50</v>
      </c>
      <c r="P228">
        <v>100</v>
      </c>
      <c r="Q228">
        <v>1.5</v>
      </c>
      <c r="R228">
        <v>2</v>
      </c>
    </row>
    <row r="229" spans="1:18" x14ac:dyDescent="0.35">
      <c r="A229">
        <v>217</v>
      </c>
      <c r="B229">
        <v>13</v>
      </c>
      <c r="C229">
        <v>8</v>
      </c>
      <c r="D229">
        <v>2023</v>
      </c>
      <c r="E229" t="s">
        <v>1063</v>
      </c>
      <c r="F229" t="s">
        <v>1074</v>
      </c>
      <c r="G229" t="s">
        <v>1061</v>
      </c>
      <c r="H229" s="18">
        <v>45151</v>
      </c>
      <c r="I229" t="s">
        <v>242</v>
      </c>
      <c r="J229" t="s">
        <v>23</v>
      </c>
      <c r="K229" s="46" t="s">
        <v>1030</v>
      </c>
      <c r="L229">
        <v>35</v>
      </c>
      <c r="M229" t="s">
        <v>21</v>
      </c>
      <c r="N229">
        <v>4</v>
      </c>
      <c r="O229">
        <v>50</v>
      </c>
      <c r="P229">
        <v>200</v>
      </c>
      <c r="Q229">
        <v>3</v>
      </c>
      <c r="R229">
        <v>4</v>
      </c>
    </row>
    <row r="230" spans="1:18" x14ac:dyDescent="0.35">
      <c r="A230">
        <v>218</v>
      </c>
      <c r="B230">
        <v>22</v>
      </c>
      <c r="C230">
        <v>9</v>
      </c>
      <c r="D230">
        <v>2023</v>
      </c>
      <c r="E230" t="s">
        <v>1070</v>
      </c>
      <c r="F230" t="s">
        <v>1071</v>
      </c>
      <c r="G230" t="s">
        <v>1061</v>
      </c>
      <c r="H230" s="18">
        <v>45191</v>
      </c>
      <c r="I230" t="s">
        <v>243</v>
      </c>
      <c r="J230" t="s">
        <v>20</v>
      </c>
      <c r="K230" s="46" t="s">
        <v>1032</v>
      </c>
      <c r="L230">
        <v>64</v>
      </c>
      <c r="M230" t="s">
        <v>21</v>
      </c>
      <c r="N230">
        <v>3</v>
      </c>
      <c r="O230">
        <v>30</v>
      </c>
      <c r="P230">
        <v>90</v>
      </c>
      <c r="Q230">
        <v>1.3499999999999999</v>
      </c>
      <c r="R230">
        <v>1.8</v>
      </c>
    </row>
    <row r="231" spans="1:18" x14ac:dyDescent="0.35">
      <c r="A231">
        <v>219</v>
      </c>
      <c r="B231">
        <v>20</v>
      </c>
      <c r="C231">
        <v>8</v>
      </c>
      <c r="D231">
        <v>2023</v>
      </c>
      <c r="E231" t="s">
        <v>1063</v>
      </c>
      <c r="F231" t="s">
        <v>1074</v>
      </c>
      <c r="G231" t="s">
        <v>1061</v>
      </c>
      <c r="H231" s="18">
        <v>45158</v>
      </c>
      <c r="I231" t="s">
        <v>244</v>
      </c>
      <c r="J231" t="s">
        <v>23</v>
      </c>
      <c r="K231" s="46" t="s">
        <v>1032</v>
      </c>
      <c r="L231">
        <v>53</v>
      </c>
      <c r="M231" t="s">
        <v>21</v>
      </c>
      <c r="N231">
        <v>3</v>
      </c>
      <c r="O231">
        <v>30</v>
      </c>
      <c r="P231">
        <v>90</v>
      </c>
      <c r="Q231">
        <v>1.3499999999999999</v>
      </c>
      <c r="R231">
        <v>1.8</v>
      </c>
    </row>
    <row r="232" spans="1:18" x14ac:dyDescent="0.35">
      <c r="A232">
        <v>220</v>
      </c>
      <c r="B232">
        <v>3</v>
      </c>
      <c r="C232">
        <v>3</v>
      </c>
      <c r="D232">
        <v>2023</v>
      </c>
      <c r="E232" t="s">
        <v>1070</v>
      </c>
      <c r="F232" t="s">
        <v>1066</v>
      </c>
      <c r="G232" t="s">
        <v>1061</v>
      </c>
      <c r="H232" s="18">
        <v>44988</v>
      </c>
      <c r="I232" t="s">
        <v>245</v>
      </c>
      <c r="J232" t="s">
        <v>20</v>
      </c>
      <c r="K232" s="46" t="s">
        <v>1032</v>
      </c>
      <c r="L232">
        <v>64</v>
      </c>
      <c r="M232" t="s">
        <v>21</v>
      </c>
      <c r="N232">
        <v>1</v>
      </c>
      <c r="O232">
        <v>500</v>
      </c>
      <c r="P232">
        <v>500</v>
      </c>
      <c r="Q232">
        <v>7.5</v>
      </c>
      <c r="R232">
        <v>10</v>
      </c>
    </row>
    <row r="233" spans="1:18" x14ac:dyDescent="0.35">
      <c r="A233">
        <v>221</v>
      </c>
      <c r="B233">
        <v>7</v>
      </c>
      <c r="C233">
        <v>5</v>
      </c>
      <c r="D233">
        <v>2023</v>
      </c>
      <c r="E233" t="s">
        <v>1063</v>
      </c>
      <c r="F233" t="s">
        <v>1076</v>
      </c>
      <c r="G233" t="s">
        <v>1061</v>
      </c>
      <c r="H233" s="18">
        <v>45053</v>
      </c>
      <c r="I233" t="s">
        <v>246</v>
      </c>
      <c r="J233" t="s">
        <v>20</v>
      </c>
      <c r="K233" s="46" t="s">
        <v>1030</v>
      </c>
      <c r="L233">
        <v>39</v>
      </c>
      <c r="M233" t="s">
        <v>21</v>
      </c>
      <c r="N233">
        <v>2</v>
      </c>
      <c r="O233">
        <v>300</v>
      </c>
      <c r="P233">
        <v>600</v>
      </c>
      <c r="Q233">
        <v>9</v>
      </c>
      <c r="R233">
        <v>12</v>
      </c>
    </row>
    <row r="234" spans="1:18" x14ac:dyDescent="0.35">
      <c r="A234">
        <v>222</v>
      </c>
      <c r="B234">
        <v>26</v>
      </c>
      <c r="C234">
        <v>4</v>
      </c>
      <c r="D234">
        <v>2023</v>
      </c>
      <c r="E234" t="s">
        <v>1065</v>
      </c>
      <c r="F234" t="s">
        <v>1077</v>
      </c>
      <c r="G234" t="s">
        <v>1061</v>
      </c>
      <c r="H234" s="18">
        <v>45042</v>
      </c>
      <c r="I234" t="s">
        <v>247</v>
      </c>
      <c r="J234" t="s">
        <v>20</v>
      </c>
      <c r="K234" s="46" t="s">
        <v>1032</v>
      </c>
      <c r="L234">
        <v>51</v>
      </c>
      <c r="M234" t="s">
        <v>21</v>
      </c>
      <c r="N234">
        <v>4</v>
      </c>
      <c r="O234">
        <v>30</v>
      </c>
      <c r="P234">
        <v>120</v>
      </c>
      <c r="Q234">
        <v>1.7999999999999998</v>
      </c>
      <c r="R234">
        <v>2.4</v>
      </c>
    </row>
    <row r="235" spans="1:18" x14ac:dyDescent="0.35">
      <c r="A235">
        <v>223</v>
      </c>
      <c r="B235">
        <v>2</v>
      </c>
      <c r="C235">
        <v>2</v>
      </c>
      <c r="D235">
        <v>2023</v>
      </c>
      <c r="E235" t="s">
        <v>1072</v>
      </c>
      <c r="F235" t="s">
        <v>1073</v>
      </c>
      <c r="G235" t="s">
        <v>1061</v>
      </c>
      <c r="H235" s="18">
        <v>44959</v>
      </c>
      <c r="I235" t="s">
        <v>248</v>
      </c>
      <c r="J235" t="s">
        <v>23</v>
      </c>
      <c r="K235" s="46" t="s">
        <v>1032</v>
      </c>
      <c r="L235">
        <v>64</v>
      </c>
      <c r="M235" t="s">
        <v>21</v>
      </c>
      <c r="N235">
        <v>1</v>
      </c>
      <c r="O235">
        <v>25</v>
      </c>
      <c r="P235">
        <v>25</v>
      </c>
      <c r="Q235">
        <v>0.375</v>
      </c>
      <c r="R235">
        <v>0.5</v>
      </c>
    </row>
    <row r="236" spans="1:18" x14ac:dyDescent="0.35">
      <c r="A236">
        <v>224</v>
      </c>
      <c r="B236">
        <v>23</v>
      </c>
      <c r="C236">
        <v>6</v>
      </c>
      <c r="D236">
        <v>2023</v>
      </c>
      <c r="E236" t="s">
        <v>1070</v>
      </c>
      <c r="F236" t="s">
        <v>1069</v>
      </c>
      <c r="G236" t="s">
        <v>1061</v>
      </c>
      <c r="H236" s="18">
        <v>45100</v>
      </c>
      <c r="I236" t="s">
        <v>249</v>
      </c>
      <c r="J236" t="s">
        <v>23</v>
      </c>
      <c r="K236" s="46" t="s">
        <v>1034</v>
      </c>
      <c r="L236">
        <v>25</v>
      </c>
      <c r="M236" t="s">
        <v>21</v>
      </c>
      <c r="N236">
        <v>1</v>
      </c>
      <c r="O236">
        <v>50</v>
      </c>
      <c r="P236">
        <v>50</v>
      </c>
      <c r="Q236">
        <v>0.75</v>
      </c>
      <c r="R236">
        <v>1</v>
      </c>
    </row>
    <row r="237" spans="1:18" x14ac:dyDescent="0.35">
      <c r="A237">
        <v>225</v>
      </c>
      <c r="B237">
        <v>11</v>
      </c>
      <c r="C237">
        <v>1</v>
      </c>
      <c r="D237">
        <v>2023</v>
      </c>
      <c r="E237" t="s">
        <v>1065</v>
      </c>
      <c r="F237" t="s">
        <v>1060</v>
      </c>
      <c r="G237" t="s">
        <v>1061</v>
      </c>
      <c r="H237" s="18">
        <v>44937</v>
      </c>
      <c r="I237" t="s">
        <v>250</v>
      </c>
      <c r="J237" t="s">
        <v>23</v>
      </c>
      <c r="K237" s="46" t="s">
        <v>1032</v>
      </c>
      <c r="L237">
        <v>57</v>
      </c>
      <c r="M237" t="s">
        <v>21</v>
      </c>
      <c r="N237">
        <v>4</v>
      </c>
      <c r="O237">
        <v>25</v>
      </c>
      <c r="P237">
        <v>100</v>
      </c>
      <c r="Q237">
        <v>1.5</v>
      </c>
      <c r="R237">
        <v>2</v>
      </c>
    </row>
    <row r="238" spans="1:18" x14ac:dyDescent="0.35">
      <c r="A238">
        <v>226</v>
      </c>
      <c r="B238">
        <v>29</v>
      </c>
      <c r="C238">
        <v>10</v>
      </c>
      <c r="D238">
        <v>2023</v>
      </c>
      <c r="E238" t="s">
        <v>1063</v>
      </c>
      <c r="F238" t="s">
        <v>1064</v>
      </c>
      <c r="G238" t="s">
        <v>1061</v>
      </c>
      <c r="H238" s="18">
        <v>45228</v>
      </c>
      <c r="I238" t="s">
        <v>251</v>
      </c>
      <c r="J238" t="s">
        <v>23</v>
      </c>
      <c r="K238" s="46" t="s">
        <v>1032</v>
      </c>
      <c r="L238">
        <v>61</v>
      </c>
      <c r="M238" t="s">
        <v>21</v>
      </c>
      <c r="N238">
        <v>1</v>
      </c>
      <c r="O238">
        <v>50</v>
      </c>
      <c r="P238">
        <v>50</v>
      </c>
      <c r="Q238">
        <v>0.75</v>
      </c>
      <c r="R238">
        <v>1</v>
      </c>
    </row>
    <row r="239" spans="1:18" x14ac:dyDescent="0.35">
      <c r="A239">
        <v>227</v>
      </c>
      <c r="B239">
        <v>11</v>
      </c>
      <c r="C239">
        <v>10</v>
      </c>
      <c r="D239">
        <v>2023</v>
      </c>
      <c r="E239" t="s">
        <v>1065</v>
      </c>
      <c r="F239" t="s">
        <v>1064</v>
      </c>
      <c r="G239" t="s">
        <v>1061</v>
      </c>
      <c r="H239" s="18">
        <v>45210</v>
      </c>
      <c r="I239" t="s">
        <v>252</v>
      </c>
      <c r="J239" t="s">
        <v>20</v>
      </c>
      <c r="K239" s="46" t="s">
        <v>1030</v>
      </c>
      <c r="L239">
        <v>36</v>
      </c>
      <c r="M239" t="s">
        <v>21</v>
      </c>
      <c r="N239">
        <v>2</v>
      </c>
      <c r="O239">
        <v>50</v>
      </c>
      <c r="P239">
        <v>100</v>
      </c>
      <c r="Q239">
        <v>1.5</v>
      </c>
      <c r="R239">
        <v>2</v>
      </c>
    </row>
    <row r="240" spans="1:18" x14ac:dyDescent="0.35">
      <c r="A240">
        <v>228</v>
      </c>
      <c r="B240">
        <v>28</v>
      </c>
      <c r="C240">
        <v>4</v>
      </c>
      <c r="D240">
        <v>2023</v>
      </c>
      <c r="E240" t="s">
        <v>1070</v>
      </c>
      <c r="F240" t="s">
        <v>1077</v>
      </c>
      <c r="G240" t="s">
        <v>1061</v>
      </c>
      <c r="H240" s="18">
        <v>45044</v>
      </c>
      <c r="I240" t="s">
        <v>253</v>
      </c>
      <c r="J240" t="s">
        <v>23</v>
      </c>
      <c r="K240" s="46" t="s">
        <v>1032</v>
      </c>
      <c r="L240">
        <v>59</v>
      </c>
      <c r="M240" t="s">
        <v>21</v>
      </c>
      <c r="N240">
        <v>2</v>
      </c>
      <c r="O240">
        <v>30</v>
      </c>
      <c r="P240">
        <v>60</v>
      </c>
      <c r="Q240">
        <v>0.89999999999999991</v>
      </c>
      <c r="R240">
        <v>1.2</v>
      </c>
    </row>
    <row r="241" spans="1:18" x14ac:dyDescent="0.35">
      <c r="A241">
        <v>229</v>
      </c>
      <c r="B241">
        <v>29</v>
      </c>
      <c r="C241">
        <v>10</v>
      </c>
      <c r="D241">
        <v>2023</v>
      </c>
      <c r="E241" t="s">
        <v>1063</v>
      </c>
      <c r="F241" t="s">
        <v>1064</v>
      </c>
      <c r="G241" t="s">
        <v>1061</v>
      </c>
      <c r="H241" s="18">
        <v>45228</v>
      </c>
      <c r="I241" t="s">
        <v>254</v>
      </c>
      <c r="J241" t="s">
        <v>20</v>
      </c>
      <c r="K241" s="46" t="s">
        <v>1032</v>
      </c>
      <c r="L241">
        <v>58</v>
      </c>
      <c r="M241" t="s">
        <v>21</v>
      </c>
      <c r="N241">
        <v>3</v>
      </c>
      <c r="O241">
        <v>30</v>
      </c>
      <c r="P241">
        <v>90</v>
      </c>
      <c r="Q241">
        <v>1.3499999999999999</v>
      </c>
      <c r="R241">
        <v>1.8</v>
      </c>
    </row>
    <row r="242" spans="1:18" x14ac:dyDescent="0.35">
      <c r="A242">
        <v>230</v>
      </c>
      <c r="B242">
        <v>23</v>
      </c>
      <c r="C242">
        <v>4</v>
      </c>
      <c r="D242">
        <v>2023</v>
      </c>
      <c r="E242" t="s">
        <v>1063</v>
      </c>
      <c r="F242" t="s">
        <v>1077</v>
      </c>
      <c r="G242" t="s">
        <v>1061</v>
      </c>
      <c r="H242" s="18">
        <v>45039</v>
      </c>
      <c r="I242" t="s">
        <v>255</v>
      </c>
      <c r="J242" t="s">
        <v>20</v>
      </c>
      <c r="K242" s="46" t="s">
        <v>1032</v>
      </c>
      <c r="L242">
        <v>54</v>
      </c>
      <c r="M242" t="s">
        <v>21</v>
      </c>
      <c r="N242">
        <v>1</v>
      </c>
      <c r="O242">
        <v>25</v>
      </c>
      <c r="P242">
        <v>25</v>
      </c>
      <c r="Q242">
        <v>0.375</v>
      </c>
      <c r="R242">
        <v>0.5</v>
      </c>
    </row>
    <row r="243" spans="1:18" x14ac:dyDescent="0.35">
      <c r="A243">
        <v>231</v>
      </c>
      <c r="B243">
        <v>4</v>
      </c>
      <c r="C243">
        <v>1</v>
      </c>
      <c r="D243">
        <v>2023</v>
      </c>
      <c r="E243" t="s">
        <v>1065</v>
      </c>
      <c r="F243" t="s">
        <v>1060</v>
      </c>
      <c r="G243" t="s">
        <v>1061</v>
      </c>
      <c r="H243" s="18">
        <v>44930</v>
      </c>
      <c r="I243" t="s">
        <v>256</v>
      </c>
      <c r="J243" t="s">
        <v>23</v>
      </c>
      <c r="K243" s="46" t="s">
        <v>1034</v>
      </c>
      <c r="L243">
        <v>23</v>
      </c>
      <c r="M243" t="s">
        <v>21</v>
      </c>
      <c r="N243">
        <v>3</v>
      </c>
      <c r="O243">
        <v>50</v>
      </c>
      <c r="P243">
        <v>150</v>
      </c>
      <c r="Q243">
        <v>2.25</v>
      </c>
      <c r="R243">
        <v>3</v>
      </c>
    </row>
    <row r="244" spans="1:18" x14ac:dyDescent="0.35">
      <c r="A244">
        <v>232</v>
      </c>
      <c r="B244">
        <v>6</v>
      </c>
      <c r="C244">
        <v>2</v>
      </c>
      <c r="D244">
        <v>2023</v>
      </c>
      <c r="E244" t="s">
        <v>1067</v>
      </c>
      <c r="F244" t="s">
        <v>1073</v>
      </c>
      <c r="G244" t="s">
        <v>1061</v>
      </c>
      <c r="H244" s="18">
        <v>44963</v>
      </c>
      <c r="I244" t="s">
        <v>257</v>
      </c>
      <c r="J244" t="s">
        <v>23</v>
      </c>
      <c r="K244" s="46" t="s">
        <v>1030</v>
      </c>
      <c r="L244">
        <v>43</v>
      </c>
      <c r="M244" t="s">
        <v>21</v>
      </c>
      <c r="N244">
        <v>1</v>
      </c>
      <c r="O244">
        <v>25</v>
      </c>
      <c r="P244">
        <v>25</v>
      </c>
      <c r="Q244">
        <v>0.375</v>
      </c>
      <c r="R244">
        <v>0.5</v>
      </c>
    </row>
    <row r="245" spans="1:18" x14ac:dyDescent="0.35">
      <c r="A245">
        <v>233</v>
      </c>
      <c r="B245">
        <v>29</v>
      </c>
      <c r="C245">
        <v>12</v>
      </c>
      <c r="D245">
        <v>2023</v>
      </c>
      <c r="E245" t="s">
        <v>1070</v>
      </c>
      <c r="F245" t="s">
        <v>1062</v>
      </c>
      <c r="G245" t="s">
        <v>1061</v>
      </c>
      <c r="H245" s="18">
        <v>45289</v>
      </c>
      <c r="I245" t="s">
        <v>258</v>
      </c>
      <c r="J245" t="s">
        <v>23</v>
      </c>
      <c r="K245" s="46" t="s">
        <v>1032</v>
      </c>
      <c r="L245">
        <v>51</v>
      </c>
      <c r="M245" t="s">
        <v>21</v>
      </c>
      <c r="N245">
        <v>2</v>
      </c>
      <c r="O245">
        <v>300</v>
      </c>
      <c r="P245">
        <v>600</v>
      </c>
      <c r="Q245">
        <v>9</v>
      </c>
      <c r="R245">
        <v>12</v>
      </c>
    </row>
    <row r="246" spans="1:18" x14ac:dyDescent="0.35">
      <c r="A246">
        <v>234</v>
      </c>
      <c r="B246">
        <v>20</v>
      </c>
      <c r="C246">
        <v>11</v>
      </c>
      <c r="D246">
        <v>2023</v>
      </c>
      <c r="E246" t="s">
        <v>1067</v>
      </c>
      <c r="F246" t="s">
        <v>1068</v>
      </c>
      <c r="G246" t="s">
        <v>1061</v>
      </c>
      <c r="H246" s="18">
        <v>45250</v>
      </c>
      <c r="I246" t="s">
        <v>259</v>
      </c>
      <c r="J246" t="s">
        <v>23</v>
      </c>
      <c r="K246" s="46" t="s">
        <v>1032</v>
      </c>
      <c r="L246">
        <v>62</v>
      </c>
      <c r="M246" t="s">
        <v>21</v>
      </c>
      <c r="N246">
        <v>2</v>
      </c>
      <c r="O246">
        <v>25</v>
      </c>
      <c r="P246">
        <v>50</v>
      </c>
      <c r="Q246">
        <v>0.75</v>
      </c>
      <c r="R246">
        <v>1</v>
      </c>
    </row>
    <row r="247" spans="1:18" x14ac:dyDescent="0.35">
      <c r="A247">
        <v>235</v>
      </c>
      <c r="B247">
        <v>31</v>
      </c>
      <c r="C247">
        <v>1</v>
      </c>
      <c r="D247">
        <v>2023</v>
      </c>
      <c r="E247" t="s">
        <v>1059</v>
      </c>
      <c r="F247" t="s">
        <v>1060</v>
      </c>
      <c r="G247" t="s">
        <v>1061</v>
      </c>
      <c r="H247" s="18">
        <v>44957</v>
      </c>
      <c r="I247" t="s">
        <v>260</v>
      </c>
      <c r="J247" t="s">
        <v>23</v>
      </c>
      <c r="K247" s="46" t="s">
        <v>1034</v>
      </c>
      <c r="L247">
        <v>23</v>
      </c>
      <c r="M247" t="s">
        <v>21</v>
      </c>
      <c r="N247">
        <v>2</v>
      </c>
      <c r="O247">
        <v>500</v>
      </c>
      <c r="P247">
        <v>1000</v>
      </c>
      <c r="Q247">
        <v>15</v>
      </c>
      <c r="R247">
        <v>20</v>
      </c>
    </row>
    <row r="248" spans="1:18" x14ac:dyDescent="0.35">
      <c r="A248">
        <v>236</v>
      </c>
      <c r="B248">
        <v>28</v>
      </c>
      <c r="C248">
        <v>4</v>
      </c>
      <c r="D248">
        <v>2023</v>
      </c>
      <c r="E248" t="s">
        <v>1070</v>
      </c>
      <c r="F248" t="s">
        <v>1077</v>
      </c>
      <c r="G248" t="s">
        <v>1061</v>
      </c>
      <c r="H248" s="18">
        <v>45044</v>
      </c>
      <c r="I248" t="s">
        <v>261</v>
      </c>
      <c r="J248" t="s">
        <v>23</v>
      </c>
      <c r="K248" s="46" t="s">
        <v>1032</v>
      </c>
      <c r="L248">
        <v>54</v>
      </c>
      <c r="M248" t="s">
        <v>21</v>
      </c>
      <c r="N248">
        <v>1</v>
      </c>
      <c r="O248">
        <v>25</v>
      </c>
      <c r="P248">
        <v>25</v>
      </c>
      <c r="Q248">
        <v>0.375</v>
      </c>
      <c r="R248">
        <v>0.5</v>
      </c>
    </row>
    <row r="249" spans="1:18" x14ac:dyDescent="0.35">
      <c r="A249">
        <v>237</v>
      </c>
      <c r="B249">
        <v>4</v>
      </c>
      <c r="C249">
        <v>2</v>
      </c>
      <c r="D249">
        <v>2023</v>
      </c>
      <c r="E249" t="s">
        <v>1075</v>
      </c>
      <c r="F249" t="s">
        <v>1073</v>
      </c>
      <c r="G249" t="s">
        <v>1061</v>
      </c>
      <c r="H249" s="18">
        <v>44961</v>
      </c>
      <c r="I249" t="s">
        <v>262</v>
      </c>
      <c r="J249" t="s">
        <v>23</v>
      </c>
      <c r="K249" s="46" t="s">
        <v>1030</v>
      </c>
      <c r="L249">
        <v>50</v>
      </c>
      <c r="M249" t="s">
        <v>21</v>
      </c>
      <c r="N249">
        <v>2</v>
      </c>
      <c r="O249">
        <v>500</v>
      </c>
      <c r="P249">
        <v>1000</v>
      </c>
      <c r="Q249">
        <v>15</v>
      </c>
      <c r="R249">
        <v>20</v>
      </c>
    </row>
    <row r="250" spans="1:18" x14ac:dyDescent="0.35">
      <c r="A250">
        <v>238</v>
      </c>
      <c r="B250">
        <v>17</v>
      </c>
      <c r="C250">
        <v>1</v>
      </c>
      <c r="D250">
        <v>2023</v>
      </c>
      <c r="E250" t="s">
        <v>1059</v>
      </c>
      <c r="F250" t="s">
        <v>1060</v>
      </c>
      <c r="G250" t="s">
        <v>1061</v>
      </c>
      <c r="H250" s="18">
        <v>44943</v>
      </c>
      <c r="I250" t="s">
        <v>263</v>
      </c>
      <c r="J250" t="s">
        <v>23</v>
      </c>
      <c r="K250" s="46" t="s">
        <v>1030</v>
      </c>
      <c r="L250">
        <v>39</v>
      </c>
      <c r="M250" t="s">
        <v>21</v>
      </c>
      <c r="N250">
        <v>1</v>
      </c>
      <c r="O250">
        <v>500</v>
      </c>
      <c r="P250">
        <v>500</v>
      </c>
      <c r="Q250">
        <v>7.5</v>
      </c>
      <c r="R250">
        <v>10</v>
      </c>
    </row>
    <row r="251" spans="1:18" x14ac:dyDescent="0.35">
      <c r="A251">
        <v>239</v>
      </c>
      <c r="B251">
        <v>19</v>
      </c>
      <c r="C251">
        <v>6</v>
      </c>
      <c r="D251">
        <v>2023</v>
      </c>
      <c r="E251" t="s">
        <v>1067</v>
      </c>
      <c r="F251" t="s">
        <v>1069</v>
      </c>
      <c r="G251" t="s">
        <v>1061</v>
      </c>
      <c r="H251" s="18">
        <v>45096</v>
      </c>
      <c r="I251" t="s">
        <v>264</v>
      </c>
      <c r="J251" t="s">
        <v>20</v>
      </c>
      <c r="K251" s="46" t="s">
        <v>1030</v>
      </c>
      <c r="L251">
        <v>38</v>
      </c>
      <c r="M251" t="s">
        <v>21</v>
      </c>
      <c r="N251">
        <v>3</v>
      </c>
      <c r="O251">
        <v>500</v>
      </c>
      <c r="P251">
        <v>1500</v>
      </c>
      <c r="Q251">
        <v>22.5</v>
      </c>
      <c r="R251">
        <v>30</v>
      </c>
    </row>
    <row r="252" spans="1:18" x14ac:dyDescent="0.35">
      <c r="A252">
        <v>240</v>
      </c>
      <c r="B252">
        <v>6</v>
      </c>
      <c r="C252">
        <v>2</v>
      </c>
      <c r="D252">
        <v>2023</v>
      </c>
      <c r="E252" t="s">
        <v>1067</v>
      </c>
      <c r="F252" t="s">
        <v>1073</v>
      </c>
      <c r="G252" t="s">
        <v>1061</v>
      </c>
      <c r="H252" s="18">
        <v>44963</v>
      </c>
      <c r="I252" t="s">
        <v>265</v>
      </c>
      <c r="J252" t="s">
        <v>23</v>
      </c>
      <c r="K252" s="46" t="s">
        <v>1034</v>
      </c>
      <c r="L252">
        <v>23</v>
      </c>
      <c r="M252" t="s">
        <v>21</v>
      </c>
      <c r="N252">
        <v>1</v>
      </c>
      <c r="O252">
        <v>300</v>
      </c>
      <c r="P252">
        <v>300</v>
      </c>
      <c r="Q252">
        <v>4.5</v>
      </c>
      <c r="R252">
        <v>6</v>
      </c>
    </row>
    <row r="253" spans="1:18" x14ac:dyDescent="0.35">
      <c r="A253">
        <v>241</v>
      </c>
      <c r="B253">
        <v>21</v>
      </c>
      <c r="C253">
        <v>9</v>
      </c>
      <c r="D253">
        <v>2023</v>
      </c>
      <c r="E253" t="s">
        <v>1072</v>
      </c>
      <c r="F253" t="s">
        <v>1071</v>
      </c>
      <c r="G253" t="s">
        <v>1061</v>
      </c>
      <c r="H253" s="18">
        <v>45190</v>
      </c>
      <c r="I253" t="s">
        <v>266</v>
      </c>
      <c r="J253" t="s">
        <v>23</v>
      </c>
      <c r="K253" s="46" t="s">
        <v>1034</v>
      </c>
      <c r="L253">
        <v>23</v>
      </c>
      <c r="M253" t="s">
        <v>21</v>
      </c>
      <c r="N253">
        <v>3</v>
      </c>
      <c r="O253">
        <v>25</v>
      </c>
      <c r="P253">
        <v>75</v>
      </c>
      <c r="Q253">
        <v>1.125</v>
      </c>
      <c r="R253">
        <v>1.5</v>
      </c>
    </row>
    <row r="254" spans="1:18" x14ac:dyDescent="0.35">
      <c r="A254">
        <v>242</v>
      </c>
      <c r="B254">
        <v>2</v>
      </c>
      <c r="C254">
        <v>5</v>
      </c>
      <c r="D254">
        <v>2023</v>
      </c>
      <c r="E254" t="s">
        <v>1059</v>
      </c>
      <c r="F254" t="s">
        <v>1076</v>
      </c>
      <c r="G254" t="s">
        <v>1061</v>
      </c>
      <c r="H254" s="18">
        <v>45048</v>
      </c>
      <c r="I254" t="s">
        <v>267</v>
      </c>
      <c r="J254" t="s">
        <v>20</v>
      </c>
      <c r="K254" s="46" t="s">
        <v>1034</v>
      </c>
      <c r="L254">
        <v>21</v>
      </c>
      <c r="M254" t="s">
        <v>21</v>
      </c>
      <c r="N254">
        <v>1</v>
      </c>
      <c r="O254">
        <v>25</v>
      </c>
      <c r="P254">
        <v>25</v>
      </c>
      <c r="Q254">
        <v>0.375</v>
      </c>
      <c r="R254">
        <v>0.5</v>
      </c>
    </row>
    <row r="255" spans="1:18" x14ac:dyDescent="0.35">
      <c r="A255">
        <v>243</v>
      </c>
      <c r="B255">
        <v>23</v>
      </c>
      <c r="C255">
        <v>5</v>
      </c>
      <c r="D255">
        <v>2023</v>
      </c>
      <c r="E255" t="s">
        <v>1059</v>
      </c>
      <c r="F255" t="s">
        <v>1076</v>
      </c>
      <c r="G255" t="s">
        <v>1061</v>
      </c>
      <c r="H255" s="18">
        <v>45069</v>
      </c>
      <c r="I255" t="s">
        <v>268</v>
      </c>
      <c r="J255" t="s">
        <v>23</v>
      </c>
      <c r="K255" s="46" t="s">
        <v>1030</v>
      </c>
      <c r="L255">
        <v>47</v>
      </c>
      <c r="M255" t="s">
        <v>21</v>
      </c>
      <c r="N255">
        <v>3</v>
      </c>
      <c r="O255">
        <v>300</v>
      </c>
      <c r="P255">
        <v>900</v>
      </c>
      <c r="Q255">
        <v>13.5</v>
      </c>
      <c r="R255">
        <v>18</v>
      </c>
    </row>
    <row r="256" spans="1:18" x14ac:dyDescent="0.35">
      <c r="A256">
        <v>244</v>
      </c>
      <c r="B256">
        <v>9</v>
      </c>
      <c r="C256">
        <v>12</v>
      </c>
      <c r="D256">
        <v>2023</v>
      </c>
      <c r="E256" t="s">
        <v>1075</v>
      </c>
      <c r="F256" t="s">
        <v>1062</v>
      </c>
      <c r="G256" t="s">
        <v>1061</v>
      </c>
      <c r="H256" s="18">
        <v>45269</v>
      </c>
      <c r="I256" t="s">
        <v>269</v>
      </c>
      <c r="J256" t="s">
        <v>20</v>
      </c>
      <c r="K256" s="46" t="s">
        <v>1034</v>
      </c>
      <c r="L256">
        <v>28</v>
      </c>
      <c r="M256" t="s">
        <v>21</v>
      </c>
      <c r="N256">
        <v>2</v>
      </c>
      <c r="O256">
        <v>50</v>
      </c>
      <c r="P256">
        <v>100</v>
      </c>
      <c r="Q256">
        <v>1.5</v>
      </c>
      <c r="R256">
        <v>2</v>
      </c>
    </row>
    <row r="257" spans="1:18" x14ac:dyDescent="0.35">
      <c r="A257">
        <v>245</v>
      </c>
      <c r="B257">
        <v>6</v>
      </c>
      <c r="C257">
        <v>9</v>
      </c>
      <c r="D257">
        <v>2023</v>
      </c>
      <c r="E257" t="s">
        <v>1065</v>
      </c>
      <c r="F257" t="s">
        <v>1071</v>
      </c>
      <c r="G257" t="s">
        <v>1061</v>
      </c>
      <c r="H257" s="18">
        <v>45175</v>
      </c>
      <c r="I257" t="s">
        <v>270</v>
      </c>
      <c r="J257" t="s">
        <v>20</v>
      </c>
      <c r="K257" s="46" t="s">
        <v>1030</v>
      </c>
      <c r="L257">
        <v>47</v>
      </c>
      <c r="M257" t="s">
        <v>21</v>
      </c>
      <c r="N257">
        <v>3</v>
      </c>
      <c r="O257">
        <v>30</v>
      </c>
      <c r="P257">
        <v>90</v>
      </c>
      <c r="Q257">
        <v>1.3499999999999999</v>
      </c>
      <c r="R257">
        <v>1.8</v>
      </c>
    </row>
    <row r="258" spans="1:18" x14ac:dyDescent="0.35">
      <c r="A258">
        <v>246</v>
      </c>
      <c r="B258">
        <v>20</v>
      </c>
      <c r="C258">
        <v>4</v>
      </c>
      <c r="D258">
        <v>2023</v>
      </c>
      <c r="E258" t="s">
        <v>1072</v>
      </c>
      <c r="F258" t="s">
        <v>1077</v>
      </c>
      <c r="G258" t="s">
        <v>1061</v>
      </c>
      <c r="H258" s="18">
        <v>45036</v>
      </c>
      <c r="I258" t="s">
        <v>271</v>
      </c>
      <c r="J258" t="s">
        <v>23</v>
      </c>
      <c r="K258" s="46" t="s">
        <v>1030</v>
      </c>
      <c r="L258">
        <v>48</v>
      </c>
      <c r="M258" t="s">
        <v>21</v>
      </c>
      <c r="N258">
        <v>2</v>
      </c>
      <c r="O258">
        <v>25</v>
      </c>
      <c r="P258">
        <v>50</v>
      </c>
      <c r="Q258">
        <v>0.75</v>
      </c>
      <c r="R258">
        <v>1</v>
      </c>
    </row>
    <row r="259" spans="1:18" x14ac:dyDescent="0.35">
      <c r="A259">
        <v>247</v>
      </c>
      <c r="B259">
        <v>4</v>
      </c>
      <c r="C259">
        <v>10</v>
      </c>
      <c r="D259">
        <v>2023</v>
      </c>
      <c r="E259" t="s">
        <v>1065</v>
      </c>
      <c r="F259" t="s">
        <v>1064</v>
      </c>
      <c r="G259" t="s">
        <v>1061</v>
      </c>
      <c r="H259" s="18">
        <v>45203</v>
      </c>
      <c r="I259" t="s">
        <v>272</v>
      </c>
      <c r="J259" t="s">
        <v>20</v>
      </c>
      <c r="K259" s="46" t="s">
        <v>1030</v>
      </c>
      <c r="L259">
        <v>41</v>
      </c>
      <c r="M259" t="s">
        <v>21</v>
      </c>
      <c r="N259">
        <v>2</v>
      </c>
      <c r="O259">
        <v>30</v>
      </c>
      <c r="P259">
        <v>60</v>
      </c>
      <c r="Q259">
        <v>0.89999999999999991</v>
      </c>
      <c r="R259">
        <v>1.2</v>
      </c>
    </row>
    <row r="260" spans="1:18" x14ac:dyDescent="0.35">
      <c r="A260">
        <v>248</v>
      </c>
      <c r="B260">
        <v>9</v>
      </c>
      <c r="C260">
        <v>3</v>
      </c>
      <c r="D260">
        <v>2023</v>
      </c>
      <c r="E260" t="s">
        <v>1072</v>
      </c>
      <c r="F260" t="s">
        <v>1066</v>
      </c>
      <c r="G260" t="s">
        <v>1061</v>
      </c>
      <c r="H260" s="18">
        <v>44994</v>
      </c>
      <c r="I260" t="s">
        <v>273</v>
      </c>
      <c r="J260" t="s">
        <v>20</v>
      </c>
      <c r="K260" s="46" t="s">
        <v>1034</v>
      </c>
      <c r="L260">
        <v>26</v>
      </c>
      <c r="M260" t="s">
        <v>21</v>
      </c>
      <c r="N260">
        <v>3</v>
      </c>
      <c r="O260">
        <v>300</v>
      </c>
      <c r="P260">
        <v>900</v>
      </c>
      <c r="Q260">
        <v>13.5</v>
      </c>
      <c r="R260">
        <v>18</v>
      </c>
    </row>
    <row r="261" spans="1:18" x14ac:dyDescent="0.35">
      <c r="A261">
        <v>249</v>
      </c>
      <c r="B261">
        <v>20</v>
      </c>
      <c r="C261">
        <v>10</v>
      </c>
      <c r="D261">
        <v>2023</v>
      </c>
      <c r="E261" t="s">
        <v>1070</v>
      </c>
      <c r="F261" t="s">
        <v>1064</v>
      </c>
      <c r="G261" t="s">
        <v>1061</v>
      </c>
      <c r="H261" s="18">
        <v>45219</v>
      </c>
      <c r="I261" t="s">
        <v>274</v>
      </c>
      <c r="J261" t="s">
        <v>20</v>
      </c>
      <c r="K261" s="46" t="s">
        <v>1034</v>
      </c>
      <c r="L261">
        <v>20</v>
      </c>
      <c r="M261" t="s">
        <v>21</v>
      </c>
      <c r="N261">
        <v>1</v>
      </c>
      <c r="O261">
        <v>50</v>
      </c>
      <c r="P261">
        <v>50</v>
      </c>
      <c r="Q261">
        <v>0.75</v>
      </c>
      <c r="R261">
        <v>1</v>
      </c>
    </row>
    <row r="262" spans="1:18" x14ac:dyDescent="0.35">
      <c r="A262">
        <v>250</v>
      </c>
      <c r="B262">
        <v>23</v>
      </c>
      <c r="C262">
        <v>10</v>
      </c>
      <c r="D262">
        <v>2023</v>
      </c>
      <c r="E262" t="s">
        <v>1067</v>
      </c>
      <c r="F262" t="s">
        <v>1064</v>
      </c>
      <c r="G262" t="s">
        <v>1061</v>
      </c>
      <c r="H262" s="18">
        <v>45222</v>
      </c>
      <c r="I262" t="s">
        <v>275</v>
      </c>
      <c r="J262" t="s">
        <v>20</v>
      </c>
      <c r="K262" s="46" t="s">
        <v>1030</v>
      </c>
      <c r="L262">
        <v>48</v>
      </c>
      <c r="M262" t="s">
        <v>21</v>
      </c>
      <c r="N262">
        <v>1</v>
      </c>
      <c r="O262">
        <v>50</v>
      </c>
      <c r="P262">
        <v>50</v>
      </c>
      <c r="Q262">
        <v>0.75</v>
      </c>
      <c r="R262">
        <v>1</v>
      </c>
    </row>
    <row r="263" spans="1:18" x14ac:dyDescent="0.35">
      <c r="A263">
        <v>251</v>
      </c>
      <c r="B263">
        <v>31</v>
      </c>
      <c r="C263">
        <v>8</v>
      </c>
      <c r="D263">
        <v>2023</v>
      </c>
      <c r="E263" t="s">
        <v>1072</v>
      </c>
      <c r="F263" t="s">
        <v>1074</v>
      </c>
      <c r="G263" t="s">
        <v>1061</v>
      </c>
      <c r="H263" s="18">
        <v>45169</v>
      </c>
      <c r="I263" t="s">
        <v>276</v>
      </c>
      <c r="J263" t="s">
        <v>23</v>
      </c>
      <c r="K263" s="46" t="s">
        <v>1032</v>
      </c>
      <c r="L263">
        <v>57</v>
      </c>
      <c r="M263" t="s">
        <v>21</v>
      </c>
      <c r="N263">
        <v>4</v>
      </c>
      <c r="O263">
        <v>50</v>
      </c>
      <c r="P263">
        <v>200</v>
      </c>
      <c r="Q263">
        <v>3</v>
      </c>
      <c r="R263">
        <v>4</v>
      </c>
    </row>
    <row r="264" spans="1:18" x14ac:dyDescent="0.35">
      <c r="A264">
        <v>252</v>
      </c>
      <c r="B264">
        <v>5</v>
      </c>
      <c r="C264">
        <v>5</v>
      </c>
      <c r="D264">
        <v>2023</v>
      </c>
      <c r="E264" t="s">
        <v>1070</v>
      </c>
      <c r="F264" t="s">
        <v>1076</v>
      </c>
      <c r="G264" t="s">
        <v>1061</v>
      </c>
      <c r="H264" s="18">
        <v>45051</v>
      </c>
      <c r="I264" t="s">
        <v>277</v>
      </c>
      <c r="J264" t="s">
        <v>20</v>
      </c>
      <c r="K264" s="46" t="s">
        <v>1032</v>
      </c>
      <c r="L264">
        <v>54</v>
      </c>
      <c r="M264" t="s">
        <v>21</v>
      </c>
      <c r="N264">
        <v>1</v>
      </c>
      <c r="O264">
        <v>300</v>
      </c>
      <c r="P264">
        <v>300</v>
      </c>
      <c r="Q264">
        <v>4.5</v>
      </c>
      <c r="R264">
        <v>6</v>
      </c>
    </row>
    <row r="265" spans="1:18" x14ac:dyDescent="0.35">
      <c r="A265">
        <v>253</v>
      </c>
      <c r="B265">
        <v>31</v>
      </c>
      <c r="C265">
        <v>8</v>
      </c>
      <c r="D265">
        <v>2023</v>
      </c>
      <c r="E265" t="s">
        <v>1072</v>
      </c>
      <c r="F265" t="s">
        <v>1074</v>
      </c>
      <c r="G265" t="s">
        <v>1061</v>
      </c>
      <c r="H265" s="18">
        <v>45169</v>
      </c>
      <c r="I265" t="s">
        <v>278</v>
      </c>
      <c r="J265" t="s">
        <v>23</v>
      </c>
      <c r="K265" s="46" t="s">
        <v>1032</v>
      </c>
      <c r="L265">
        <v>53</v>
      </c>
      <c r="M265" t="s">
        <v>21</v>
      </c>
      <c r="N265">
        <v>4</v>
      </c>
      <c r="O265">
        <v>500</v>
      </c>
      <c r="P265">
        <v>2000</v>
      </c>
      <c r="Q265">
        <v>30</v>
      </c>
      <c r="R265">
        <v>40</v>
      </c>
    </row>
    <row r="266" spans="1:18" x14ac:dyDescent="0.35">
      <c r="A266">
        <v>254</v>
      </c>
      <c r="B266">
        <v>28</v>
      </c>
      <c r="C266">
        <v>7</v>
      </c>
      <c r="D266">
        <v>2023</v>
      </c>
      <c r="E266" t="s">
        <v>1070</v>
      </c>
      <c r="F266" t="s">
        <v>1078</v>
      </c>
      <c r="G266" t="s">
        <v>1061</v>
      </c>
      <c r="H266" s="18">
        <v>45135</v>
      </c>
      <c r="I266" t="s">
        <v>279</v>
      </c>
      <c r="J266" t="s">
        <v>20</v>
      </c>
      <c r="K266" s="46" t="s">
        <v>1030</v>
      </c>
      <c r="L266">
        <v>41</v>
      </c>
      <c r="M266" t="s">
        <v>21</v>
      </c>
      <c r="N266">
        <v>1</v>
      </c>
      <c r="O266">
        <v>500</v>
      </c>
      <c r="P266">
        <v>500</v>
      </c>
      <c r="Q266">
        <v>7.5</v>
      </c>
      <c r="R266">
        <v>10</v>
      </c>
    </row>
    <row r="267" spans="1:18" x14ac:dyDescent="0.35">
      <c r="A267">
        <v>255</v>
      </c>
      <c r="B267">
        <v>8</v>
      </c>
      <c r="C267">
        <v>4</v>
      </c>
      <c r="D267">
        <v>2023</v>
      </c>
      <c r="E267" t="s">
        <v>1075</v>
      </c>
      <c r="F267" t="s">
        <v>1077</v>
      </c>
      <c r="G267" t="s">
        <v>1061</v>
      </c>
      <c r="H267" s="18">
        <v>45024</v>
      </c>
      <c r="I267" t="s">
        <v>280</v>
      </c>
      <c r="J267" t="s">
        <v>20</v>
      </c>
      <c r="K267" s="46" t="s">
        <v>1030</v>
      </c>
      <c r="L267">
        <v>48</v>
      </c>
      <c r="M267" t="s">
        <v>21</v>
      </c>
      <c r="N267">
        <v>1</v>
      </c>
      <c r="O267">
        <v>30</v>
      </c>
      <c r="P267">
        <v>30</v>
      </c>
      <c r="Q267">
        <v>0.44999999999999996</v>
      </c>
      <c r="R267">
        <v>0.6</v>
      </c>
    </row>
    <row r="268" spans="1:18" x14ac:dyDescent="0.35">
      <c r="A268">
        <v>256</v>
      </c>
      <c r="B268">
        <v>18</v>
      </c>
      <c r="C268">
        <v>2</v>
      </c>
      <c r="D268">
        <v>2023</v>
      </c>
      <c r="E268" t="s">
        <v>1075</v>
      </c>
      <c r="F268" t="s">
        <v>1073</v>
      </c>
      <c r="G268" t="s">
        <v>1061</v>
      </c>
      <c r="H268" s="18">
        <v>44975</v>
      </c>
      <c r="I268" t="s">
        <v>281</v>
      </c>
      <c r="J268" t="s">
        <v>20</v>
      </c>
      <c r="K268" s="46" t="s">
        <v>1034</v>
      </c>
      <c r="L268">
        <v>23</v>
      </c>
      <c r="M268" t="s">
        <v>21</v>
      </c>
      <c r="N268">
        <v>2</v>
      </c>
      <c r="O268">
        <v>500</v>
      </c>
      <c r="P268">
        <v>1000</v>
      </c>
      <c r="Q268">
        <v>15</v>
      </c>
      <c r="R268">
        <v>20</v>
      </c>
    </row>
    <row r="269" spans="1:18" x14ac:dyDescent="0.35">
      <c r="A269">
        <v>257</v>
      </c>
      <c r="B269">
        <v>19</v>
      </c>
      <c r="C269">
        <v>2</v>
      </c>
      <c r="D269">
        <v>2023</v>
      </c>
      <c r="E269" t="s">
        <v>1063</v>
      </c>
      <c r="F269" t="s">
        <v>1073</v>
      </c>
      <c r="G269" t="s">
        <v>1061</v>
      </c>
      <c r="H269" s="18">
        <v>44976</v>
      </c>
      <c r="I269" t="s">
        <v>282</v>
      </c>
      <c r="J269" t="s">
        <v>20</v>
      </c>
      <c r="K269" s="46" t="s">
        <v>1034</v>
      </c>
      <c r="L269">
        <v>19</v>
      </c>
      <c r="M269" t="s">
        <v>21</v>
      </c>
      <c r="N269">
        <v>4</v>
      </c>
      <c r="O269">
        <v>500</v>
      </c>
      <c r="P269">
        <v>2000</v>
      </c>
      <c r="Q269">
        <v>30</v>
      </c>
      <c r="R269">
        <v>40</v>
      </c>
    </row>
    <row r="270" spans="1:18" x14ac:dyDescent="0.35">
      <c r="A270">
        <v>258</v>
      </c>
      <c r="B270">
        <v>4</v>
      </c>
      <c r="C270">
        <v>12</v>
      </c>
      <c r="D270">
        <v>2023</v>
      </c>
      <c r="E270" t="s">
        <v>1067</v>
      </c>
      <c r="F270" t="s">
        <v>1062</v>
      </c>
      <c r="G270" t="s">
        <v>1061</v>
      </c>
      <c r="H270" s="18">
        <v>45264</v>
      </c>
      <c r="I270" t="s">
        <v>283</v>
      </c>
      <c r="J270" t="s">
        <v>23</v>
      </c>
      <c r="K270" s="46" t="s">
        <v>1030</v>
      </c>
      <c r="L270">
        <v>37</v>
      </c>
      <c r="M270" t="s">
        <v>21</v>
      </c>
      <c r="N270">
        <v>1</v>
      </c>
      <c r="O270">
        <v>50</v>
      </c>
      <c r="P270">
        <v>50</v>
      </c>
      <c r="Q270">
        <v>0.75</v>
      </c>
      <c r="R270">
        <v>1</v>
      </c>
    </row>
    <row r="271" spans="1:18" x14ac:dyDescent="0.35">
      <c r="A271">
        <v>259</v>
      </c>
      <c r="B271">
        <v>9</v>
      </c>
      <c r="C271">
        <v>8</v>
      </c>
      <c r="D271">
        <v>2023</v>
      </c>
      <c r="E271" t="s">
        <v>1065</v>
      </c>
      <c r="F271" t="s">
        <v>1074</v>
      </c>
      <c r="G271" t="s">
        <v>1061</v>
      </c>
      <c r="H271" s="18">
        <v>45147</v>
      </c>
      <c r="I271" t="s">
        <v>284</v>
      </c>
      <c r="J271" t="s">
        <v>23</v>
      </c>
      <c r="K271" s="46" t="s">
        <v>1030</v>
      </c>
      <c r="L271">
        <v>45</v>
      </c>
      <c r="M271" t="s">
        <v>21</v>
      </c>
      <c r="N271">
        <v>4</v>
      </c>
      <c r="O271">
        <v>50</v>
      </c>
      <c r="P271">
        <v>200</v>
      </c>
      <c r="Q271">
        <v>3</v>
      </c>
      <c r="R271">
        <v>4</v>
      </c>
    </row>
    <row r="272" spans="1:18" x14ac:dyDescent="0.35">
      <c r="A272">
        <v>260</v>
      </c>
      <c r="B272">
        <v>1</v>
      </c>
      <c r="C272">
        <v>7</v>
      </c>
      <c r="D272">
        <v>2023</v>
      </c>
      <c r="E272" t="s">
        <v>1075</v>
      </c>
      <c r="F272" t="s">
        <v>1078</v>
      </c>
      <c r="G272" t="s">
        <v>1061</v>
      </c>
      <c r="H272" s="18">
        <v>45108</v>
      </c>
      <c r="I272" t="s">
        <v>285</v>
      </c>
      <c r="J272" t="s">
        <v>20</v>
      </c>
      <c r="K272" s="46" t="s">
        <v>1034</v>
      </c>
      <c r="L272">
        <v>28</v>
      </c>
      <c r="M272" t="s">
        <v>21</v>
      </c>
      <c r="N272">
        <v>2</v>
      </c>
      <c r="O272">
        <v>30</v>
      </c>
      <c r="P272">
        <v>60</v>
      </c>
      <c r="Q272">
        <v>0.89999999999999991</v>
      </c>
      <c r="R272">
        <v>1.2</v>
      </c>
    </row>
    <row r="273" spans="1:18" x14ac:dyDescent="0.35">
      <c r="A273">
        <v>261</v>
      </c>
      <c r="B273">
        <v>5</v>
      </c>
      <c r="C273">
        <v>8</v>
      </c>
      <c r="D273">
        <v>2023</v>
      </c>
      <c r="E273" t="s">
        <v>1075</v>
      </c>
      <c r="F273" t="s">
        <v>1074</v>
      </c>
      <c r="G273" t="s">
        <v>1061</v>
      </c>
      <c r="H273" s="18">
        <v>45143</v>
      </c>
      <c r="I273" t="s">
        <v>286</v>
      </c>
      <c r="J273" t="s">
        <v>20</v>
      </c>
      <c r="K273" s="46" t="s">
        <v>1034</v>
      </c>
      <c r="L273">
        <v>21</v>
      </c>
      <c r="M273" t="s">
        <v>21</v>
      </c>
      <c r="N273">
        <v>2</v>
      </c>
      <c r="O273">
        <v>25</v>
      </c>
      <c r="P273">
        <v>50</v>
      </c>
      <c r="Q273">
        <v>0.75</v>
      </c>
      <c r="R273">
        <v>1</v>
      </c>
    </row>
    <row r="274" spans="1:18" x14ac:dyDescent="0.35">
      <c r="A274">
        <v>262</v>
      </c>
      <c r="B274">
        <v>30</v>
      </c>
      <c r="C274">
        <v>7</v>
      </c>
      <c r="D274">
        <v>2023</v>
      </c>
      <c r="E274" t="s">
        <v>1063</v>
      </c>
      <c r="F274" t="s">
        <v>1078</v>
      </c>
      <c r="G274" t="s">
        <v>1061</v>
      </c>
      <c r="H274" s="18">
        <v>45137</v>
      </c>
      <c r="I274" t="s">
        <v>287</v>
      </c>
      <c r="J274" t="s">
        <v>23</v>
      </c>
      <c r="K274" s="46" t="s">
        <v>1030</v>
      </c>
      <c r="L274">
        <v>32</v>
      </c>
      <c r="M274" t="s">
        <v>21</v>
      </c>
      <c r="N274">
        <v>4</v>
      </c>
      <c r="O274">
        <v>30</v>
      </c>
      <c r="P274">
        <v>120</v>
      </c>
      <c r="Q274">
        <v>1.7999999999999998</v>
      </c>
      <c r="R274">
        <v>2.4</v>
      </c>
    </row>
    <row r="275" spans="1:18" x14ac:dyDescent="0.35">
      <c r="A275">
        <v>263</v>
      </c>
      <c r="B275">
        <v>28</v>
      </c>
      <c r="C275">
        <v>8</v>
      </c>
      <c r="D275">
        <v>2023</v>
      </c>
      <c r="E275" t="s">
        <v>1067</v>
      </c>
      <c r="F275" t="s">
        <v>1074</v>
      </c>
      <c r="G275" t="s">
        <v>1061</v>
      </c>
      <c r="H275" s="18">
        <v>45166</v>
      </c>
      <c r="I275" t="s">
        <v>288</v>
      </c>
      <c r="J275" t="s">
        <v>20</v>
      </c>
      <c r="K275" s="46" t="s">
        <v>1034</v>
      </c>
      <c r="L275">
        <v>23</v>
      </c>
      <c r="M275" t="s">
        <v>21</v>
      </c>
      <c r="N275">
        <v>2</v>
      </c>
      <c r="O275">
        <v>30</v>
      </c>
      <c r="P275">
        <v>60</v>
      </c>
      <c r="Q275">
        <v>0.89999999999999991</v>
      </c>
      <c r="R275">
        <v>1.2</v>
      </c>
    </row>
    <row r="276" spans="1:18" x14ac:dyDescent="0.35">
      <c r="A276">
        <v>264</v>
      </c>
      <c r="B276">
        <v>28</v>
      </c>
      <c r="C276">
        <v>1</v>
      </c>
      <c r="D276">
        <v>2023</v>
      </c>
      <c r="E276" t="s">
        <v>1075</v>
      </c>
      <c r="F276" t="s">
        <v>1060</v>
      </c>
      <c r="G276" t="s">
        <v>1061</v>
      </c>
      <c r="H276" s="18">
        <v>44954</v>
      </c>
      <c r="I276" t="s">
        <v>289</v>
      </c>
      <c r="J276" t="s">
        <v>20</v>
      </c>
      <c r="K276" s="46" t="s">
        <v>1030</v>
      </c>
      <c r="L276">
        <v>47</v>
      </c>
      <c r="M276" t="s">
        <v>21</v>
      </c>
      <c r="N276">
        <v>3</v>
      </c>
      <c r="O276">
        <v>300</v>
      </c>
      <c r="P276">
        <v>900</v>
      </c>
      <c r="Q276">
        <v>13.5</v>
      </c>
      <c r="R276">
        <v>18</v>
      </c>
    </row>
    <row r="277" spans="1:18" x14ac:dyDescent="0.35">
      <c r="A277">
        <v>265</v>
      </c>
      <c r="B277">
        <v>11</v>
      </c>
      <c r="C277">
        <v>12</v>
      </c>
      <c r="D277">
        <v>2023</v>
      </c>
      <c r="E277" t="s">
        <v>1067</v>
      </c>
      <c r="F277" t="s">
        <v>1062</v>
      </c>
      <c r="G277" t="s">
        <v>1061</v>
      </c>
      <c r="H277" s="18">
        <v>45271</v>
      </c>
      <c r="I277" t="s">
        <v>290</v>
      </c>
      <c r="J277" t="s">
        <v>20</v>
      </c>
      <c r="K277" s="46" t="s">
        <v>1032</v>
      </c>
      <c r="L277">
        <v>55</v>
      </c>
      <c r="M277" t="s">
        <v>21</v>
      </c>
      <c r="N277">
        <v>3</v>
      </c>
      <c r="O277">
        <v>300</v>
      </c>
      <c r="P277">
        <v>900</v>
      </c>
      <c r="Q277">
        <v>13.5</v>
      </c>
      <c r="R277">
        <v>18</v>
      </c>
    </row>
    <row r="278" spans="1:18" x14ac:dyDescent="0.35">
      <c r="A278">
        <v>266</v>
      </c>
      <c r="B278">
        <v>1</v>
      </c>
      <c r="C278">
        <v>12</v>
      </c>
      <c r="D278">
        <v>2023</v>
      </c>
      <c r="E278" t="s">
        <v>1070</v>
      </c>
      <c r="F278" t="s">
        <v>1062</v>
      </c>
      <c r="G278" t="s">
        <v>1061</v>
      </c>
      <c r="H278" s="18">
        <v>45261</v>
      </c>
      <c r="I278" t="s">
        <v>291</v>
      </c>
      <c r="J278" t="s">
        <v>23</v>
      </c>
      <c r="K278" s="46" t="s">
        <v>1034</v>
      </c>
      <c r="L278">
        <v>19</v>
      </c>
      <c r="M278" t="s">
        <v>21</v>
      </c>
      <c r="N278">
        <v>2</v>
      </c>
      <c r="O278">
        <v>30</v>
      </c>
      <c r="P278">
        <v>60</v>
      </c>
      <c r="Q278">
        <v>0.89999999999999991</v>
      </c>
      <c r="R278">
        <v>1.2</v>
      </c>
    </row>
    <row r="279" spans="1:18" x14ac:dyDescent="0.35">
      <c r="A279">
        <v>267</v>
      </c>
      <c r="B279">
        <v>27</v>
      </c>
      <c r="C279">
        <v>11</v>
      </c>
      <c r="D279">
        <v>2023</v>
      </c>
      <c r="E279" t="s">
        <v>1067</v>
      </c>
      <c r="F279" t="s">
        <v>1068</v>
      </c>
      <c r="G279" t="s">
        <v>1061</v>
      </c>
      <c r="H279" s="18">
        <v>45257</v>
      </c>
      <c r="I279" t="s">
        <v>292</v>
      </c>
      <c r="J279" t="s">
        <v>23</v>
      </c>
      <c r="K279" s="46" t="s">
        <v>1030</v>
      </c>
      <c r="L279">
        <v>32</v>
      </c>
      <c r="M279" t="s">
        <v>21</v>
      </c>
      <c r="N279">
        <v>3</v>
      </c>
      <c r="O279">
        <v>30</v>
      </c>
      <c r="P279">
        <v>90</v>
      </c>
      <c r="Q279">
        <v>1.3499999999999999</v>
      </c>
      <c r="R279">
        <v>1.8</v>
      </c>
    </row>
    <row r="280" spans="1:18" x14ac:dyDescent="0.35">
      <c r="A280">
        <v>268</v>
      </c>
      <c r="B280">
        <v>20</v>
      </c>
      <c r="C280">
        <v>2</v>
      </c>
      <c r="D280">
        <v>2023</v>
      </c>
      <c r="E280" t="s">
        <v>1067</v>
      </c>
      <c r="F280" t="s">
        <v>1073</v>
      </c>
      <c r="G280" t="s">
        <v>1061</v>
      </c>
      <c r="H280" s="18">
        <v>44977</v>
      </c>
      <c r="I280" t="s">
        <v>293</v>
      </c>
      <c r="J280" t="s">
        <v>23</v>
      </c>
      <c r="K280" s="46" t="s">
        <v>1034</v>
      </c>
      <c r="L280">
        <v>28</v>
      </c>
      <c r="M280" t="s">
        <v>21</v>
      </c>
      <c r="N280">
        <v>1</v>
      </c>
      <c r="O280">
        <v>30</v>
      </c>
      <c r="P280">
        <v>30</v>
      </c>
      <c r="Q280">
        <v>0.44999999999999996</v>
      </c>
      <c r="R280">
        <v>0.6</v>
      </c>
    </row>
    <row r="281" spans="1:18" x14ac:dyDescent="0.35">
      <c r="A281">
        <v>269</v>
      </c>
      <c r="B281">
        <v>1</v>
      </c>
      <c r="C281">
        <v>2</v>
      </c>
      <c r="D281">
        <v>2023</v>
      </c>
      <c r="E281" t="s">
        <v>1065</v>
      </c>
      <c r="F281" t="s">
        <v>1073</v>
      </c>
      <c r="G281" t="s">
        <v>1061</v>
      </c>
      <c r="H281" s="18">
        <v>44958</v>
      </c>
      <c r="I281" t="s">
        <v>294</v>
      </c>
      <c r="J281" t="s">
        <v>20</v>
      </c>
      <c r="K281" s="46" t="s">
        <v>1034</v>
      </c>
      <c r="L281">
        <v>25</v>
      </c>
      <c r="M281" t="s">
        <v>21</v>
      </c>
      <c r="N281">
        <v>4</v>
      </c>
      <c r="O281">
        <v>500</v>
      </c>
      <c r="P281">
        <v>2000</v>
      </c>
      <c r="Q281">
        <v>30</v>
      </c>
      <c r="R281">
        <v>40</v>
      </c>
    </row>
    <row r="282" spans="1:18" x14ac:dyDescent="0.35">
      <c r="A282">
        <v>270</v>
      </c>
      <c r="B282">
        <v>26</v>
      </c>
      <c r="C282">
        <v>7</v>
      </c>
      <c r="D282">
        <v>2023</v>
      </c>
      <c r="E282" t="s">
        <v>1065</v>
      </c>
      <c r="F282" t="s">
        <v>1078</v>
      </c>
      <c r="G282" t="s">
        <v>1061</v>
      </c>
      <c r="H282" s="18">
        <v>45133</v>
      </c>
      <c r="I282" t="s">
        <v>295</v>
      </c>
      <c r="J282" t="s">
        <v>20</v>
      </c>
      <c r="K282" s="46" t="s">
        <v>1030</v>
      </c>
      <c r="L282">
        <v>43</v>
      </c>
      <c r="M282" t="s">
        <v>21</v>
      </c>
      <c r="N282">
        <v>1</v>
      </c>
      <c r="O282">
        <v>300</v>
      </c>
      <c r="P282">
        <v>300</v>
      </c>
      <c r="Q282">
        <v>4.5</v>
      </c>
      <c r="R282">
        <v>6</v>
      </c>
    </row>
    <row r="283" spans="1:18" x14ac:dyDescent="0.35">
      <c r="A283">
        <v>271</v>
      </c>
      <c r="B283">
        <v>23</v>
      </c>
      <c r="C283">
        <v>6</v>
      </c>
      <c r="D283">
        <v>2023</v>
      </c>
      <c r="E283" t="s">
        <v>1070</v>
      </c>
      <c r="F283" t="s">
        <v>1069</v>
      </c>
      <c r="G283" t="s">
        <v>1061</v>
      </c>
      <c r="H283" s="18">
        <v>45100</v>
      </c>
      <c r="I283" t="s">
        <v>296</v>
      </c>
      <c r="J283" t="s">
        <v>23</v>
      </c>
      <c r="K283" s="46" t="s">
        <v>1032</v>
      </c>
      <c r="L283">
        <v>62</v>
      </c>
      <c r="M283" t="s">
        <v>21</v>
      </c>
      <c r="N283">
        <v>4</v>
      </c>
      <c r="O283">
        <v>30</v>
      </c>
      <c r="P283">
        <v>120</v>
      </c>
      <c r="Q283">
        <v>1.7999999999999998</v>
      </c>
      <c r="R283">
        <v>2.4</v>
      </c>
    </row>
    <row r="284" spans="1:18" x14ac:dyDescent="0.35">
      <c r="A284">
        <v>272</v>
      </c>
      <c r="B284">
        <v>25</v>
      </c>
      <c r="C284">
        <v>2</v>
      </c>
      <c r="D284">
        <v>2023</v>
      </c>
      <c r="E284" t="s">
        <v>1075</v>
      </c>
      <c r="F284" t="s">
        <v>1073</v>
      </c>
      <c r="G284" t="s">
        <v>1061</v>
      </c>
      <c r="H284" s="18">
        <v>44982</v>
      </c>
      <c r="I284" t="s">
        <v>297</v>
      </c>
      <c r="J284" t="s">
        <v>23</v>
      </c>
      <c r="K284" s="46" t="s">
        <v>1032</v>
      </c>
      <c r="L284">
        <v>61</v>
      </c>
      <c r="M284" t="s">
        <v>21</v>
      </c>
      <c r="N284">
        <v>2</v>
      </c>
      <c r="O284">
        <v>50</v>
      </c>
      <c r="P284">
        <v>100</v>
      </c>
      <c r="Q284">
        <v>1.5</v>
      </c>
      <c r="R284">
        <v>2</v>
      </c>
    </row>
    <row r="285" spans="1:18" x14ac:dyDescent="0.35">
      <c r="A285">
        <v>273</v>
      </c>
      <c r="B285">
        <v>8</v>
      </c>
      <c r="C285">
        <v>5</v>
      </c>
      <c r="D285">
        <v>2023</v>
      </c>
      <c r="E285" t="s">
        <v>1067</v>
      </c>
      <c r="F285" t="s">
        <v>1076</v>
      </c>
      <c r="G285" t="s">
        <v>1061</v>
      </c>
      <c r="H285" s="18">
        <v>45054</v>
      </c>
      <c r="I285" t="s">
        <v>298</v>
      </c>
      <c r="J285" t="s">
        <v>23</v>
      </c>
      <c r="K285" s="46" t="s">
        <v>1034</v>
      </c>
      <c r="L285">
        <v>22</v>
      </c>
      <c r="M285" t="s">
        <v>21</v>
      </c>
      <c r="N285">
        <v>1</v>
      </c>
      <c r="O285">
        <v>50</v>
      </c>
      <c r="P285">
        <v>50</v>
      </c>
      <c r="Q285">
        <v>0.75</v>
      </c>
      <c r="R285">
        <v>1</v>
      </c>
    </row>
    <row r="286" spans="1:18" x14ac:dyDescent="0.35">
      <c r="A286">
        <v>274</v>
      </c>
      <c r="B286">
        <v>9</v>
      </c>
      <c r="C286">
        <v>4</v>
      </c>
      <c r="D286">
        <v>2023</v>
      </c>
      <c r="E286" t="s">
        <v>1063</v>
      </c>
      <c r="F286" t="s">
        <v>1077</v>
      </c>
      <c r="G286" t="s">
        <v>1061</v>
      </c>
      <c r="H286" s="18">
        <v>45025</v>
      </c>
      <c r="I286" t="s">
        <v>299</v>
      </c>
      <c r="J286" t="s">
        <v>23</v>
      </c>
      <c r="K286" s="46" t="s">
        <v>1034</v>
      </c>
      <c r="L286">
        <v>23</v>
      </c>
      <c r="M286" t="s">
        <v>21</v>
      </c>
      <c r="N286">
        <v>2</v>
      </c>
      <c r="O286">
        <v>500</v>
      </c>
      <c r="P286">
        <v>1000</v>
      </c>
      <c r="Q286">
        <v>15</v>
      </c>
      <c r="R286">
        <v>20</v>
      </c>
    </row>
    <row r="287" spans="1:18" x14ac:dyDescent="0.35">
      <c r="A287">
        <v>275</v>
      </c>
      <c r="B287">
        <v>8</v>
      </c>
      <c r="C287">
        <v>4</v>
      </c>
      <c r="D287">
        <v>2023</v>
      </c>
      <c r="E287" t="s">
        <v>1075</v>
      </c>
      <c r="F287" t="s">
        <v>1077</v>
      </c>
      <c r="G287" t="s">
        <v>1061</v>
      </c>
      <c r="H287" s="18">
        <v>45024</v>
      </c>
      <c r="I287" t="s">
        <v>300</v>
      </c>
      <c r="J287" t="s">
        <v>20</v>
      </c>
      <c r="K287" s="46" t="s">
        <v>1030</v>
      </c>
      <c r="L287">
        <v>43</v>
      </c>
      <c r="M287" t="s">
        <v>21</v>
      </c>
      <c r="N287">
        <v>2</v>
      </c>
      <c r="O287">
        <v>500</v>
      </c>
      <c r="P287">
        <v>1000</v>
      </c>
      <c r="Q287">
        <v>15</v>
      </c>
      <c r="R287">
        <v>20</v>
      </c>
    </row>
    <row r="288" spans="1:18" x14ac:dyDescent="0.35">
      <c r="A288">
        <v>276</v>
      </c>
      <c r="B288">
        <v>2</v>
      </c>
      <c r="C288">
        <v>10</v>
      </c>
      <c r="D288">
        <v>2023</v>
      </c>
      <c r="E288" t="s">
        <v>1067</v>
      </c>
      <c r="F288" t="s">
        <v>1064</v>
      </c>
      <c r="G288" t="s">
        <v>1061</v>
      </c>
      <c r="H288" s="18">
        <v>45201</v>
      </c>
      <c r="I288" t="s">
        <v>301</v>
      </c>
      <c r="J288" t="s">
        <v>23</v>
      </c>
      <c r="K288" s="46" t="s">
        <v>1034</v>
      </c>
      <c r="L288">
        <v>21</v>
      </c>
      <c r="M288" t="s">
        <v>21</v>
      </c>
      <c r="N288">
        <v>4</v>
      </c>
      <c r="O288">
        <v>25</v>
      </c>
      <c r="P288">
        <v>100</v>
      </c>
      <c r="Q288">
        <v>1.5</v>
      </c>
      <c r="R288">
        <v>2</v>
      </c>
    </row>
    <row r="289" spans="1:18" x14ac:dyDescent="0.35">
      <c r="A289">
        <v>277</v>
      </c>
      <c r="B289">
        <v>18</v>
      </c>
      <c r="C289">
        <v>8</v>
      </c>
      <c r="D289">
        <v>2023</v>
      </c>
      <c r="E289" t="s">
        <v>1070</v>
      </c>
      <c r="F289" t="s">
        <v>1074</v>
      </c>
      <c r="G289" t="s">
        <v>1061</v>
      </c>
      <c r="H289" s="18">
        <v>45156</v>
      </c>
      <c r="I289" t="s">
        <v>302</v>
      </c>
      <c r="J289" t="s">
        <v>20</v>
      </c>
      <c r="K289" s="46" t="s">
        <v>1030</v>
      </c>
      <c r="L289">
        <v>36</v>
      </c>
      <c r="M289" t="s">
        <v>21</v>
      </c>
      <c r="N289">
        <v>4</v>
      </c>
      <c r="O289">
        <v>25</v>
      </c>
      <c r="P289">
        <v>100</v>
      </c>
      <c r="Q289">
        <v>1.5</v>
      </c>
      <c r="R289">
        <v>2</v>
      </c>
    </row>
    <row r="290" spans="1:18" x14ac:dyDescent="0.35">
      <c r="A290">
        <v>278</v>
      </c>
      <c r="B290">
        <v>13</v>
      </c>
      <c r="C290">
        <v>3</v>
      </c>
      <c r="D290">
        <v>2023</v>
      </c>
      <c r="E290" t="s">
        <v>1067</v>
      </c>
      <c r="F290" t="s">
        <v>1066</v>
      </c>
      <c r="G290" t="s">
        <v>1061</v>
      </c>
      <c r="H290" s="18">
        <v>44998</v>
      </c>
      <c r="I290" t="s">
        <v>303</v>
      </c>
      <c r="J290" t="s">
        <v>23</v>
      </c>
      <c r="K290" s="46" t="s">
        <v>1030</v>
      </c>
      <c r="L290">
        <v>37</v>
      </c>
      <c r="M290" t="s">
        <v>21</v>
      </c>
      <c r="N290">
        <v>4</v>
      </c>
      <c r="O290">
        <v>25</v>
      </c>
      <c r="P290">
        <v>100</v>
      </c>
      <c r="Q290">
        <v>1.5</v>
      </c>
      <c r="R290">
        <v>2</v>
      </c>
    </row>
    <row r="291" spans="1:18" x14ac:dyDescent="0.35">
      <c r="A291">
        <v>279</v>
      </c>
      <c r="B291">
        <v>5</v>
      </c>
      <c r="C291">
        <v>8</v>
      </c>
      <c r="D291">
        <v>2023</v>
      </c>
      <c r="E291" t="s">
        <v>1075</v>
      </c>
      <c r="F291" t="s">
        <v>1074</v>
      </c>
      <c r="G291" t="s">
        <v>1061</v>
      </c>
      <c r="H291" s="18">
        <v>45143</v>
      </c>
      <c r="I291" t="s">
        <v>304</v>
      </c>
      <c r="J291" t="s">
        <v>20</v>
      </c>
      <c r="K291" s="46" t="s">
        <v>1030</v>
      </c>
      <c r="L291">
        <v>50</v>
      </c>
      <c r="M291" t="s">
        <v>21</v>
      </c>
      <c r="N291">
        <v>1</v>
      </c>
      <c r="O291">
        <v>500</v>
      </c>
      <c r="P291">
        <v>500</v>
      </c>
      <c r="Q291">
        <v>7.5</v>
      </c>
      <c r="R291">
        <v>10</v>
      </c>
    </row>
    <row r="292" spans="1:18" x14ac:dyDescent="0.35">
      <c r="A292">
        <v>280</v>
      </c>
      <c r="B292">
        <v>4</v>
      </c>
      <c r="C292">
        <v>4</v>
      </c>
      <c r="D292">
        <v>2023</v>
      </c>
      <c r="E292" t="s">
        <v>1059</v>
      </c>
      <c r="F292" t="s">
        <v>1077</v>
      </c>
      <c r="G292" t="s">
        <v>1061</v>
      </c>
      <c r="H292" s="18">
        <v>45020</v>
      </c>
      <c r="I292" t="s">
        <v>305</v>
      </c>
      <c r="J292" t="s">
        <v>23</v>
      </c>
      <c r="K292" s="46" t="s">
        <v>1030</v>
      </c>
      <c r="L292">
        <v>37</v>
      </c>
      <c r="M292" t="s">
        <v>21</v>
      </c>
      <c r="N292">
        <v>3</v>
      </c>
      <c r="O292">
        <v>500</v>
      </c>
      <c r="P292">
        <v>1500</v>
      </c>
      <c r="Q292">
        <v>22.5</v>
      </c>
      <c r="R292">
        <v>30</v>
      </c>
    </row>
    <row r="293" spans="1:18" x14ac:dyDescent="0.35">
      <c r="A293">
        <v>281</v>
      </c>
      <c r="B293">
        <v>23</v>
      </c>
      <c r="C293">
        <v>5</v>
      </c>
      <c r="D293">
        <v>2023</v>
      </c>
      <c r="E293" t="s">
        <v>1059</v>
      </c>
      <c r="F293" t="s">
        <v>1076</v>
      </c>
      <c r="G293" t="s">
        <v>1061</v>
      </c>
      <c r="H293" s="18">
        <v>45069</v>
      </c>
      <c r="I293" t="s">
        <v>306</v>
      </c>
      <c r="J293" t="s">
        <v>23</v>
      </c>
      <c r="K293" s="46" t="s">
        <v>1034</v>
      </c>
      <c r="L293">
        <v>29</v>
      </c>
      <c r="M293" t="s">
        <v>21</v>
      </c>
      <c r="N293">
        <v>4</v>
      </c>
      <c r="O293">
        <v>500</v>
      </c>
      <c r="P293">
        <v>2000</v>
      </c>
      <c r="Q293">
        <v>30</v>
      </c>
      <c r="R293">
        <v>40</v>
      </c>
    </row>
    <row r="294" spans="1:18" x14ac:dyDescent="0.35">
      <c r="A294">
        <v>282</v>
      </c>
      <c r="B294">
        <v>25</v>
      </c>
      <c r="C294">
        <v>8</v>
      </c>
      <c r="D294">
        <v>2023</v>
      </c>
      <c r="E294" t="s">
        <v>1070</v>
      </c>
      <c r="F294" t="s">
        <v>1074</v>
      </c>
      <c r="G294" t="s">
        <v>1061</v>
      </c>
      <c r="H294" s="18">
        <v>45163</v>
      </c>
      <c r="I294" t="s">
        <v>307</v>
      </c>
      <c r="J294" t="s">
        <v>23</v>
      </c>
      <c r="K294" s="46" t="s">
        <v>1032</v>
      </c>
      <c r="L294">
        <v>64</v>
      </c>
      <c r="M294" t="s">
        <v>21</v>
      </c>
      <c r="N294">
        <v>4</v>
      </c>
      <c r="O294">
        <v>50</v>
      </c>
      <c r="P294">
        <v>200</v>
      </c>
      <c r="Q294">
        <v>3</v>
      </c>
      <c r="R294">
        <v>4</v>
      </c>
    </row>
    <row r="295" spans="1:18" x14ac:dyDescent="0.35">
      <c r="A295">
        <v>283</v>
      </c>
      <c r="B295">
        <v>8</v>
      </c>
      <c r="C295">
        <v>5</v>
      </c>
      <c r="D295">
        <v>2023</v>
      </c>
      <c r="E295" t="s">
        <v>1067</v>
      </c>
      <c r="F295" t="s">
        <v>1076</v>
      </c>
      <c r="G295" t="s">
        <v>1061</v>
      </c>
      <c r="H295" s="18">
        <v>45054</v>
      </c>
      <c r="I295" t="s">
        <v>308</v>
      </c>
      <c r="J295" t="s">
        <v>23</v>
      </c>
      <c r="K295" s="46" t="s">
        <v>1034</v>
      </c>
      <c r="L295">
        <v>18</v>
      </c>
      <c r="M295" t="s">
        <v>21</v>
      </c>
      <c r="N295">
        <v>1</v>
      </c>
      <c r="O295">
        <v>500</v>
      </c>
      <c r="P295">
        <v>500</v>
      </c>
      <c r="Q295">
        <v>7.5</v>
      </c>
      <c r="R295">
        <v>10</v>
      </c>
    </row>
    <row r="296" spans="1:18" x14ac:dyDescent="0.35">
      <c r="A296">
        <v>284</v>
      </c>
      <c r="B296">
        <v>8</v>
      </c>
      <c r="C296">
        <v>2</v>
      </c>
      <c r="D296">
        <v>2023</v>
      </c>
      <c r="E296" t="s">
        <v>1065</v>
      </c>
      <c r="F296" t="s">
        <v>1073</v>
      </c>
      <c r="G296" t="s">
        <v>1061</v>
      </c>
      <c r="H296" s="18">
        <v>44965</v>
      </c>
      <c r="I296" t="s">
        <v>309</v>
      </c>
      <c r="J296" t="s">
        <v>20</v>
      </c>
      <c r="K296" s="46" t="s">
        <v>1030</v>
      </c>
      <c r="L296">
        <v>43</v>
      </c>
      <c r="M296" t="s">
        <v>21</v>
      </c>
      <c r="N296">
        <v>4</v>
      </c>
      <c r="O296">
        <v>50</v>
      </c>
      <c r="P296">
        <v>200</v>
      </c>
      <c r="Q296">
        <v>3</v>
      </c>
      <c r="R296">
        <v>4</v>
      </c>
    </row>
    <row r="297" spans="1:18" x14ac:dyDescent="0.35">
      <c r="A297">
        <v>285</v>
      </c>
      <c r="B297">
        <v>15</v>
      </c>
      <c r="C297">
        <v>8</v>
      </c>
      <c r="D297">
        <v>2023</v>
      </c>
      <c r="E297" t="s">
        <v>1059</v>
      </c>
      <c r="F297" t="s">
        <v>1074</v>
      </c>
      <c r="G297" t="s">
        <v>1061</v>
      </c>
      <c r="H297" s="18">
        <v>45153</v>
      </c>
      <c r="I297" t="s">
        <v>310</v>
      </c>
      <c r="J297" t="s">
        <v>23</v>
      </c>
      <c r="K297" s="46" t="s">
        <v>1030</v>
      </c>
      <c r="L297">
        <v>31</v>
      </c>
      <c r="M297" t="s">
        <v>21</v>
      </c>
      <c r="N297">
        <v>1</v>
      </c>
      <c r="O297">
        <v>25</v>
      </c>
      <c r="P297">
        <v>25</v>
      </c>
      <c r="Q297">
        <v>0.375</v>
      </c>
      <c r="R297">
        <v>0.5</v>
      </c>
    </row>
    <row r="298" spans="1:18" x14ac:dyDescent="0.35">
      <c r="A298">
        <v>286</v>
      </c>
      <c r="B298">
        <v>9</v>
      </c>
      <c r="C298">
        <v>10</v>
      </c>
      <c r="D298">
        <v>2023</v>
      </c>
      <c r="E298" t="s">
        <v>1067</v>
      </c>
      <c r="F298" t="s">
        <v>1064</v>
      </c>
      <c r="G298" t="s">
        <v>1061</v>
      </c>
      <c r="H298" s="18">
        <v>45208</v>
      </c>
      <c r="I298" t="s">
        <v>311</v>
      </c>
      <c r="J298" t="s">
        <v>20</v>
      </c>
      <c r="K298" s="46" t="s">
        <v>1032</v>
      </c>
      <c r="L298">
        <v>55</v>
      </c>
      <c r="M298" t="s">
        <v>21</v>
      </c>
      <c r="N298">
        <v>2</v>
      </c>
      <c r="O298">
        <v>25</v>
      </c>
      <c r="P298">
        <v>50</v>
      </c>
      <c r="Q298">
        <v>0.75</v>
      </c>
      <c r="R298">
        <v>1</v>
      </c>
    </row>
    <row r="299" spans="1:18" x14ac:dyDescent="0.35">
      <c r="A299">
        <v>287</v>
      </c>
      <c r="B299">
        <v>20</v>
      </c>
      <c r="C299">
        <v>2</v>
      </c>
      <c r="D299">
        <v>2023</v>
      </c>
      <c r="E299" t="s">
        <v>1067</v>
      </c>
      <c r="F299" t="s">
        <v>1073</v>
      </c>
      <c r="G299" t="s">
        <v>1061</v>
      </c>
      <c r="H299" s="18">
        <v>44977</v>
      </c>
      <c r="I299" t="s">
        <v>312</v>
      </c>
      <c r="J299" t="s">
        <v>20</v>
      </c>
      <c r="K299" s="46" t="s">
        <v>1032</v>
      </c>
      <c r="L299">
        <v>54</v>
      </c>
      <c r="M299" t="s">
        <v>21</v>
      </c>
      <c r="N299">
        <v>4</v>
      </c>
      <c r="O299">
        <v>25</v>
      </c>
      <c r="P299">
        <v>100</v>
      </c>
      <c r="Q299">
        <v>1.5</v>
      </c>
      <c r="R299">
        <v>2</v>
      </c>
    </row>
    <row r="300" spans="1:18" x14ac:dyDescent="0.35">
      <c r="A300">
        <v>288</v>
      </c>
      <c r="B300">
        <v>26</v>
      </c>
      <c r="C300">
        <v>1</v>
      </c>
      <c r="D300">
        <v>2023</v>
      </c>
      <c r="E300" t="s">
        <v>1072</v>
      </c>
      <c r="F300" t="s">
        <v>1060</v>
      </c>
      <c r="G300" t="s">
        <v>1061</v>
      </c>
      <c r="H300" s="18">
        <v>44952</v>
      </c>
      <c r="I300" t="s">
        <v>313</v>
      </c>
      <c r="J300" t="s">
        <v>20</v>
      </c>
      <c r="K300" s="46" t="s">
        <v>1034</v>
      </c>
      <c r="L300">
        <v>28</v>
      </c>
      <c r="M300" t="s">
        <v>21</v>
      </c>
      <c r="N300">
        <v>4</v>
      </c>
      <c r="O300">
        <v>30</v>
      </c>
      <c r="P300">
        <v>120</v>
      </c>
      <c r="Q300">
        <v>1.7999999999999998</v>
      </c>
      <c r="R300">
        <v>2.4</v>
      </c>
    </row>
    <row r="301" spans="1:18" x14ac:dyDescent="0.35">
      <c r="A301">
        <v>289</v>
      </c>
      <c r="B301">
        <v>30</v>
      </c>
      <c r="C301">
        <v>11</v>
      </c>
      <c r="D301">
        <v>2023</v>
      </c>
      <c r="E301" t="s">
        <v>1072</v>
      </c>
      <c r="F301" t="s">
        <v>1068</v>
      </c>
      <c r="G301" t="s">
        <v>1061</v>
      </c>
      <c r="H301" s="18">
        <v>45260</v>
      </c>
      <c r="I301" t="s">
        <v>314</v>
      </c>
      <c r="J301" t="s">
        <v>20</v>
      </c>
      <c r="K301" s="46" t="s">
        <v>1032</v>
      </c>
      <c r="L301">
        <v>53</v>
      </c>
      <c r="M301" t="s">
        <v>21</v>
      </c>
      <c r="N301">
        <v>2</v>
      </c>
      <c r="O301">
        <v>30</v>
      </c>
      <c r="P301">
        <v>60</v>
      </c>
      <c r="Q301">
        <v>0.89999999999999991</v>
      </c>
      <c r="R301">
        <v>1.2</v>
      </c>
    </row>
    <row r="302" spans="1:18" x14ac:dyDescent="0.35">
      <c r="A302">
        <v>290</v>
      </c>
      <c r="B302">
        <v>4</v>
      </c>
      <c r="C302">
        <v>10</v>
      </c>
      <c r="D302">
        <v>2023</v>
      </c>
      <c r="E302" t="s">
        <v>1065</v>
      </c>
      <c r="F302" t="s">
        <v>1064</v>
      </c>
      <c r="G302" t="s">
        <v>1061</v>
      </c>
      <c r="H302" s="18">
        <v>45203</v>
      </c>
      <c r="I302" t="s">
        <v>315</v>
      </c>
      <c r="J302" t="s">
        <v>23</v>
      </c>
      <c r="K302" s="46" t="s">
        <v>1030</v>
      </c>
      <c r="L302">
        <v>30</v>
      </c>
      <c r="M302" t="s">
        <v>21</v>
      </c>
      <c r="N302">
        <v>2</v>
      </c>
      <c r="O302">
        <v>300</v>
      </c>
      <c r="P302">
        <v>600</v>
      </c>
      <c r="Q302">
        <v>9</v>
      </c>
      <c r="R302">
        <v>12</v>
      </c>
    </row>
    <row r="303" spans="1:18" x14ac:dyDescent="0.35">
      <c r="A303">
        <v>291</v>
      </c>
      <c r="B303">
        <v>8</v>
      </c>
      <c r="C303">
        <v>1</v>
      </c>
      <c r="D303">
        <v>2023</v>
      </c>
      <c r="E303" t="s">
        <v>1063</v>
      </c>
      <c r="F303" t="s">
        <v>1060</v>
      </c>
      <c r="G303" t="s">
        <v>1061</v>
      </c>
      <c r="H303" s="18">
        <v>44934</v>
      </c>
      <c r="I303" t="s">
        <v>316</v>
      </c>
      <c r="J303" t="s">
        <v>20</v>
      </c>
      <c r="K303" s="46" t="s">
        <v>1032</v>
      </c>
      <c r="L303">
        <v>60</v>
      </c>
      <c r="M303" t="s">
        <v>21</v>
      </c>
      <c r="N303">
        <v>2</v>
      </c>
      <c r="O303">
        <v>300</v>
      </c>
      <c r="P303">
        <v>600</v>
      </c>
      <c r="Q303">
        <v>9</v>
      </c>
      <c r="R303">
        <v>12</v>
      </c>
    </row>
    <row r="304" spans="1:18" x14ac:dyDescent="0.35">
      <c r="A304">
        <v>292</v>
      </c>
      <c r="B304">
        <v>17</v>
      </c>
      <c r="C304">
        <v>2</v>
      </c>
      <c r="D304">
        <v>2023</v>
      </c>
      <c r="E304" t="s">
        <v>1070</v>
      </c>
      <c r="F304" t="s">
        <v>1073</v>
      </c>
      <c r="G304" t="s">
        <v>1061</v>
      </c>
      <c r="H304" s="18">
        <v>44974</v>
      </c>
      <c r="I304" t="s">
        <v>317</v>
      </c>
      <c r="J304" t="s">
        <v>20</v>
      </c>
      <c r="K304" s="46" t="s">
        <v>1034</v>
      </c>
      <c r="L304">
        <v>20</v>
      </c>
      <c r="M304" t="s">
        <v>21</v>
      </c>
      <c r="N304">
        <v>4</v>
      </c>
      <c r="O304">
        <v>300</v>
      </c>
      <c r="P304">
        <v>1200</v>
      </c>
      <c r="Q304">
        <v>18</v>
      </c>
      <c r="R304">
        <v>24</v>
      </c>
    </row>
    <row r="305" spans="1:18" x14ac:dyDescent="0.35">
      <c r="A305">
        <v>293</v>
      </c>
      <c r="B305">
        <v>2</v>
      </c>
      <c r="C305">
        <v>5</v>
      </c>
      <c r="D305">
        <v>2023</v>
      </c>
      <c r="E305" t="s">
        <v>1059</v>
      </c>
      <c r="F305" t="s">
        <v>1076</v>
      </c>
      <c r="G305" t="s">
        <v>1061</v>
      </c>
      <c r="H305" s="18">
        <v>45048</v>
      </c>
      <c r="I305" t="s">
        <v>318</v>
      </c>
      <c r="J305" t="s">
        <v>20</v>
      </c>
      <c r="K305" s="46" t="s">
        <v>1030</v>
      </c>
      <c r="L305">
        <v>50</v>
      </c>
      <c r="M305" t="s">
        <v>21</v>
      </c>
      <c r="N305">
        <v>3</v>
      </c>
      <c r="O305">
        <v>30</v>
      </c>
      <c r="P305">
        <v>90</v>
      </c>
      <c r="Q305">
        <v>1.3499999999999999</v>
      </c>
      <c r="R305">
        <v>1.8</v>
      </c>
    </row>
    <row r="306" spans="1:18" x14ac:dyDescent="0.35">
      <c r="A306">
        <v>294</v>
      </c>
      <c r="B306">
        <v>27</v>
      </c>
      <c r="C306">
        <v>3</v>
      </c>
      <c r="D306">
        <v>2023</v>
      </c>
      <c r="E306" t="s">
        <v>1067</v>
      </c>
      <c r="F306" t="s">
        <v>1066</v>
      </c>
      <c r="G306" t="s">
        <v>1061</v>
      </c>
      <c r="H306" s="18">
        <v>45012</v>
      </c>
      <c r="I306" t="s">
        <v>319</v>
      </c>
      <c r="J306" t="s">
        <v>23</v>
      </c>
      <c r="K306" s="46" t="s">
        <v>1034</v>
      </c>
      <c r="L306">
        <v>23</v>
      </c>
      <c r="M306" t="s">
        <v>21</v>
      </c>
      <c r="N306">
        <v>3</v>
      </c>
      <c r="O306">
        <v>30</v>
      </c>
      <c r="P306">
        <v>90</v>
      </c>
      <c r="Q306">
        <v>1.3499999999999999</v>
      </c>
      <c r="R306">
        <v>1.8</v>
      </c>
    </row>
    <row r="307" spans="1:18" x14ac:dyDescent="0.35">
      <c r="A307">
        <v>295</v>
      </c>
      <c r="B307">
        <v>28</v>
      </c>
      <c r="C307">
        <v>7</v>
      </c>
      <c r="D307">
        <v>2023</v>
      </c>
      <c r="E307" t="s">
        <v>1070</v>
      </c>
      <c r="F307" t="s">
        <v>1078</v>
      </c>
      <c r="G307" t="s">
        <v>1061</v>
      </c>
      <c r="H307" s="18">
        <v>45135</v>
      </c>
      <c r="I307" t="s">
        <v>320</v>
      </c>
      <c r="J307" t="s">
        <v>23</v>
      </c>
      <c r="K307" s="46" t="s">
        <v>1034</v>
      </c>
      <c r="L307">
        <v>27</v>
      </c>
      <c r="M307" t="s">
        <v>21</v>
      </c>
      <c r="N307">
        <v>3</v>
      </c>
      <c r="O307">
        <v>300</v>
      </c>
      <c r="P307">
        <v>900</v>
      </c>
      <c r="Q307">
        <v>13.5</v>
      </c>
      <c r="R307">
        <v>18</v>
      </c>
    </row>
    <row r="308" spans="1:18" x14ac:dyDescent="0.35">
      <c r="A308">
        <v>296</v>
      </c>
      <c r="B308">
        <v>6</v>
      </c>
      <c r="C308">
        <v>9</v>
      </c>
      <c r="D308">
        <v>2023</v>
      </c>
      <c r="E308" t="s">
        <v>1065</v>
      </c>
      <c r="F308" t="s">
        <v>1071</v>
      </c>
      <c r="G308" t="s">
        <v>1061</v>
      </c>
      <c r="H308" s="18">
        <v>45175</v>
      </c>
      <c r="I308" t="s">
        <v>321</v>
      </c>
      <c r="J308" t="s">
        <v>23</v>
      </c>
      <c r="K308" s="46" t="s">
        <v>1034</v>
      </c>
      <c r="L308">
        <v>22</v>
      </c>
      <c r="M308" t="s">
        <v>21</v>
      </c>
      <c r="N308">
        <v>4</v>
      </c>
      <c r="O308">
        <v>300</v>
      </c>
      <c r="P308">
        <v>1200</v>
      </c>
      <c r="Q308">
        <v>18</v>
      </c>
      <c r="R308">
        <v>24</v>
      </c>
    </row>
    <row r="309" spans="1:18" x14ac:dyDescent="0.35">
      <c r="A309">
        <v>297</v>
      </c>
      <c r="B309">
        <v>4</v>
      </c>
      <c r="C309">
        <v>9</v>
      </c>
      <c r="D309">
        <v>2023</v>
      </c>
      <c r="E309" t="s">
        <v>1067</v>
      </c>
      <c r="F309" t="s">
        <v>1071</v>
      </c>
      <c r="G309" t="s">
        <v>1061</v>
      </c>
      <c r="H309" s="18">
        <v>45173</v>
      </c>
      <c r="I309" t="s">
        <v>322</v>
      </c>
      <c r="J309" t="s">
        <v>23</v>
      </c>
      <c r="K309" s="46" t="s">
        <v>1030</v>
      </c>
      <c r="L309">
        <v>40</v>
      </c>
      <c r="M309" t="s">
        <v>21</v>
      </c>
      <c r="N309">
        <v>2</v>
      </c>
      <c r="O309">
        <v>500</v>
      </c>
      <c r="P309">
        <v>1000</v>
      </c>
      <c r="Q309">
        <v>15</v>
      </c>
      <c r="R309">
        <v>20</v>
      </c>
    </row>
    <row r="310" spans="1:18" x14ac:dyDescent="0.35">
      <c r="A310">
        <v>298</v>
      </c>
      <c r="B310">
        <v>20</v>
      </c>
      <c r="C310">
        <v>4</v>
      </c>
      <c r="D310">
        <v>2023</v>
      </c>
      <c r="E310" t="s">
        <v>1072</v>
      </c>
      <c r="F310" t="s">
        <v>1077</v>
      </c>
      <c r="G310" t="s">
        <v>1061</v>
      </c>
      <c r="H310" s="18">
        <v>45036</v>
      </c>
      <c r="I310" t="s">
        <v>323</v>
      </c>
      <c r="J310" t="s">
        <v>20</v>
      </c>
      <c r="K310" s="46" t="s">
        <v>1034</v>
      </c>
      <c r="L310">
        <v>27</v>
      </c>
      <c r="M310" t="s">
        <v>21</v>
      </c>
      <c r="N310">
        <v>4</v>
      </c>
      <c r="O310">
        <v>300</v>
      </c>
      <c r="P310">
        <v>1200</v>
      </c>
      <c r="Q310">
        <v>18</v>
      </c>
      <c r="R310">
        <v>24</v>
      </c>
    </row>
    <row r="311" spans="1:18" x14ac:dyDescent="0.35">
      <c r="A311">
        <v>299</v>
      </c>
      <c r="B311">
        <v>25</v>
      </c>
      <c r="C311">
        <v>7</v>
      </c>
      <c r="D311">
        <v>2023</v>
      </c>
      <c r="E311" t="s">
        <v>1059</v>
      </c>
      <c r="F311" t="s">
        <v>1078</v>
      </c>
      <c r="G311" t="s">
        <v>1061</v>
      </c>
      <c r="H311" s="18">
        <v>45132</v>
      </c>
      <c r="I311" t="s">
        <v>324</v>
      </c>
      <c r="J311" t="s">
        <v>20</v>
      </c>
      <c r="K311" s="46" t="s">
        <v>1032</v>
      </c>
      <c r="L311">
        <v>61</v>
      </c>
      <c r="M311" t="s">
        <v>21</v>
      </c>
      <c r="N311">
        <v>2</v>
      </c>
      <c r="O311">
        <v>500</v>
      </c>
      <c r="P311">
        <v>1000</v>
      </c>
      <c r="Q311">
        <v>15</v>
      </c>
      <c r="R311">
        <v>20</v>
      </c>
    </row>
    <row r="312" spans="1:18" x14ac:dyDescent="0.35">
      <c r="A312">
        <v>300</v>
      </c>
      <c r="B312">
        <v>31</v>
      </c>
      <c r="C312">
        <v>1</v>
      </c>
      <c r="D312">
        <v>2023</v>
      </c>
      <c r="E312" t="s">
        <v>1059</v>
      </c>
      <c r="F312" t="s">
        <v>1060</v>
      </c>
      <c r="G312" t="s">
        <v>1061</v>
      </c>
      <c r="H312" s="18">
        <v>44957</v>
      </c>
      <c r="I312" t="s">
        <v>325</v>
      </c>
      <c r="J312" t="s">
        <v>23</v>
      </c>
      <c r="K312" s="46" t="s">
        <v>1034</v>
      </c>
      <c r="L312">
        <v>19</v>
      </c>
      <c r="M312" t="s">
        <v>21</v>
      </c>
      <c r="N312">
        <v>4</v>
      </c>
      <c r="O312">
        <v>50</v>
      </c>
      <c r="P312">
        <v>200</v>
      </c>
      <c r="Q312">
        <v>3</v>
      </c>
      <c r="R312">
        <v>4</v>
      </c>
    </row>
    <row r="313" spans="1:18" x14ac:dyDescent="0.35">
      <c r="A313">
        <v>301</v>
      </c>
      <c r="B313">
        <v>26</v>
      </c>
      <c r="C313">
        <v>3</v>
      </c>
      <c r="D313">
        <v>2023</v>
      </c>
      <c r="E313" t="s">
        <v>1063</v>
      </c>
      <c r="F313" t="s">
        <v>1066</v>
      </c>
      <c r="G313" t="s">
        <v>1061</v>
      </c>
      <c r="H313" s="18">
        <v>45011</v>
      </c>
      <c r="I313" t="s">
        <v>326</v>
      </c>
      <c r="J313" t="s">
        <v>20</v>
      </c>
      <c r="K313" s="46" t="s">
        <v>1030</v>
      </c>
      <c r="L313">
        <v>30</v>
      </c>
      <c r="M313" t="s">
        <v>21</v>
      </c>
      <c r="N313">
        <v>4</v>
      </c>
      <c r="O313">
        <v>30</v>
      </c>
      <c r="P313">
        <v>120</v>
      </c>
      <c r="Q313">
        <v>1.7999999999999998</v>
      </c>
      <c r="R313">
        <v>2.4</v>
      </c>
    </row>
    <row r="314" spans="1:18" x14ac:dyDescent="0.35">
      <c r="A314">
        <v>302</v>
      </c>
      <c r="B314">
        <v>14</v>
      </c>
      <c r="C314">
        <v>7</v>
      </c>
      <c r="D314">
        <v>2023</v>
      </c>
      <c r="E314" t="s">
        <v>1070</v>
      </c>
      <c r="F314" t="s">
        <v>1078</v>
      </c>
      <c r="G314" t="s">
        <v>1061</v>
      </c>
      <c r="H314" s="18">
        <v>45121</v>
      </c>
      <c r="I314" t="s">
        <v>327</v>
      </c>
      <c r="J314" t="s">
        <v>20</v>
      </c>
      <c r="K314" s="46" t="s">
        <v>1032</v>
      </c>
      <c r="L314">
        <v>57</v>
      </c>
      <c r="M314" t="s">
        <v>21</v>
      </c>
      <c r="N314">
        <v>2</v>
      </c>
      <c r="O314">
        <v>300</v>
      </c>
      <c r="P314">
        <v>600</v>
      </c>
      <c r="Q314">
        <v>9</v>
      </c>
      <c r="R314">
        <v>12</v>
      </c>
    </row>
    <row r="315" spans="1:18" x14ac:dyDescent="0.35">
      <c r="A315">
        <v>303</v>
      </c>
      <c r="B315">
        <v>2</v>
      </c>
      <c r="C315">
        <v>1</v>
      </c>
      <c r="D315">
        <v>2023</v>
      </c>
      <c r="E315" t="s">
        <v>1067</v>
      </c>
      <c r="F315" t="s">
        <v>1060</v>
      </c>
      <c r="G315" t="s">
        <v>1061</v>
      </c>
      <c r="H315" s="18">
        <v>44928</v>
      </c>
      <c r="I315" t="s">
        <v>328</v>
      </c>
      <c r="J315" t="s">
        <v>20</v>
      </c>
      <c r="K315" s="46" t="s">
        <v>1034</v>
      </c>
      <c r="L315">
        <v>19</v>
      </c>
      <c r="M315" t="s">
        <v>21</v>
      </c>
      <c r="N315">
        <v>3</v>
      </c>
      <c r="O315">
        <v>30</v>
      </c>
      <c r="P315">
        <v>90</v>
      </c>
      <c r="Q315">
        <v>1.3499999999999999</v>
      </c>
      <c r="R315">
        <v>1.8</v>
      </c>
    </row>
    <row r="316" spans="1:18" x14ac:dyDescent="0.35">
      <c r="A316">
        <v>304</v>
      </c>
      <c r="B316">
        <v>19</v>
      </c>
      <c r="C316">
        <v>7</v>
      </c>
      <c r="D316">
        <v>2023</v>
      </c>
      <c r="E316" t="s">
        <v>1065</v>
      </c>
      <c r="F316" t="s">
        <v>1078</v>
      </c>
      <c r="G316" t="s">
        <v>1061</v>
      </c>
      <c r="H316" s="18">
        <v>45126</v>
      </c>
      <c r="I316" t="s">
        <v>329</v>
      </c>
      <c r="J316" t="s">
        <v>23</v>
      </c>
      <c r="K316" s="46" t="s">
        <v>1030</v>
      </c>
      <c r="L316">
        <v>37</v>
      </c>
      <c r="M316" t="s">
        <v>21</v>
      </c>
      <c r="N316">
        <v>2</v>
      </c>
      <c r="O316">
        <v>30</v>
      </c>
      <c r="P316">
        <v>60</v>
      </c>
      <c r="Q316">
        <v>0.89999999999999991</v>
      </c>
      <c r="R316">
        <v>1.2</v>
      </c>
    </row>
    <row r="317" spans="1:18" x14ac:dyDescent="0.35">
      <c r="A317">
        <v>305</v>
      </c>
      <c r="B317">
        <v>16</v>
      </c>
      <c r="C317">
        <v>5</v>
      </c>
      <c r="D317">
        <v>2023</v>
      </c>
      <c r="E317" t="s">
        <v>1059</v>
      </c>
      <c r="F317" t="s">
        <v>1076</v>
      </c>
      <c r="G317" t="s">
        <v>1061</v>
      </c>
      <c r="H317" s="18">
        <v>45062</v>
      </c>
      <c r="I317" t="s">
        <v>330</v>
      </c>
      <c r="J317" t="s">
        <v>23</v>
      </c>
      <c r="K317" s="46" t="s">
        <v>1034</v>
      </c>
      <c r="L317">
        <v>18</v>
      </c>
      <c r="M317" t="s">
        <v>21</v>
      </c>
      <c r="N317">
        <v>1</v>
      </c>
      <c r="O317">
        <v>30</v>
      </c>
      <c r="P317">
        <v>30</v>
      </c>
      <c r="Q317">
        <v>0.44999999999999996</v>
      </c>
      <c r="R317">
        <v>0.6</v>
      </c>
    </row>
    <row r="318" spans="1:18" x14ac:dyDescent="0.35">
      <c r="A318">
        <v>306</v>
      </c>
      <c r="B318">
        <v>21</v>
      </c>
      <c r="C318">
        <v>8</v>
      </c>
      <c r="D318">
        <v>2023</v>
      </c>
      <c r="E318" t="s">
        <v>1067</v>
      </c>
      <c r="F318" t="s">
        <v>1074</v>
      </c>
      <c r="G318" t="s">
        <v>1061</v>
      </c>
      <c r="H318" s="18">
        <v>45159</v>
      </c>
      <c r="I318" t="s">
        <v>331</v>
      </c>
      <c r="J318" t="s">
        <v>20</v>
      </c>
      <c r="K318" s="46" t="s">
        <v>1032</v>
      </c>
      <c r="L318">
        <v>54</v>
      </c>
      <c r="M318" t="s">
        <v>21</v>
      </c>
      <c r="N318">
        <v>1</v>
      </c>
      <c r="O318">
        <v>50</v>
      </c>
      <c r="P318">
        <v>50</v>
      </c>
      <c r="Q318">
        <v>0.75</v>
      </c>
      <c r="R318">
        <v>1</v>
      </c>
    </row>
    <row r="319" spans="1:18" x14ac:dyDescent="0.35">
      <c r="A319">
        <v>307</v>
      </c>
      <c r="B319">
        <v>27</v>
      </c>
      <c r="C319">
        <v>5</v>
      </c>
      <c r="D319">
        <v>2023</v>
      </c>
      <c r="E319" t="s">
        <v>1075</v>
      </c>
      <c r="F319" t="s">
        <v>1076</v>
      </c>
      <c r="G319" t="s">
        <v>1061</v>
      </c>
      <c r="H319" s="18">
        <v>45073</v>
      </c>
      <c r="I319" t="s">
        <v>332</v>
      </c>
      <c r="J319" t="s">
        <v>23</v>
      </c>
      <c r="K319" s="46" t="s">
        <v>1034</v>
      </c>
      <c r="L319">
        <v>26</v>
      </c>
      <c r="M319" t="s">
        <v>21</v>
      </c>
      <c r="N319">
        <v>2</v>
      </c>
      <c r="O319">
        <v>25</v>
      </c>
      <c r="P319">
        <v>50</v>
      </c>
      <c r="Q319">
        <v>0.75</v>
      </c>
      <c r="R319">
        <v>1</v>
      </c>
    </row>
    <row r="320" spans="1:18" x14ac:dyDescent="0.35">
      <c r="A320">
        <v>308</v>
      </c>
      <c r="B320">
        <v>5</v>
      </c>
      <c r="C320">
        <v>8</v>
      </c>
      <c r="D320">
        <v>2023</v>
      </c>
      <c r="E320" t="s">
        <v>1075</v>
      </c>
      <c r="F320" t="s">
        <v>1074</v>
      </c>
      <c r="G320" t="s">
        <v>1061</v>
      </c>
      <c r="H320" s="18">
        <v>45143</v>
      </c>
      <c r="I320" t="s">
        <v>333</v>
      </c>
      <c r="J320" t="s">
        <v>23</v>
      </c>
      <c r="K320" s="46" t="s">
        <v>1030</v>
      </c>
      <c r="L320">
        <v>34</v>
      </c>
      <c r="M320" t="s">
        <v>21</v>
      </c>
      <c r="N320">
        <v>4</v>
      </c>
      <c r="O320">
        <v>300</v>
      </c>
      <c r="P320">
        <v>1200</v>
      </c>
      <c r="Q320">
        <v>18</v>
      </c>
      <c r="R320">
        <v>24</v>
      </c>
    </row>
    <row r="321" spans="1:18" x14ac:dyDescent="0.35">
      <c r="A321">
        <v>309</v>
      </c>
      <c r="B321">
        <v>23</v>
      </c>
      <c r="C321">
        <v>12</v>
      </c>
      <c r="D321">
        <v>2023</v>
      </c>
      <c r="E321" t="s">
        <v>1075</v>
      </c>
      <c r="F321" t="s">
        <v>1062</v>
      </c>
      <c r="G321" t="s">
        <v>1061</v>
      </c>
      <c r="H321" s="18">
        <v>45283</v>
      </c>
      <c r="I321" t="s">
        <v>334</v>
      </c>
      <c r="J321" t="s">
        <v>23</v>
      </c>
      <c r="K321" s="46" t="s">
        <v>1034</v>
      </c>
      <c r="L321">
        <v>26</v>
      </c>
      <c r="M321" t="s">
        <v>21</v>
      </c>
      <c r="N321">
        <v>1</v>
      </c>
      <c r="O321">
        <v>25</v>
      </c>
      <c r="P321">
        <v>25</v>
      </c>
      <c r="Q321">
        <v>0.375</v>
      </c>
      <c r="R321">
        <v>0.5</v>
      </c>
    </row>
    <row r="322" spans="1:18" x14ac:dyDescent="0.35">
      <c r="A322">
        <v>310</v>
      </c>
      <c r="B322">
        <v>12</v>
      </c>
      <c r="C322">
        <v>10</v>
      </c>
      <c r="D322">
        <v>2023</v>
      </c>
      <c r="E322" t="s">
        <v>1072</v>
      </c>
      <c r="F322" t="s">
        <v>1064</v>
      </c>
      <c r="G322" t="s">
        <v>1061</v>
      </c>
      <c r="H322" s="18">
        <v>45211</v>
      </c>
      <c r="I322" t="s">
        <v>335</v>
      </c>
      <c r="J322" t="s">
        <v>23</v>
      </c>
      <c r="K322" s="46" t="s">
        <v>1034</v>
      </c>
      <c r="L322">
        <v>28</v>
      </c>
      <c r="M322" t="s">
        <v>21</v>
      </c>
      <c r="N322">
        <v>1</v>
      </c>
      <c r="O322">
        <v>25</v>
      </c>
      <c r="P322">
        <v>25</v>
      </c>
      <c r="Q322">
        <v>0.375</v>
      </c>
      <c r="R322">
        <v>0.5</v>
      </c>
    </row>
    <row r="323" spans="1:18" x14ac:dyDescent="0.35">
      <c r="A323">
        <v>311</v>
      </c>
      <c r="B323">
        <v>5</v>
      </c>
      <c r="C323">
        <v>12</v>
      </c>
      <c r="D323">
        <v>2023</v>
      </c>
      <c r="E323" t="s">
        <v>1059</v>
      </c>
      <c r="F323" t="s">
        <v>1062</v>
      </c>
      <c r="G323" t="s">
        <v>1061</v>
      </c>
      <c r="H323" s="18">
        <v>45265</v>
      </c>
      <c r="I323" t="s">
        <v>336</v>
      </c>
      <c r="J323" t="s">
        <v>23</v>
      </c>
      <c r="K323" s="46" t="s">
        <v>1030</v>
      </c>
      <c r="L323">
        <v>32</v>
      </c>
      <c r="M323" t="s">
        <v>21</v>
      </c>
      <c r="N323">
        <v>4</v>
      </c>
      <c r="O323">
        <v>25</v>
      </c>
      <c r="P323">
        <v>100</v>
      </c>
      <c r="Q323">
        <v>1.5</v>
      </c>
      <c r="R323">
        <v>2</v>
      </c>
    </row>
    <row r="324" spans="1:18" x14ac:dyDescent="0.35">
      <c r="A324">
        <v>312</v>
      </c>
      <c r="B324">
        <v>7</v>
      </c>
      <c r="C324">
        <v>9</v>
      </c>
      <c r="D324">
        <v>2023</v>
      </c>
      <c r="E324" t="s">
        <v>1072</v>
      </c>
      <c r="F324" t="s">
        <v>1071</v>
      </c>
      <c r="G324" t="s">
        <v>1061</v>
      </c>
      <c r="H324" s="18">
        <v>45176</v>
      </c>
      <c r="I324" t="s">
        <v>337</v>
      </c>
      <c r="J324" t="s">
        <v>20</v>
      </c>
      <c r="K324" s="46" t="s">
        <v>1030</v>
      </c>
      <c r="L324">
        <v>41</v>
      </c>
      <c r="M324" t="s">
        <v>21</v>
      </c>
      <c r="N324">
        <v>4</v>
      </c>
      <c r="O324">
        <v>30</v>
      </c>
      <c r="P324">
        <v>120</v>
      </c>
      <c r="Q324">
        <v>1.7999999999999998</v>
      </c>
      <c r="R324">
        <v>2.4</v>
      </c>
    </row>
    <row r="325" spans="1:18" x14ac:dyDescent="0.35">
      <c r="A325">
        <v>313</v>
      </c>
      <c r="B325">
        <v>21</v>
      </c>
      <c r="C325">
        <v>3</v>
      </c>
      <c r="D325">
        <v>2023</v>
      </c>
      <c r="E325" t="s">
        <v>1059</v>
      </c>
      <c r="F325" t="s">
        <v>1066</v>
      </c>
      <c r="G325" t="s">
        <v>1061</v>
      </c>
      <c r="H325" s="18">
        <v>45006</v>
      </c>
      <c r="I325" t="s">
        <v>338</v>
      </c>
      <c r="J325" t="s">
        <v>23</v>
      </c>
      <c r="K325" s="46" t="s">
        <v>1032</v>
      </c>
      <c r="L325">
        <v>55</v>
      </c>
      <c r="M325" t="s">
        <v>21</v>
      </c>
      <c r="N325">
        <v>3</v>
      </c>
      <c r="O325">
        <v>500</v>
      </c>
      <c r="P325">
        <v>1500</v>
      </c>
      <c r="Q325">
        <v>22.5</v>
      </c>
      <c r="R325">
        <v>30</v>
      </c>
    </row>
    <row r="326" spans="1:18" x14ac:dyDescent="0.35">
      <c r="A326">
        <v>314</v>
      </c>
      <c r="B326">
        <v>8</v>
      </c>
      <c r="C326">
        <v>4</v>
      </c>
      <c r="D326">
        <v>2023</v>
      </c>
      <c r="E326" t="s">
        <v>1075</v>
      </c>
      <c r="F326" t="s">
        <v>1077</v>
      </c>
      <c r="G326" t="s">
        <v>1061</v>
      </c>
      <c r="H326" s="18">
        <v>45024</v>
      </c>
      <c r="I326" t="s">
        <v>339</v>
      </c>
      <c r="J326" t="s">
        <v>20</v>
      </c>
      <c r="K326" s="46" t="s">
        <v>1032</v>
      </c>
      <c r="L326">
        <v>52</v>
      </c>
      <c r="M326" t="s">
        <v>21</v>
      </c>
      <c r="N326">
        <v>4</v>
      </c>
      <c r="O326">
        <v>30</v>
      </c>
      <c r="P326">
        <v>120</v>
      </c>
      <c r="Q326">
        <v>1.7999999999999998</v>
      </c>
      <c r="R326">
        <v>2.4</v>
      </c>
    </row>
    <row r="327" spans="1:18" x14ac:dyDescent="0.35">
      <c r="A327">
        <v>315</v>
      </c>
      <c r="B327">
        <v>1</v>
      </c>
      <c r="C327">
        <v>6</v>
      </c>
      <c r="D327">
        <v>2023</v>
      </c>
      <c r="E327" t="s">
        <v>1072</v>
      </c>
      <c r="F327" t="s">
        <v>1069</v>
      </c>
      <c r="G327" t="s">
        <v>1061</v>
      </c>
      <c r="H327" s="18">
        <v>45078</v>
      </c>
      <c r="I327" t="s">
        <v>340</v>
      </c>
      <c r="J327" t="s">
        <v>20</v>
      </c>
      <c r="K327" s="46" t="s">
        <v>1030</v>
      </c>
      <c r="L327">
        <v>47</v>
      </c>
      <c r="M327" t="s">
        <v>21</v>
      </c>
      <c r="N327">
        <v>2</v>
      </c>
      <c r="O327">
        <v>30</v>
      </c>
      <c r="P327">
        <v>60</v>
      </c>
      <c r="Q327">
        <v>0.89999999999999991</v>
      </c>
      <c r="R327">
        <v>1.2</v>
      </c>
    </row>
    <row r="328" spans="1:18" x14ac:dyDescent="0.35">
      <c r="A328">
        <v>316</v>
      </c>
      <c r="B328">
        <v>22</v>
      </c>
      <c r="C328">
        <v>4</v>
      </c>
      <c r="D328">
        <v>2023</v>
      </c>
      <c r="E328" t="s">
        <v>1075</v>
      </c>
      <c r="F328" t="s">
        <v>1077</v>
      </c>
      <c r="G328" t="s">
        <v>1061</v>
      </c>
      <c r="H328" s="18">
        <v>45038</v>
      </c>
      <c r="I328" t="s">
        <v>341</v>
      </c>
      <c r="J328" t="s">
        <v>23</v>
      </c>
      <c r="K328" s="46" t="s">
        <v>1030</v>
      </c>
      <c r="L328">
        <v>48</v>
      </c>
      <c r="M328" t="s">
        <v>21</v>
      </c>
      <c r="N328">
        <v>2</v>
      </c>
      <c r="O328">
        <v>25</v>
      </c>
      <c r="P328">
        <v>50</v>
      </c>
      <c r="Q328">
        <v>0.75</v>
      </c>
      <c r="R328">
        <v>1</v>
      </c>
    </row>
    <row r="329" spans="1:18" x14ac:dyDescent="0.35">
      <c r="A329">
        <v>317</v>
      </c>
      <c r="B329">
        <v>30</v>
      </c>
      <c r="C329">
        <v>1</v>
      </c>
      <c r="D329">
        <v>2023</v>
      </c>
      <c r="E329" t="s">
        <v>1067</v>
      </c>
      <c r="F329" t="s">
        <v>1060</v>
      </c>
      <c r="G329" t="s">
        <v>1061</v>
      </c>
      <c r="H329" s="18">
        <v>44956</v>
      </c>
      <c r="I329" t="s">
        <v>342</v>
      </c>
      <c r="J329" t="s">
        <v>20</v>
      </c>
      <c r="K329" s="46" t="s">
        <v>1034</v>
      </c>
      <c r="L329">
        <v>22</v>
      </c>
      <c r="M329" t="s">
        <v>21</v>
      </c>
      <c r="N329">
        <v>3</v>
      </c>
      <c r="O329">
        <v>30</v>
      </c>
      <c r="P329">
        <v>90</v>
      </c>
      <c r="Q329">
        <v>1.3499999999999999</v>
      </c>
      <c r="R329">
        <v>1.8</v>
      </c>
    </row>
    <row r="330" spans="1:18" x14ac:dyDescent="0.35">
      <c r="A330">
        <v>318</v>
      </c>
      <c r="B330">
        <v>24</v>
      </c>
      <c r="C330">
        <v>10</v>
      </c>
      <c r="D330">
        <v>2023</v>
      </c>
      <c r="E330" t="s">
        <v>1059</v>
      </c>
      <c r="F330" t="s">
        <v>1064</v>
      </c>
      <c r="G330" t="s">
        <v>1061</v>
      </c>
      <c r="H330" s="18">
        <v>45223</v>
      </c>
      <c r="I330" t="s">
        <v>343</v>
      </c>
      <c r="J330" t="s">
        <v>20</v>
      </c>
      <c r="K330" s="46" t="s">
        <v>1032</v>
      </c>
      <c r="L330">
        <v>61</v>
      </c>
      <c r="M330" t="s">
        <v>21</v>
      </c>
      <c r="N330">
        <v>1</v>
      </c>
      <c r="O330">
        <v>25</v>
      </c>
      <c r="P330">
        <v>25</v>
      </c>
      <c r="Q330">
        <v>0.375</v>
      </c>
      <c r="R330">
        <v>0.5</v>
      </c>
    </row>
    <row r="331" spans="1:18" x14ac:dyDescent="0.35">
      <c r="A331">
        <v>319</v>
      </c>
      <c r="B331">
        <v>5</v>
      </c>
      <c r="C331">
        <v>10</v>
      </c>
      <c r="D331">
        <v>2023</v>
      </c>
      <c r="E331" t="s">
        <v>1072</v>
      </c>
      <c r="F331" t="s">
        <v>1064</v>
      </c>
      <c r="G331" t="s">
        <v>1061</v>
      </c>
      <c r="H331" s="18">
        <v>45204</v>
      </c>
      <c r="I331" t="s">
        <v>344</v>
      </c>
      <c r="J331" t="s">
        <v>20</v>
      </c>
      <c r="K331" s="46" t="s">
        <v>1030</v>
      </c>
      <c r="L331">
        <v>31</v>
      </c>
      <c r="M331" t="s">
        <v>21</v>
      </c>
      <c r="N331">
        <v>1</v>
      </c>
      <c r="O331">
        <v>500</v>
      </c>
      <c r="P331">
        <v>500</v>
      </c>
      <c r="Q331">
        <v>7.5</v>
      </c>
      <c r="R331">
        <v>10</v>
      </c>
    </row>
    <row r="332" spans="1:18" x14ac:dyDescent="0.35">
      <c r="A332">
        <v>320</v>
      </c>
      <c r="B332">
        <v>1</v>
      </c>
      <c r="C332">
        <v>2</v>
      </c>
      <c r="D332">
        <v>2023</v>
      </c>
      <c r="E332" t="s">
        <v>1065</v>
      </c>
      <c r="F332" t="s">
        <v>1073</v>
      </c>
      <c r="G332" t="s">
        <v>1061</v>
      </c>
      <c r="H332" s="18">
        <v>44958</v>
      </c>
      <c r="I332" t="s">
        <v>345</v>
      </c>
      <c r="J332" t="s">
        <v>23</v>
      </c>
      <c r="K332" s="46" t="s">
        <v>1034</v>
      </c>
      <c r="L332">
        <v>28</v>
      </c>
      <c r="M332" t="s">
        <v>21</v>
      </c>
      <c r="N332">
        <v>4</v>
      </c>
      <c r="O332">
        <v>300</v>
      </c>
      <c r="P332">
        <v>1200</v>
      </c>
      <c r="Q332">
        <v>18</v>
      </c>
      <c r="R332">
        <v>24</v>
      </c>
    </row>
    <row r="333" spans="1:18" x14ac:dyDescent="0.35">
      <c r="A333">
        <v>321</v>
      </c>
      <c r="B333">
        <v>10</v>
      </c>
      <c r="C333">
        <v>6</v>
      </c>
      <c r="D333">
        <v>2023</v>
      </c>
      <c r="E333" t="s">
        <v>1075</v>
      </c>
      <c r="F333" t="s">
        <v>1069</v>
      </c>
      <c r="G333" t="s">
        <v>1061</v>
      </c>
      <c r="H333" s="18">
        <v>45087</v>
      </c>
      <c r="I333" t="s">
        <v>346</v>
      </c>
      <c r="J333" t="s">
        <v>23</v>
      </c>
      <c r="K333" s="46" t="s">
        <v>1034</v>
      </c>
      <c r="L333">
        <v>26</v>
      </c>
      <c r="M333" t="s">
        <v>21</v>
      </c>
      <c r="N333">
        <v>2</v>
      </c>
      <c r="O333">
        <v>25</v>
      </c>
      <c r="P333">
        <v>50</v>
      </c>
      <c r="Q333">
        <v>0.75</v>
      </c>
      <c r="R333">
        <v>1</v>
      </c>
    </row>
    <row r="334" spans="1:18" x14ac:dyDescent="0.35">
      <c r="A334">
        <v>322</v>
      </c>
      <c r="B334">
        <v>30</v>
      </c>
      <c r="C334">
        <v>1</v>
      </c>
      <c r="D334">
        <v>2023</v>
      </c>
      <c r="E334" t="s">
        <v>1067</v>
      </c>
      <c r="F334" t="s">
        <v>1060</v>
      </c>
      <c r="G334" t="s">
        <v>1061</v>
      </c>
      <c r="H334" s="18">
        <v>44956</v>
      </c>
      <c r="I334" t="s">
        <v>347</v>
      </c>
      <c r="J334" t="s">
        <v>20</v>
      </c>
      <c r="K334" s="46" t="s">
        <v>1032</v>
      </c>
      <c r="L334">
        <v>51</v>
      </c>
      <c r="M334" t="s">
        <v>21</v>
      </c>
      <c r="N334">
        <v>1</v>
      </c>
      <c r="O334">
        <v>500</v>
      </c>
      <c r="P334">
        <v>500</v>
      </c>
      <c r="Q334">
        <v>7.5</v>
      </c>
      <c r="R334">
        <v>10</v>
      </c>
    </row>
    <row r="335" spans="1:18" x14ac:dyDescent="0.35">
      <c r="A335">
        <v>323</v>
      </c>
      <c r="B335">
        <v>26</v>
      </c>
      <c r="C335">
        <v>1</v>
      </c>
      <c r="D335">
        <v>2023</v>
      </c>
      <c r="E335" t="s">
        <v>1072</v>
      </c>
      <c r="F335" t="s">
        <v>1060</v>
      </c>
      <c r="G335" t="s">
        <v>1061</v>
      </c>
      <c r="H335" s="18">
        <v>44952</v>
      </c>
      <c r="I335" t="s">
        <v>348</v>
      </c>
      <c r="J335" t="s">
        <v>23</v>
      </c>
      <c r="K335" s="46" t="s">
        <v>1034</v>
      </c>
      <c r="L335">
        <v>29</v>
      </c>
      <c r="M335" t="s">
        <v>21</v>
      </c>
      <c r="N335">
        <v>3</v>
      </c>
      <c r="O335">
        <v>300</v>
      </c>
      <c r="P335">
        <v>900</v>
      </c>
      <c r="Q335">
        <v>13.5</v>
      </c>
      <c r="R335">
        <v>18</v>
      </c>
    </row>
    <row r="336" spans="1:18" x14ac:dyDescent="0.35">
      <c r="A336">
        <v>324</v>
      </c>
      <c r="B336">
        <v>27</v>
      </c>
      <c r="C336">
        <v>10</v>
      </c>
      <c r="D336">
        <v>2023</v>
      </c>
      <c r="E336" t="s">
        <v>1070</v>
      </c>
      <c r="F336" t="s">
        <v>1064</v>
      </c>
      <c r="G336" t="s">
        <v>1061</v>
      </c>
      <c r="H336" s="18">
        <v>45226</v>
      </c>
      <c r="I336" t="s">
        <v>349</v>
      </c>
      <c r="J336" t="s">
        <v>23</v>
      </c>
      <c r="K336" s="46" t="s">
        <v>1032</v>
      </c>
      <c r="L336">
        <v>52</v>
      </c>
      <c r="M336" t="s">
        <v>21</v>
      </c>
      <c r="N336">
        <v>3</v>
      </c>
      <c r="O336">
        <v>50</v>
      </c>
      <c r="P336">
        <v>150</v>
      </c>
      <c r="Q336">
        <v>2.25</v>
      </c>
      <c r="R336">
        <v>3</v>
      </c>
    </row>
    <row r="337" spans="1:18" x14ac:dyDescent="0.35">
      <c r="A337">
        <v>325</v>
      </c>
      <c r="B337">
        <v>2</v>
      </c>
      <c r="C337">
        <v>9</v>
      </c>
      <c r="D337">
        <v>2023</v>
      </c>
      <c r="E337" t="s">
        <v>1075</v>
      </c>
      <c r="F337" t="s">
        <v>1071</v>
      </c>
      <c r="G337" t="s">
        <v>1061</v>
      </c>
      <c r="H337" s="18">
        <v>45171</v>
      </c>
      <c r="I337" t="s">
        <v>350</v>
      </c>
      <c r="J337" t="s">
        <v>23</v>
      </c>
      <c r="K337" s="46" t="s">
        <v>1032</v>
      </c>
      <c r="L337">
        <v>52</v>
      </c>
      <c r="M337" t="s">
        <v>21</v>
      </c>
      <c r="N337">
        <v>2</v>
      </c>
      <c r="O337">
        <v>25</v>
      </c>
      <c r="P337">
        <v>50</v>
      </c>
      <c r="Q337">
        <v>0.75</v>
      </c>
      <c r="R337">
        <v>1</v>
      </c>
    </row>
    <row r="338" spans="1:18" x14ac:dyDescent="0.35">
      <c r="A338">
        <v>326</v>
      </c>
      <c r="B338">
        <v>15</v>
      </c>
      <c r="C338">
        <v>9</v>
      </c>
      <c r="D338">
        <v>2023</v>
      </c>
      <c r="E338" t="s">
        <v>1070</v>
      </c>
      <c r="F338" t="s">
        <v>1071</v>
      </c>
      <c r="G338" t="s">
        <v>1061</v>
      </c>
      <c r="H338" s="18">
        <v>45184</v>
      </c>
      <c r="I338" t="s">
        <v>351</v>
      </c>
      <c r="J338" t="s">
        <v>23</v>
      </c>
      <c r="K338" s="46" t="s">
        <v>1034</v>
      </c>
      <c r="L338">
        <v>18</v>
      </c>
      <c r="M338" t="s">
        <v>21</v>
      </c>
      <c r="N338">
        <v>3</v>
      </c>
      <c r="O338">
        <v>25</v>
      </c>
      <c r="P338">
        <v>75</v>
      </c>
      <c r="Q338">
        <v>1.125</v>
      </c>
      <c r="R338">
        <v>1.5</v>
      </c>
    </row>
    <row r="339" spans="1:18" x14ac:dyDescent="0.35">
      <c r="A339">
        <v>327</v>
      </c>
      <c r="B339">
        <v>29</v>
      </c>
      <c r="C339">
        <v>9</v>
      </c>
      <c r="D339">
        <v>2023</v>
      </c>
      <c r="E339" t="s">
        <v>1070</v>
      </c>
      <c r="F339" t="s">
        <v>1071</v>
      </c>
      <c r="G339" t="s">
        <v>1061</v>
      </c>
      <c r="H339" s="18">
        <v>45198</v>
      </c>
      <c r="I339" t="s">
        <v>352</v>
      </c>
      <c r="J339" t="s">
        <v>20</v>
      </c>
      <c r="K339" s="46" t="s">
        <v>1032</v>
      </c>
      <c r="L339">
        <v>57</v>
      </c>
      <c r="M339" t="s">
        <v>21</v>
      </c>
      <c r="N339">
        <v>3</v>
      </c>
      <c r="O339">
        <v>50</v>
      </c>
      <c r="P339">
        <v>150</v>
      </c>
      <c r="Q339">
        <v>2.25</v>
      </c>
      <c r="R339">
        <v>3</v>
      </c>
    </row>
    <row r="340" spans="1:18" x14ac:dyDescent="0.35">
      <c r="A340">
        <v>328</v>
      </c>
      <c r="B340">
        <v>22</v>
      </c>
      <c r="C340">
        <v>3</v>
      </c>
      <c r="D340">
        <v>2023</v>
      </c>
      <c r="E340" t="s">
        <v>1065</v>
      </c>
      <c r="F340" t="s">
        <v>1066</v>
      </c>
      <c r="G340" t="s">
        <v>1061</v>
      </c>
      <c r="H340" s="18">
        <v>45007</v>
      </c>
      <c r="I340" t="s">
        <v>353</v>
      </c>
      <c r="J340" t="s">
        <v>20</v>
      </c>
      <c r="K340" s="46" t="s">
        <v>1030</v>
      </c>
      <c r="L340">
        <v>39</v>
      </c>
      <c r="M340" t="s">
        <v>21</v>
      </c>
      <c r="N340">
        <v>2</v>
      </c>
      <c r="O340">
        <v>50</v>
      </c>
      <c r="P340">
        <v>100</v>
      </c>
      <c r="Q340">
        <v>1.5</v>
      </c>
      <c r="R340">
        <v>2</v>
      </c>
    </row>
    <row r="341" spans="1:18" x14ac:dyDescent="0.35">
      <c r="A341">
        <v>329</v>
      </c>
      <c r="B341">
        <v>30</v>
      </c>
      <c r="C341">
        <v>1</v>
      </c>
      <c r="D341">
        <v>2023</v>
      </c>
      <c r="E341" t="s">
        <v>1067</v>
      </c>
      <c r="F341" t="s">
        <v>1060</v>
      </c>
      <c r="G341" t="s">
        <v>1061</v>
      </c>
      <c r="H341" s="18">
        <v>44956</v>
      </c>
      <c r="I341" t="s">
        <v>354</v>
      </c>
      <c r="J341" t="s">
        <v>23</v>
      </c>
      <c r="K341" s="46" t="s">
        <v>1030</v>
      </c>
      <c r="L341">
        <v>46</v>
      </c>
      <c r="M341" t="s">
        <v>21</v>
      </c>
      <c r="N341">
        <v>4</v>
      </c>
      <c r="O341">
        <v>25</v>
      </c>
      <c r="P341">
        <v>100</v>
      </c>
      <c r="Q341">
        <v>1.5</v>
      </c>
      <c r="R341">
        <v>2</v>
      </c>
    </row>
    <row r="342" spans="1:18" x14ac:dyDescent="0.35">
      <c r="A342">
        <v>330</v>
      </c>
      <c r="B342">
        <v>18</v>
      </c>
      <c r="C342">
        <v>9</v>
      </c>
      <c r="D342">
        <v>2023</v>
      </c>
      <c r="E342" t="s">
        <v>1067</v>
      </c>
      <c r="F342" t="s">
        <v>1071</v>
      </c>
      <c r="G342" t="s">
        <v>1061</v>
      </c>
      <c r="H342" s="18">
        <v>45187</v>
      </c>
      <c r="I342" t="s">
        <v>355</v>
      </c>
      <c r="J342" t="s">
        <v>23</v>
      </c>
      <c r="K342" s="46" t="s">
        <v>1034</v>
      </c>
      <c r="L342">
        <v>25</v>
      </c>
      <c r="M342" t="s">
        <v>21</v>
      </c>
      <c r="N342">
        <v>4</v>
      </c>
      <c r="O342">
        <v>50</v>
      </c>
      <c r="P342">
        <v>200</v>
      </c>
      <c r="Q342">
        <v>3</v>
      </c>
      <c r="R342">
        <v>4</v>
      </c>
    </row>
    <row r="343" spans="1:18" x14ac:dyDescent="0.35">
      <c r="A343">
        <v>331</v>
      </c>
      <c r="B343">
        <v>11</v>
      </c>
      <c r="C343">
        <v>2</v>
      </c>
      <c r="D343">
        <v>2023</v>
      </c>
      <c r="E343" t="s">
        <v>1075</v>
      </c>
      <c r="F343" t="s">
        <v>1073</v>
      </c>
      <c r="G343" t="s">
        <v>1061</v>
      </c>
      <c r="H343" s="18">
        <v>44968</v>
      </c>
      <c r="I343" t="s">
        <v>356</v>
      </c>
      <c r="J343" t="s">
        <v>20</v>
      </c>
      <c r="K343" s="46" t="s">
        <v>1034</v>
      </c>
      <c r="L343">
        <v>28</v>
      </c>
      <c r="M343" t="s">
        <v>21</v>
      </c>
      <c r="N343">
        <v>3</v>
      </c>
      <c r="O343">
        <v>30</v>
      </c>
      <c r="P343">
        <v>90</v>
      </c>
      <c r="Q343">
        <v>1.3499999999999999</v>
      </c>
      <c r="R343">
        <v>1.8</v>
      </c>
    </row>
    <row r="344" spans="1:18" x14ac:dyDescent="0.35">
      <c r="A344">
        <v>332</v>
      </c>
      <c r="B344">
        <v>6</v>
      </c>
      <c r="C344">
        <v>4</v>
      </c>
      <c r="D344">
        <v>2023</v>
      </c>
      <c r="E344" t="s">
        <v>1072</v>
      </c>
      <c r="F344" t="s">
        <v>1077</v>
      </c>
      <c r="G344" t="s">
        <v>1061</v>
      </c>
      <c r="H344" s="18">
        <v>45022</v>
      </c>
      <c r="I344" t="s">
        <v>357</v>
      </c>
      <c r="J344" t="s">
        <v>20</v>
      </c>
      <c r="K344" s="46" t="s">
        <v>1032</v>
      </c>
      <c r="L344">
        <v>58</v>
      </c>
      <c r="M344" t="s">
        <v>21</v>
      </c>
      <c r="N344">
        <v>4</v>
      </c>
      <c r="O344">
        <v>300</v>
      </c>
      <c r="P344">
        <v>1200</v>
      </c>
      <c r="Q344">
        <v>18</v>
      </c>
      <c r="R344">
        <v>24</v>
      </c>
    </row>
    <row r="345" spans="1:18" x14ac:dyDescent="0.35">
      <c r="A345">
        <v>333</v>
      </c>
      <c r="B345">
        <v>5</v>
      </c>
      <c r="C345">
        <v>2</v>
      </c>
      <c r="D345">
        <v>2023</v>
      </c>
      <c r="E345" t="s">
        <v>1063</v>
      </c>
      <c r="F345" t="s">
        <v>1073</v>
      </c>
      <c r="G345" t="s">
        <v>1061</v>
      </c>
      <c r="H345" s="18">
        <v>44962</v>
      </c>
      <c r="I345" t="s">
        <v>358</v>
      </c>
      <c r="J345" t="s">
        <v>23</v>
      </c>
      <c r="K345" s="46" t="s">
        <v>1032</v>
      </c>
      <c r="L345">
        <v>54</v>
      </c>
      <c r="M345" t="s">
        <v>21</v>
      </c>
      <c r="N345">
        <v>4</v>
      </c>
      <c r="O345">
        <v>300</v>
      </c>
      <c r="P345">
        <v>1200</v>
      </c>
      <c r="Q345">
        <v>18</v>
      </c>
      <c r="R345">
        <v>24</v>
      </c>
    </row>
    <row r="346" spans="1:18" x14ac:dyDescent="0.35">
      <c r="A346">
        <v>334</v>
      </c>
      <c r="B346">
        <v>1</v>
      </c>
      <c r="C346">
        <v>11</v>
      </c>
      <c r="D346">
        <v>2023</v>
      </c>
      <c r="E346" t="s">
        <v>1065</v>
      </c>
      <c r="F346" t="s">
        <v>1068</v>
      </c>
      <c r="G346" t="s">
        <v>1061</v>
      </c>
      <c r="H346" s="18">
        <v>45231</v>
      </c>
      <c r="I346" t="s">
        <v>359</v>
      </c>
      <c r="J346" t="s">
        <v>20</v>
      </c>
      <c r="K346" s="46" t="s">
        <v>1030</v>
      </c>
      <c r="L346">
        <v>31</v>
      </c>
      <c r="M346" t="s">
        <v>21</v>
      </c>
      <c r="N346">
        <v>3</v>
      </c>
      <c r="O346">
        <v>300</v>
      </c>
      <c r="P346">
        <v>900</v>
      </c>
      <c r="Q346">
        <v>13.5</v>
      </c>
      <c r="R346">
        <v>18</v>
      </c>
    </row>
    <row r="347" spans="1:18" x14ac:dyDescent="0.35">
      <c r="A347">
        <v>335</v>
      </c>
      <c r="B347">
        <v>4</v>
      </c>
      <c r="C347">
        <v>2</v>
      </c>
      <c r="D347">
        <v>2023</v>
      </c>
      <c r="E347" t="s">
        <v>1075</v>
      </c>
      <c r="F347" t="s">
        <v>1073</v>
      </c>
      <c r="G347" t="s">
        <v>1061</v>
      </c>
      <c r="H347" s="18">
        <v>44961</v>
      </c>
      <c r="I347" t="s">
        <v>360</v>
      </c>
      <c r="J347" t="s">
        <v>23</v>
      </c>
      <c r="K347" s="46" t="s">
        <v>1030</v>
      </c>
      <c r="L347">
        <v>47</v>
      </c>
      <c r="M347" t="s">
        <v>21</v>
      </c>
      <c r="N347">
        <v>4</v>
      </c>
      <c r="O347">
        <v>30</v>
      </c>
      <c r="P347">
        <v>120</v>
      </c>
      <c r="Q347">
        <v>1.7999999999999998</v>
      </c>
      <c r="R347">
        <v>2.4</v>
      </c>
    </row>
    <row r="348" spans="1:18" x14ac:dyDescent="0.35">
      <c r="A348">
        <v>336</v>
      </c>
      <c r="B348">
        <v>12</v>
      </c>
      <c r="C348">
        <v>12</v>
      </c>
      <c r="D348">
        <v>2023</v>
      </c>
      <c r="E348" t="s">
        <v>1059</v>
      </c>
      <c r="F348" t="s">
        <v>1062</v>
      </c>
      <c r="G348" t="s">
        <v>1061</v>
      </c>
      <c r="H348" s="18">
        <v>45272</v>
      </c>
      <c r="I348" t="s">
        <v>361</v>
      </c>
      <c r="J348" t="s">
        <v>23</v>
      </c>
      <c r="K348" s="46" t="s">
        <v>1032</v>
      </c>
      <c r="L348">
        <v>52</v>
      </c>
      <c r="M348" t="s">
        <v>21</v>
      </c>
      <c r="N348">
        <v>3</v>
      </c>
      <c r="O348">
        <v>50</v>
      </c>
      <c r="P348">
        <v>150</v>
      </c>
      <c r="Q348">
        <v>2.25</v>
      </c>
      <c r="R348">
        <v>3</v>
      </c>
    </row>
    <row r="349" spans="1:18" x14ac:dyDescent="0.35">
      <c r="A349">
        <v>337</v>
      </c>
      <c r="B349">
        <v>1</v>
      </c>
      <c r="C349">
        <v>5</v>
      </c>
      <c r="D349">
        <v>2023</v>
      </c>
      <c r="E349" t="s">
        <v>1067</v>
      </c>
      <c r="F349" t="s">
        <v>1076</v>
      </c>
      <c r="G349" t="s">
        <v>1061</v>
      </c>
      <c r="H349" s="18">
        <v>45047</v>
      </c>
      <c r="I349" t="s">
        <v>362</v>
      </c>
      <c r="J349" t="s">
        <v>20</v>
      </c>
      <c r="K349" s="46" t="s">
        <v>1030</v>
      </c>
      <c r="L349">
        <v>38</v>
      </c>
      <c r="M349" t="s">
        <v>21</v>
      </c>
      <c r="N349">
        <v>1</v>
      </c>
      <c r="O349">
        <v>500</v>
      </c>
      <c r="P349">
        <v>500</v>
      </c>
      <c r="Q349">
        <v>7.5</v>
      </c>
      <c r="R349">
        <v>10</v>
      </c>
    </row>
    <row r="350" spans="1:18" x14ac:dyDescent="0.35">
      <c r="A350">
        <v>338</v>
      </c>
      <c r="B350">
        <v>26</v>
      </c>
      <c r="C350">
        <v>7</v>
      </c>
      <c r="D350">
        <v>2023</v>
      </c>
      <c r="E350" t="s">
        <v>1065</v>
      </c>
      <c r="F350" t="s">
        <v>1078</v>
      </c>
      <c r="G350" t="s">
        <v>1061</v>
      </c>
      <c r="H350" s="18">
        <v>45133</v>
      </c>
      <c r="I350" t="s">
        <v>363</v>
      </c>
      <c r="J350" t="s">
        <v>20</v>
      </c>
      <c r="K350" s="46" t="s">
        <v>1032</v>
      </c>
      <c r="L350">
        <v>54</v>
      </c>
      <c r="M350" t="s">
        <v>21</v>
      </c>
      <c r="N350">
        <v>2</v>
      </c>
      <c r="O350">
        <v>50</v>
      </c>
      <c r="P350">
        <v>100</v>
      </c>
      <c r="Q350">
        <v>1.5</v>
      </c>
      <c r="R350">
        <v>2</v>
      </c>
    </row>
    <row r="351" spans="1:18" x14ac:dyDescent="0.35">
      <c r="A351">
        <v>339</v>
      </c>
      <c r="B351">
        <v>3</v>
      </c>
      <c r="C351">
        <v>3</v>
      </c>
      <c r="D351">
        <v>2023</v>
      </c>
      <c r="E351" t="s">
        <v>1070</v>
      </c>
      <c r="F351" t="s">
        <v>1066</v>
      </c>
      <c r="G351" t="s">
        <v>1061</v>
      </c>
      <c r="H351" s="18">
        <v>44988</v>
      </c>
      <c r="I351" t="s">
        <v>364</v>
      </c>
      <c r="J351" t="s">
        <v>23</v>
      </c>
      <c r="K351" s="46" t="s">
        <v>1034</v>
      </c>
      <c r="L351">
        <v>22</v>
      </c>
      <c r="M351" t="s">
        <v>21</v>
      </c>
      <c r="N351">
        <v>2</v>
      </c>
      <c r="O351">
        <v>25</v>
      </c>
      <c r="P351">
        <v>50</v>
      </c>
      <c r="Q351">
        <v>0.75</v>
      </c>
      <c r="R351">
        <v>1</v>
      </c>
    </row>
    <row r="352" spans="1:18" x14ac:dyDescent="0.35">
      <c r="A352">
        <v>340</v>
      </c>
      <c r="B352">
        <v>19</v>
      </c>
      <c r="C352">
        <v>10</v>
      </c>
      <c r="D352">
        <v>2023</v>
      </c>
      <c r="E352" t="s">
        <v>1072</v>
      </c>
      <c r="F352" t="s">
        <v>1064</v>
      </c>
      <c r="G352" t="s">
        <v>1061</v>
      </c>
      <c r="H352" s="18">
        <v>45218</v>
      </c>
      <c r="I352" t="s">
        <v>365</v>
      </c>
      <c r="J352" t="s">
        <v>23</v>
      </c>
      <c r="K352" s="46" t="s">
        <v>1030</v>
      </c>
      <c r="L352">
        <v>36</v>
      </c>
      <c r="M352" t="s">
        <v>21</v>
      </c>
      <c r="N352">
        <v>4</v>
      </c>
      <c r="O352">
        <v>300</v>
      </c>
      <c r="P352">
        <v>1200</v>
      </c>
      <c r="Q352">
        <v>18</v>
      </c>
      <c r="R352">
        <v>24</v>
      </c>
    </row>
    <row r="353" spans="1:18" x14ac:dyDescent="0.35">
      <c r="A353">
        <v>341</v>
      </c>
      <c r="B353">
        <v>7</v>
      </c>
      <c r="C353">
        <v>5</v>
      </c>
      <c r="D353">
        <v>2023</v>
      </c>
      <c r="E353" t="s">
        <v>1063</v>
      </c>
      <c r="F353" t="s">
        <v>1076</v>
      </c>
      <c r="G353" t="s">
        <v>1061</v>
      </c>
      <c r="H353" s="18">
        <v>45053</v>
      </c>
      <c r="I353" t="s">
        <v>366</v>
      </c>
      <c r="J353" t="s">
        <v>20</v>
      </c>
      <c r="K353" s="46" t="s">
        <v>1030</v>
      </c>
      <c r="L353">
        <v>31</v>
      </c>
      <c r="M353" t="s">
        <v>21</v>
      </c>
      <c r="N353">
        <v>4</v>
      </c>
      <c r="O353">
        <v>50</v>
      </c>
      <c r="P353">
        <v>200</v>
      </c>
      <c r="Q353">
        <v>3</v>
      </c>
      <c r="R353">
        <v>4</v>
      </c>
    </row>
    <row r="354" spans="1:18" x14ac:dyDescent="0.35">
      <c r="A354">
        <v>342</v>
      </c>
      <c r="B354">
        <v>24</v>
      </c>
      <c r="C354">
        <v>10</v>
      </c>
      <c r="D354">
        <v>2023</v>
      </c>
      <c r="E354" t="s">
        <v>1059</v>
      </c>
      <c r="F354" t="s">
        <v>1064</v>
      </c>
      <c r="G354" t="s">
        <v>1061</v>
      </c>
      <c r="H354" s="18">
        <v>45223</v>
      </c>
      <c r="I354" t="s">
        <v>367</v>
      </c>
      <c r="J354" t="s">
        <v>23</v>
      </c>
      <c r="K354" s="46" t="s">
        <v>1030</v>
      </c>
      <c r="L354">
        <v>43</v>
      </c>
      <c r="M354" t="s">
        <v>21</v>
      </c>
      <c r="N354">
        <v>4</v>
      </c>
      <c r="O354">
        <v>500</v>
      </c>
      <c r="P354">
        <v>2000</v>
      </c>
      <c r="Q354">
        <v>30</v>
      </c>
      <c r="R354">
        <v>40</v>
      </c>
    </row>
    <row r="355" spans="1:18" x14ac:dyDescent="0.35">
      <c r="A355">
        <v>343</v>
      </c>
      <c r="B355">
        <v>1</v>
      </c>
      <c r="C355">
        <v>11</v>
      </c>
      <c r="D355">
        <v>2023</v>
      </c>
      <c r="E355" t="s">
        <v>1065</v>
      </c>
      <c r="F355" t="s">
        <v>1068</v>
      </c>
      <c r="G355" t="s">
        <v>1061</v>
      </c>
      <c r="H355" s="18">
        <v>45231</v>
      </c>
      <c r="I355" t="s">
        <v>368</v>
      </c>
      <c r="J355" t="s">
        <v>20</v>
      </c>
      <c r="K355" s="46" t="s">
        <v>1034</v>
      </c>
      <c r="L355">
        <v>21</v>
      </c>
      <c r="M355" t="s">
        <v>21</v>
      </c>
      <c r="N355">
        <v>2</v>
      </c>
      <c r="O355">
        <v>25</v>
      </c>
      <c r="P355">
        <v>50</v>
      </c>
      <c r="Q355">
        <v>0.75</v>
      </c>
      <c r="R355">
        <v>1</v>
      </c>
    </row>
    <row r="356" spans="1:18" x14ac:dyDescent="0.35">
      <c r="A356">
        <v>344</v>
      </c>
      <c r="B356">
        <v>21</v>
      </c>
      <c r="C356">
        <v>1</v>
      </c>
      <c r="D356">
        <v>2023</v>
      </c>
      <c r="E356" t="s">
        <v>1075</v>
      </c>
      <c r="F356" t="s">
        <v>1060</v>
      </c>
      <c r="G356" t="s">
        <v>1061</v>
      </c>
      <c r="H356" s="18">
        <v>44947</v>
      </c>
      <c r="I356" t="s">
        <v>369</v>
      </c>
      <c r="J356" t="s">
        <v>23</v>
      </c>
      <c r="K356" s="46" t="s">
        <v>1030</v>
      </c>
      <c r="L356">
        <v>42</v>
      </c>
      <c r="M356" t="s">
        <v>21</v>
      </c>
      <c r="N356">
        <v>1</v>
      </c>
      <c r="O356">
        <v>30</v>
      </c>
      <c r="P356">
        <v>30</v>
      </c>
      <c r="Q356">
        <v>0.44999999999999996</v>
      </c>
      <c r="R356">
        <v>0.6</v>
      </c>
    </row>
    <row r="357" spans="1:18" x14ac:dyDescent="0.35">
      <c r="A357">
        <v>345</v>
      </c>
      <c r="B357">
        <v>14</v>
      </c>
      <c r="C357">
        <v>11</v>
      </c>
      <c r="D357">
        <v>2023</v>
      </c>
      <c r="E357" t="s">
        <v>1059</v>
      </c>
      <c r="F357" t="s">
        <v>1068</v>
      </c>
      <c r="G357" t="s">
        <v>1061</v>
      </c>
      <c r="H357" s="18">
        <v>45244</v>
      </c>
      <c r="I357" t="s">
        <v>370</v>
      </c>
      <c r="J357" t="s">
        <v>20</v>
      </c>
      <c r="K357" s="46" t="s">
        <v>1032</v>
      </c>
      <c r="L357">
        <v>62</v>
      </c>
      <c r="M357" t="s">
        <v>21</v>
      </c>
      <c r="N357">
        <v>1</v>
      </c>
      <c r="O357">
        <v>30</v>
      </c>
      <c r="P357">
        <v>30</v>
      </c>
      <c r="Q357">
        <v>0.44999999999999996</v>
      </c>
      <c r="R357">
        <v>0.6</v>
      </c>
    </row>
    <row r="358" spans="1:18" x14ac:dyDescent="0.35">
      <c r="A358">
        <v>346</v>
      </c>
      <c r="B358">
        <v>11</v>
      </c>
      <c r="C358">
        <v>2</v>
      </c>
      <c r="D358">
        <v>2023</v>
      </c>
      <c r="E358" t="s">
        <v>1075</v>
      </c>
      <c r="F358" t="s">
        <v>1073</v>
      </c>
      <c r="G358" t="s">
        <v>1061</v>
      </c>
      <c r="H358" s="18">
        <v>44968</v>
      </c>
      <c r="I358" t="s">
        <v>371</v>
      </c>
      <c r="J358" t="s">
        <v>20</v>
      </c>
      <c r="K358" s="46" t="s">
        <v>1032</v>
      </c>
      <c r="L358">
        <v>59</v>
      </c>
      <c r="M358" t="s">
        <v>21</v>
      </c>
      <c r="N358">
        <v>2</v>
      </c>
      <c r="O358">
        <v>500</v>
      </c>
      <c r="P358">
        <v>1000</v>
      </c>
      <c r="Q358">
        <v>15</v>
      </c>
      <c r="R358">
        <v>20</v>
      </c>
    </row>
    <row r="359" spans="1:18" x14ac:dyDescent="0.35">
      <c r="A359">
        <v>347</v>
      </c>
      <c r="B359">
        <v>3</v>
      </c>
      <c r="C359">
        <v>8</v>
      </c>
      <c r="D359">
        <v>2023</v>
      </c>
      <c r="E359" t="s">
        <v>1072</v>
      </c>
      <c r="F359" t="s">
        <v>1074</v>
      </c>
      <c r="G359" t="s">
        <v>1061</v>
      </c>
      <c r="H359" s="18">
        <v>45141</v>
      </c>
      <c r="I359" t="s">
        <v>372</v>
      </c>
      <c r="J359" t="s">
        <v>20</v>
      </c>
      <c r="K359" s="46" t="s">
        <v>1030</v>
      </c>
      <c r="L359">
        <v>42</v>
      </c>
      <c r="M359" t="s">
        <v>21</v>
      </c>
      <c r="N359">
        <v>1</v>
      </c>
      <c r="O359">
        <v>25</v>
      </c>
      <c r="P359">
        <v>25</v>
      </c>
      <c r="Q359">
        <v>0.375</v>
      </c>
      <c r="R359">
        <v>0.5</v>
      </c>
    </row>
    <row r="360" spans="1:18" x14ac:dyDescent="0.35">
      <c r="A360">
        <v>348</v>
      </c>
      <c r="B360">
        <v>3</v>
      </c>
      <c r="C360">
        <v>12</v>
      </c>
      <c r="D360">
        <v>2023</v>
      </c>
      <c r="E360" t="s">
        <v>1063</v>
      </c>
      <c r="F360" t="s">
        <v>1062</v>
      </c>
      <c r="G360" t="s">
        <v>1061</v>
      </c>
      <c r="H360" s="18">
        <v>45263</v>
      </c>
      <c r="I360" t="s">
        <v>373</v>
      </c>
      <c r="J360" t="s">
        <v>23</v>
      </c>
      <c r="K360" s="46" t="s">
        <v>1030</v>
      </c>
      <c r="L360">
        <v>35</v>
      </c>
      <c r="M360" t="s">
        <v>21</v>
      </c>
      <c r="N360">
        <v>2</v>
      </c>
      <c r="O360">
        <v>300</v>
      </c>
      <c r="P360">
        <v>600</v>
      </c>
      <c r="Q360">
        <v>9</v>
      </c>
      <c r="R360">
        <v>12</v>
      </c>
    </row>
    <row r="361" spans="1:18" x14ac:dyDescent="0.35">
      <c r="A361">
        <v>349</v>
      </c>
      <c r="B361">
        <v>26</v>
      </c>
      <c r="C361">
        <v>10</v>
      </c>
      <c r="D361">
        <v>2023</v>
      </c>
      <c r="E361" t="s">
        <v>1072</v>
      </c>
      <c r="F361" t="s">
        <v>1064</v>
      </c>
      <c r="G361" t="s">
        <v>1061</v>
      </c>
      <c r="H361" s="18">
        <v>45225</v>
      </c>
      <c r="I361" t="s">
        <v>374</v>
      </c>
      <c r="J361" t="s">
        <v>23</v>
      </c>
      <c r="K361" s="46" t="s">
        <v>1032</v>
      </c>
      <c r="L361">
        <v>57</v>
      </c>
      <c r="M361" t="s">
        <v>21</v>
      </c>
      <c r="N361">
        <v>1</v>
      </c>
      <c r="O361">
        <v>50</v>
      </c>
      <c r="P361">
        <v>50</v>
      </c>
      <c r="Q361">
        <v>0.75</v>
      </c>
      <c r="R361">
        <v>1</v>
      </c>
    </row>
    <row r="362" spans="1:18" x14ac:dyDescent="0.35">
      <c r="A362">
        <v>350</v>
      </c>
      <c r="B362">
        <v>17</v>
      </c>
      <c r="C362">
        <v>10</v>
      </c>
      <c r="D362">
        <v>2023</v>
      </c>
      <c r="E362" t="s">
        <v>1059</v>
      </c>
      <c r="F362" t="s">
        <v>1064</v>
      </c>
      <c r="G362" t="s">
        <v>1061</v>
      </c>
      <c r="H362" s="18">
        <v>45216</v>
      </c>
      <c r="I362" t="s">
        <v>375</v>
      </c>
      <c r="J362" t="s">
        <v>20</v>
      </c>
      <c r="K362" s="46" t="s">
        <v>1034</v>
      </c>
      <c r="L362">
        <v>25</v>
      </c>
      <c r="M362" t="s">
        <v>21</v>
      </c>
      <c r="N362">
        <v>3</v>
      </c>
      <c r="O362">
        <v>25</v>
      </c>
      <c r="P362">
        <v>75</v>
      </c>
      <c r="Q362">
        <v>1.125</v>
      </c>
      <c r="R362">
        <v>1.5</v>
      </c>
    </row>
    <row r="363" spans="1:18" x14ac:dyDescent="0.35">
      <c r="A363">
        <v>351</v>
      </c>
      <c r="B363">
        <v>25</v>
      </c>
      <c r="C363">
        <v>9</v>
      </c>
      <c r="D363">
        <v>2023</v>
      </c>
      <c r="E363" t="s">
        <v>1067</v>
      </c>
      <c r="F363" t="s">
        <v>1071</v>
      </c>
      <c r="G363" t="s">
        <v>1061</v>
      </c>
      <c r="H363" s="18">
        <v>45194</v>
      </c>
      <c r="I363" t="s">
        <v>376</v>
      </c>
      <c r="J363" t="s">
        <v>23</v>
      </c>
      <c r="K363" s="46" t="s">
        <v>1032</v>
      </c>
      <c r="L363">
        <v>56</v>
      </c>
      <c r="M363" t="s">
        <v>21</v>
      </c>
      <c r="N363">
        <v>3</v>
      </c>
      <c r="O363">
        <v>30</v>
      </c>
      <c r="P363">
        <v>90</v>
      </c>
      <c r="Q363">
        <v>1.3499999999999999</v>
      </c>
      <c r="R363">
        <v>1.8</v>
      </c>
    </row>
    <row r="364" spans="1:18" x14ac:dyDescent="0.35">
      <c r="A364">
        <v>352</v>
      </c>
      <c r="B364">
        <v>11</v>
      </c>
      <c r="C364">
        <v>6</v>
      </c>
      <c r="D364">
        <v>2023</v>
      </c>
      <c r="E364" t="s">
        <v>1063</v>
      </c>
      <c r="F364" t="s">
        <v>1069</v>
      </c>
      <c r="G364" t="s">
        <v>1061</v>
      </c>
      <c r="H364" s="18">
        <v>45088</v>
      </c>
      <c r="I364" t="s">
        <v>377</v>
      </c>
      <c r="J364" t="s">
        <v>20</v>
      </c>
      <c r="K364" s="46" t="s">
        <v>1032</v>
      </c>
      <c r="L364">
        <v>57</v>
      </c>
      <c r="M364" t="s">
        <v>21</v>
      </c>
      <c r="N364">
        <v>2</v>
      </c>
      <c r="O364">
        <v>500</v>
      </c>
      <c r="P364">
        <v>1000</v>
      </c>
      <c r="Q364">
        <v>15</v>
      </c>
      <c r="R364">
        <v>20</v>
      </c>
    </row>
    <row r="365" spans="1:18" x14ac:dyDescent="0.35">
      <c r="A365">
        <v>353</v>
      </c>
      <c r="B365">
        <v>14</v>
      </c>
      <c r="C365">
        <v>5</v>
      </c>
      <c r="D365">
        <v>2023</v>
      </c>
      <c r="E365" t="s">
        <v>1063</v>
      </c>
      <c r="F365" t="s">
        <v>1076</v>
      </c>
      <c r="G365" t="s">
        <v>1061</v>
      </c>
      <c r="H365" s="18">
        <v>45060</v>
      </c>
      <c r="I365" t="s">
        <v>378</v>
      </c>
      <c r="J365" t="s">
        <v>20</v>
      </c>
      <c r="K365" s="46" t="s">
        <v>1030</v>
      </c>
      <c r="L365">
        <v>31</v>
      </c>
      <c r="M365" t="s">
        <v>21</v>
      </c>
      <c r="N365">
        <v>1</v>
      </c>
      <c r="O365">
        <v>500</v>
      </c>
      <c r="P365">
        <v>500</v>
      </c>
      <c r="Q365">
        <v>7.5</v>
      </c>
      <c r="R365">
        <v>10</v>
      </c>
    </row>
    <row r="366" spans="1:18" x14ac:dyDescent="0.35">
      <c r="A366">
        <v>354</v>
      </c>
      <c r="B366">
        <v>15</v>
      </c>
      <c r="C366">
        <v>4</v>
      </c>
      <c r="D366">
        <v>2023</v>
      </c>
      <c r="E366" t="s">
        <v>1075</v>
      </c>
      <c r="F366" t="s">
        <v>1077</v>
      </c>
      <c r="G366" t="s">
        <v>1061</v>
      </c>
      <c r="H366" s="18">
        <v>45031</v>
      </c>
      <c r="I366" t="s">
        <v>379</v>
      </c>
      <c r="J366" t="s">
        <v>23</v>
      </c>
      <c r="K366" s="46" t="s">
        <v>1030</v>
      </c>
      <c r="L366">
        <v>49</v>
      </c>
      <c r="M366" t="s">
        <v>21</v>
      </c>
      <c r="N366">
        <v>4</v>
      </c>
      <c r="O366">
        <v>50</v>
      </c>
      <c r="P366">
        <v>200</v>
      </c>
      <c r="Q366">
        <v>3</v>
      </c>
      <c r="R366">
        <v>4</v>
      </c>
    </row>
    <row r="367" spans="1:18" x14ac:dyDescent="0.35">
      <c r="A367">
        <v>355</v>
      </c>
      <c r="B367">
        <v>9</v>
      </c>
      <c r="C367">
        <v>12</v>
      </c>
      <c r="D367">
        <v>2023</v>
      </c>
      <c r="E367" t="s">
        <v>1075</v>
      </c>
      <c r="F367" t="s">
        <v>1062</v>
      </c>
      <c r="G367" t="s">
        <v>1061</v>
      </c>
      <c r="H367" s="18">
        <v>45269</v>
      </c>
      <c r="I367" t="s">
        <v>380</v>
      </c>
      <c r="J367" t="s">
        <v>23</v>
      </c>
      <c r="K367" s="46" t="s">
        <v>1032</v>
      </c>
      <c r="L367">
        <v>55</v>
      </c>
      <c r="M367" t="s">
        <v>21</v>
      </c>
      <c r="N367">
        <v>1</v>
      </c>
      <c r="O367">
        <v>500</v>
      </c>
      <c r="P367">
        <v>500</v>
      </c>
      <c r="Q367">
        <v>7.5</v>
      </c>
      <c r="R367">
        <v>10</v>
      </c>
    </row>
    <row r="368" spans="1:18" x14ac:dyDescent="0.35">
      <c r="A368">
        <v>356</v>
      </c>
      <c r="B368">
        <v>10</v>
      </c>
      <c r="C368">
        <v>6</v>
      </c>
      <c r="D368">
        <v>2023</v>
      </c>
      <c r="E368" t="s">
        <v>1075</v>
      </c>
      <c r="F368" t="s">
        <v>1069</v>
      </c>
      <c r="G368" t="s">
        <v>1061</v>
      </c>
      <c r="H368" s="18">
        <v>45087</v>
      </c>
      <c r="I368" t="s">
        <v>381</v>
      </c>
      <c r="J368" t="s">
        <v>20</v>
      </c>
      <c r="K368" s="46" t="s">
        <v>1030</v>
      </c>
      <c r="L368">
        <v>50</v>
      </c>
      <c r="M368" t="s">
        <v>21</v>
      </c>
      <c r="N368">
        <v>3</v>
      </c>
      <c r="O368">
        <v>500</v>
      </c>
      <c r="P368">
        <v>1500</v>
      </c>
      <c r="Q368">
        <v>22.5</v>
      </c>
      <c r="R368">
        <v>30</v>
      </c>
    </row>
    <row r="369" spans="1:18" x14ac:dyDescent="0.35">
      <c r="A369">
        <v>357</v>
      </c>
      <c r="B369">
        <v>3</v>
      </c>
      <c r="C369">
        <v>5</v>
      </c>
      <c r="D369">
        <v>2023</v>
      </c>
      <c r="E369" t="s">
        <v>1065</v>
      </c>
      <c r="F369" t="s">
        <v>1076</v>
      </c>
      <c r="G369" t="s">
        <v>1061</v>
      </c>
      <c r="H369" s="18">
        <v>45049</v>
      </c>
      <c r="I369" t="s">
        <v>382</v>
      </c>
      <c r="J369" t="s">
        <v>23</v>
      </c>
      <c r="K369" s="46" t="s">
        <v>1030</v>
      </c>
      <c r="L369">
        <v>40</v>
      </c>
      <c r="M369" t="s">
        <v>21</v>
      </c>
      <c r="N369">
        <v>3</v>
      </c>
      <c r="O369">
        <v>25</v>
      </c>
      <c r="P369">
        <v>75</v>
      </c>
      <c r="Q369">
        <v>1.125</v>
      </c>
      <c r="R369">
        <v>1.5</v>
      </c>
    </row>
    <row r="370" spans="1:18" x14ac:dyDescent="0.35">
      <c r="A370">
        <v>358</v>
      </c>
      <c r="B370">
        <v>16</v>
      </c>
      <c r="C370">
        <v>5</v>
      </c>
      <c r="D370">
        <v>2023</v>
      </c>
      <c r="E370" t="s">
        <v>1059</v>
      </c>
      <c r="F370" t="s">
        <v>1076</v>
      </c>
      <c r="G370" t="s">
        <v>1061</v>
      </c>
      <c r="H370" s="18">
        <v>45062</v>
      </c>
      <c r="I370" t="s">
        <v>383</v>
      </c>
      <c r="J370" t="s">
        <v>23</v>
      </c>
      <c r="K370" s="46" t="s">
        <v>1030</v>
      </c>
      <c r="L370">
        <v>32</v>
      </c>
      <c r="M370" t="s">
        <v>21</v>
      </c>
      <c r="N370">
        <v>1</v>
      </c>
      <c r="O370">
        <v>300</v>
      </c>
      <c r="P370">
        <v>300</v>
      </c>
      <c r="Q370">
        <v>4.5</v>
      </c>
      <c r="R370">
        <v>6</v>
      </c>
    </row>
    <row r="371" spans="1:18" x14ac:dyDescent="0.35">
      <c r="A371">
        <v>359</v>
      </c>
      <c r="B371">
        <v>22</v>
      </c>
      <c r="C371">
        <v>7</v>
      </c>
      <c r="D371">
        <v>2023</v>
      </c>
      <c r="E371" t="s">
        <v>1075</v>
      </c>
      <c r="F371" t="s">
        <v>1078</v>
      </c>
      <c r="G371" t="s">
        <v>1061</v>
      </c>
      <c r="H371" s="18">
        <v>45129</v>
      </c>
      <c r="I371" t="s">
        <v>384</v>
      </c>
      <c r="J371" t="s">
        <v>20</v>
      </c>
      <c r="K371" s="46" t="s">
        <v>1030</v>
      </c>
      <c r="L371">
        <v>50</v>
      </c>
      <c r="M371" t="s">
        <v>21</v>
      </c>
      <c r="N371">
        <v>1</v>
      </c>
      <c r="O371">
        <v>50</v>
      </c>
      <c r="P371">
        <v>50</v>
      </c>
      <c r="Q371">
        <v>0.75</v>
      </c>
      <c r="R371">
        <v>1</v>
      </c>
    </row>
    <row r="372" spans="1:18" x14ac:dyDescent="0.35">
      <c r="A372">
        <v>360</v>
      </c>
      <c r="B372">
        <v>9</v>
      </c>
      <c r="C372">
        <v>3</v>
      </c>
      <c r="D372">
        <v>2023</v>
      </c>
      <c r="E372" t="s">
        <v>1072</v>
      </c>
      <c r="F372" t="s">
        <v>1066</v>
      </c>
      <c r="G372" t="s">
        <v>1061</v>
      </c>
      <c r="H372" s="18">
        <v>44994</v>
      </c>
      <c r="I372" t="s">
        <v>385</v>
      </c>
      <c r="J372" t="s">
        <v>20</v>
      </c>
      <c r="K372" s="46" t="s">
        <v>1030</v>
      </c>
      <c r="L372">
        <v>42</v>
      </c>
      <c r="M372" t="s">
        <v>21</v>
      </c>
      <c r="N372">
        <v>4</v>
      </c>
      <c r="O372">
        <v>25</v>
      </c>
      <c r="P372">
        <v>100</v>
      </c>
      <c r="Q372">
        <v>1.5</v>
      </c>
      <c r="R372">
        <v>2</v>
      </c>
    </row>
    <row r="373" spans="1:18" x14ac:dyDescent="0.35">
      <c r="A373">
        <v>361</v>
      </c>
      <c r="B373">
        <v>10</v>
      </c>
      <c r="C373">
        <v>12</v>
      </c>
      <c r="D373">
        <v>2023</v>
      </c>
      <c r="E373" t="s">
        <v>1063</v>
      </c>
      <c r="F373" t="s">
        <v>1062</v>
      </c>
      <c r="G373" t="s">
        <v>1061</v>
      </c>
      <c r="H373" s="18">
        <v>45270</v>
      </c>
      <c r="I373" t="s">
        <v>386</v>
      </c>
      <c r="J373" t="s">
        <v>23</v>
      </c>
      <c r="K373" s="46" t="s">
        <v>1030</v>
      </c>
      <c r="L373">
        <v>34</v>
      </c>
      <c r="M373" t="s">
        <v>21</v>
      </c>
      <c r="N373">
        <v>4</v>
      </c>
      <c r="O373">
        <v>300</v>
      </c>
      <c r="P373">
        <v>1200</v>
      </c>
      <c r="Q373">
        <v>18</v>
      </c>
      <c r="R373">
        <v>24</v>
      </c>
    </row>
    <row r="374" spans="1:18" x14ac:dyDescent="0.35">
      <c r="A374">
        <v>362</v>
      </c>
      <c r="B374">
        <v>27</v>
      </c>
      <c r="C374">
        <v>11</v>
      </c>
      <c r="D374">
        <v>2023</v>
      </c>
      <c r="E374" t="s">
        <v>1067</v>
      </c>
      <c r="F374" t="s">
        <v>1068</v>
      </c>
      <c r="G374" t="s">
        <v>1061</v>
      </c>
      <c r="H374" s="18">
        <v>45257</v>
      </c>
      <c r="I374" t="s">
        <v>387</v>
      </c>
      <c r="J374" t="s">
        <v>20</v>
      </c>
      <c r="K374" s="46" t="s">
        <v>1030</v>
      </c>
      <c r="L374">
        <v>50</v>
      </c>
      <c r="M374" t="s">
        <v>21</v>
      </c>
      <c r="N374">
        <v>1</v>
      </c>
      <c r="O374">
        <v>25</v>
      </c>
      <c r="P374">
        <v>25</v>
      </c>
      <c r="Q374">
        <v>0.375</v>
      </c>
      <c r="R374">
        <v>0.5</v>
      </c>
    </row>
    <row r="375" spans="1:18" x14ac:dyDescent="0.35">
      <c r="A375">
        <v>363</v>
      </c>
      <c r="B375">
        <v>3</v>
      </c>
      <c r="C375">
        <v>6</v>
      </c>
      <c r="D375">
        <v>2023</v>
      </c>
      <c r="E375" t="s">
        <v>1075</v>
      </c>
      <c r="F375" t="s">
        <v>1069</v>
      </c>
      <c r="G375" t="s">
        <v>1061</v>
      </c>
      <c r="H375" s="18">
        <v>45080</v>
      </c>
      <c r="I375" t="s">
        <v>388</v>
      </c>
      <c r="J375" t="s">
        <v>20</v>
      </c>
      <c r="K375" s="46" t="s">
        <v>1032</v>
      </c>
      <c r="L375">
        <v>64</v>
      </c>
      <c r="M375" t="s">
        <v>21</v>
      </c>
      <c r="N375">
        <v>1</v>
      </c>
      <c r="O375">
        <v>25</v>
      </c>
      <c r="P375">
        <v>25</v>
      </c>
      <c r="Q375">
        <v>0.375</v>
      </c>
      <c r="R375">
        <v>0.5</v>
      </c>
    </row>
    <row r="376" spans="1:18" x14ac:dyDescent="0.35">
      <c r="A376">
        <v>364</v>
      </c>
      <c r="B376">
        <v>23</v>
      </c>
      <c r="C376">
        <v>8</v>
      </c>
      <c r="D376">
        <v>2023</v>
      </c>
      <c r="E376" t="s">
        <v>1065</v>
      </c>
      <c r="F376" t="s">
        <v>1074</v>
      </c>
      <c r="G376" t="s">
        <v>1061</v>
      </c>
      <c r="H376" s="18">
        <v>45161</v>
      </c>
      <c r="I376" t="s">
        <v>389</v>
      </c>
      <c r="J376" t="s">
        <v>23</v>
      </c>
      <c r="K376" s="46" t="s">
        <v>1034</v>
      </c>
      <c r="L376">
        <v>19</v>
      </c>
      <c r="M376" t="s">
        <v>21</v>
      </c>
      <c r="N376">
        <v>1</v>
      </c>
      <c r="O376">
        <v>500</v>
      </c>
      <c r="P376">
        <v>500</v>
      </c>
      <c r="Q376">
        <v>7.5</v>
      </c>
      <c r="R376">
        <v>10</v>
      </c>
    </row>
    <row r="377" spans="1:18" x14ac:dyDescent="0.35">
      <c r="A377">
        <v>365</v>
      </c>
      <c r="B377">
        <v>11</v>
      </c>
      <c r="C377">
        <v>6</v>
      </c>
      <c r="D377">
        <v>2023</v>
      </c>
      <c r="E377" t="s">
        <v>1063</v>
      </c>
      <c r="F377" t="s">
        <v>1069</v>
      </c>
      <c r="G377" t="s">
        <v>1061</v>
      </c>
      <c r="H377" s="18">
        <v>45088</v>
      </c>
      <c r="I377" t="s">
        <v>390</v>
      </c>
      <c r="J377" t="s">
        <v>20</v>
      </c>
      <c r="K377" s="46" t="s">
        <v>1030</v>
      </c>
      <c r="L377">
        <v>31</v>
      </c>
      <c r="M377" t="s">
        <v>21</v>
      </c>
      <c r="N377">
        <v>1</v>
      </c>
      <c r="O377">
        <v>300</v>
      </c>
      <c r="P377">
        <v>300</v>
      </c>
      <c r="Q377">
        <v>4.5</v>
      </c>
      <c r="R377">
        <v>6</v>
      </c>
    </row>
    <row r="378" spans="1:18" x14ac:dyDescent="0.35">
      <c r="A378">
        <v>366</v>
      </c>
      <c r="B378">
        <v>7</v>
      </c>
      <c r="C378">
        <v>2</v>
      </c>
      <c r="D378">
        <v>2023</v>
      </c>
      <c r="E378" t="s">
        <v>1059</v>
      </c>
      <c r="F378" t="s">
        <v>1073</v>
      </c>
      <c r="G378" t="s">
        <v>1061</v>
      </c>
      <c r="H378" s="18">
        <v>44964</v>
      </c>
      <c r="I378" t="s">
        <v>391</v>
      </c>
      <c r="J378" t="s">
        <v>20</v>
      </c>
      <c r="K378" s="46" t="s">
        <v>1032</v>
      </c>
      <c r="L378">
        <v>57</v>
      </c>
      <c r="M378" t="s">
        <v>21</v>
      </c>
      <c r="N378">
        <v>2</v>
      </c>
      <c r="O378">
        <v>50</v>
      </c>
      <c r="P378">
        <v>100</v>
      </c>
      <c r="Q378">
        <v>1.5</v>
      </c>
      <c r="R378">
        <v>2</v>
      </c>
    </row>
    <row r="379" spans="1:18" x14ac:dyDescent="0.35">
      <c r="A379">
        <v>367</v>
      </c>
      <c r="B379">
        <v>5</v>
      </c>
      <c r="C379">
        <v>1</v>
      </c>
      <c r="D379">
        <v>2023</v>
      </c>
      <c r="E379" t="s">
        <v>1072</v>
      </c>
      <c r="F379" t="s">
        <v>1060</v>
      </c>
      <c r="G379" t="s">
        <v>1061</v>
      </c>
      <c r="H379" s="18">
        <v>44931</v>
      </c>
      <c r="I379" t="s">
        <v>392</v>
      </c>
      <c r="J379" t="s">
        <v>23</v>
      </c>
      <c r="K379" s="46" t="s">
        <v>1032</v>
      </c>
      <c r="L379">
        <v>57</v>
      </c>
      <c r="M379" t="s">
        <v>21</v>
      </c>
      <c r="N379">
        <v>1</v>
      </c>
      <c r="O379">
        <v>50</v>
      </c>
      <c r="P379">
        <v>50</v>
      </c>
      <c r="Q379">
        <v>0.75</v>
      </c>
      <c r="R379">
        <v>1</v>
      </c>
    </row>
    <row r="380" spans="1:18" x14ac:dyDescent="0.35">
      <c r="A380">
        <v>368</v>
      </c>
      <c r="B380">
        <v>23</v>
      </c>
      <c r="C380">
        <v>8</v>
      </c>
      <c r="D380">
        <v>2023</v>
      </c>
      <c r="E380" t="s">
        <v>1065</v>
      </c>
      <c r="F380" t="s">
        <v>1074</v>
      </c>
      <c r="G380" t="s">
        <v>1061</v>
      </c>
      <c r="H380" s="18">
        <v>45161</v>
      </c>
      <c r="I380" t="s">
        <v>393</v>
      </c>
      <c r="J380" t="s">
        <v>23</v>
      </c>
      <c r="K380" s="46" t="s">
        <v>1032</v>
      </c>
      <c r="L380">
        <v>56</v>
      </c>
      <c r="M380" t="s">
        <v>21</v>
      </c>
      <c r="N380">
        <v>4</v>
      </c>
      <c r="O380">
        <v>300</v>
      </c>
      <c r="P380">
        <v>1200</v>
      </c>
      <c r="Q380">
        <v>18</v>
      </c>
      <c r="R380">
        <v>24</v>
      </c>
    </row>
    <row r="381" spans="1:18" x14ac:dyDescent="0.35">
      <c r="A381">
        <v>369</v>
      </c>
      <c r="B381">
        <v>15</v>
      </c>
      <c r="C381">
        <v>11</v>
      </c>
      <c r="D381">
        <v>2023</v>
      </c>
      <c r="E381" t="s">
        <v>1065</v>
      </c>
      <c r="F381" t="s">
        <v>1068</v>
      </c>
      <c r="G381" t="s">
        <v>1061</v>
      </c>
      <c r="H381" s="18">
        <v>45245</v>
      </c>
      <c r="I381" t="s">
        <v>394</v>
      </c>
      <c r="J381" t="s">
        <v>20</v>
      </c>
      <c r="K381" s="46" t="s">
        <v>1034</v>
      </c>
      <c r="L381">
        <v>23</v>
      </c>
      <c r="M381" t="s">
        <v>21</v>
      </c>
      <c r="N381">
        <v>3</v>
      </c>
      <c r="O381">
        <v>500</v>
      </c>
      <c r="P381">
        <v>1500</v>
      </c>
      <c r="Q381">
        <v>22.5</v>
      </c>
      <c r="R381">
        <v>30</v>
      </c>
    </row>
    <row r="382" spans="1:18" x14ac:dyDescent="0.35">
      <c r="A382">
        <v>370</v>
      </c>
      <c r="B382">
        <v>16</v>
      </c>
      <c r="C382">
        <v>10</v>
      </c>
      <c r="D382">
        <v>2023</v>
      </c>
      <c r="E382" t="s">
        <v>1067</v>
      </c>
      <c r="F382" t="s">
        <v>1064</v>
      </c>
      <c r="G382" t="s">
        <v>1061</v>
      </c>
      <c r="H382" s="18">
        <v>45215</v>
      </c>
      <c r="I382" t="s">
        <v>395</v>
      </c>
      <c r="J382" t="s">
        <v>20</v>
      </c>
      <c r="K382" s="46" t="s">
        <v>1034</v>
      </c>
      <c r="L382">
        <v>23</v>
      </c>
      <c r="M382" t="s">
        <v>21</v>
      </c>
      <c r="N382">
        <v>2</v>
      </c>
      <c r="O382">
        <v>30</v>
      </c>
      <c r="P382">
        <v>60</v>
      </c>
      <c r="Q382">
        <v>0.89999999999999991</v>
      </c>
      <c r="R382">
        <v>1.2</v>
      </c>
    </row>
    <row r="383" spans="1:18" x14ac:dyDescent="0.35">
      <c r="A383">
        <v>371</v>
      </c>
      <c r="B383">
        <v>21</v>
      </c>
      <c r="C383">
        <v>2</v>
      </c>
      <c r="D383">
        <v>2023</v>
      </c>
      <c r="E383" t="s">
        <v>1059</v>
      </c>
      <c r="F383" t="s">
        <v>1073</v>
      </c>
      <c r="G383" t="s">
        <v>1061</v>
      </c>
      <c r="H383" s="18">
        <v>44978</v>
      </c>
      <c r="I383" t="s">
        <v>396</v>
      </c>
      <c r="J383" t="s">
        <v>23</v>
      </c>
      <c r="K383" s="46" t="s">
        <v>1034</v>
      </c>
      <c r="L383">
        <v>20</v>
      </c>
      <c r="M383" t="s">
        <v>21</v>
      </c>
      <c r="N383">
        <v>1</v>
      </c>
      <c r="O383">
        <v>25</v>
      </c>
      <c r="P383">
        <v>25</v>
      </c>
      <c r="Q383">
        <v>0.375</v>
      </c>
      <c r="R383">
        <v>0.5</v>
      </c>
    </row>
    <row r="384" spans="1:18" x14ac:dyDescent="0.35">
      <c r="A384">
        <v>372</v>
      </c>
      <c r="B384">
        <v>7</v>
      </c>
      <c r="C384">
        <v>2</v>
      </c>
      <c r="D384">
        <v>2023</v>
      </c>
      <c r="E384" t="s">
        <v>1059</v>
      </c>
      <c r="F384" t="s">
        <v>1073</v>
      </c>
      <c r="G384" t="s">
        <v>1061</v>
      </c>
      <c r="H384" s="18">
        <v>44964</v>
      </c>
      <c r="I384" t="s">
        <v>397</v>
      </c>
      <c r="J384" t="s">
        <v>23</v>
      </c>
      <c r="K384" s="46" t="s">
        <v>1034</v>
      </c>
      <c r="L384">
        <v>24</v>
      </c>
      <c r="M384" t="s">
        <v>21</v>
      </c>
      <c r="N384">
        <v>3</v>
      </c>
      <c r="O384">
        <v>500</v>
      </c>
      <c r="P384">
        <v>1500</v>
      </c>
      <c r="Q384">
        <v>22.5</v>
      </c>
      <c r="R384">
        <v>30</v>
      </c>
    </row>
    <row r="385" spans="1:18" x14ac:dyDescent="0.35">
      <c r="A385">
        <v>373</v>
      </c>
      <c r="B385">
        <v>3</v>
      </c>
      <c r="C385">
        <v>10</v>
      </c>
      <c r="D385">
        <v>2023</v>
      </c>
      <c r="E385" t="s">
        <v>1059</v>
      </c>
      <c r="F385" t="s">
        <v>1064</v>
      </c>
      <c r="G385" t="s">
        <v>1061</v>
      </c>
      <c r="H385" s="18">
        <v>45202</v>
      </c>
      <c r="I385" t="s">
        <v>398</v>
      </c>
      <c r="J385" t="s">
        <v>23</v>
      </c>
      <c r="K385" s="46" t="s">
        <v>1034</v>
      </c>
      <c r="L385">
        <v>25</v>
      </c>
      <c r="M385" t="s">
        <v>21</v>
      </c>
      <c r="N385">
        <v>2</v>
      </c>
      <c r="O385">
        <v>300</v>
      </c>
      <c r="P385">
        <v>600</v>
      </c>
      <c r="Q385">
        <v>9</v>
      </c>
      <c r="R385">
        <v>12</v>
      </c>
    </row>
    <row r="386" spans="1:18" x14ac:dyDescent="0.35">
      <c r="A386">
        <v>374</v>
      </c>
      <c r="B386">
        <v>20</v>
      </c>
      <c r="C386">
        <v>4</v>
      </c>
      <c r="D386">
        <v>2023</v>
      </c>
      <c r="E386" t="s">
        <v>1072</v>
      </c>
      <c r="F386" t="s">
        <v>1077</v>
      </c>
      <c r="G386" t="s">
        <v>1061</v>
      </c>
      <c r="H386" s="18">
        <v>45036</v>
      </c>
      <c r="I386" t="s">
        <v>399</v>
      </c>
      <c r="J386" t="s">
        <v>23</v>
      </c>
      <c r="K386" s="46" t="s">
        <v>1032</v>
      </c>
      <c r="L386">
        <v>59</v>
      </c>
      <c r="M386" t="s">
        <v>21</v>
      </c>
      <c r="N386">
        <v>3</v>
      </c>
      <c r="O386">
        <v>25</v>
      </c>
      <c r="P386">
        <v>75</v>
      </c>
      <c r="Q386">
        <v>1.125</v>
      </c>
      <c r="R386">
        <v>1.5</v>
      </c>
    </row>
    <row r="387" spans="1:18" x14ac:dyDescent="0.35">
      <c r="A387">
        <v>375</v>
      </c>
      <c r="B387">
        <v>17</v>
      </c>
      <c r="C387">
        <v>9</v>
      </c>
      <c r="D387">
        <v>2023</v>
      </c>
      <c r="E387" t="s">
        <v>1063</v>
      </c>
      <c r="F387" t="s">
        <v>1071</v>
      </c>
      <c r="G387" t="s">
        <v>1061</v>
      </c>
      <c r="H387" s="18">
        <v>45186</v>
      </c>
      <c r="I387" t="s">
        <v>400</v>
      </c>
      <c r="J387" t="s">
        <v>20</v>
      </c>
      <c r="K387" s="46" t="s">
        <v>1030</v>
      </c>
      <c r="L387">
        <v>32</v>
      </c>
      <c r="M387" t="s">
        <v>21</v>
      </c>
      <c r="N387">
        <v>1</v>
      </c>
      <c r="O387">
        <v>50</v>
      </c>
      <c r="P387">
        <v>50</v>
      </c>
      <c r="Q387">
        <v>0.75</v>
      </c>
      <c r="R387">
        <v>1</v>
      </c>
    </row>
    <row r="388" spans="1:18" x14ac:dyDescent="0.35">
      <c r="A388">
        <v>376</v>
      </c>
      <c r="B388">
        <v>16</v>
      </c>
      <c r="C388">
        <v>5</v>
      </c>
      <c r="D388">
        <v>2023</v>
      </c>
      <c r="E388" t="s">
        <v>1059</v>
      </c>
      <c r="F388" t="s">
        <v>1076</v>
      </c>
      <c r="G388" t="s">
        <v>1061</v>
      </c>
      <c r="H388" s="18">
        <v>45062</v>
      </c>
      <c r="I388" t="s">
        <v>401</v>
      </c>
      <c r="J388" t="s">
        <v>23</v>
      </c>
      <c r="K388" s="46" t="s">
        <v>1032</v>
      </c>
      <c r="L388">
        <v>64</v>
      </c>
      <c r="M388" t="s">
        <v>21</v>
      </c>
      <c r="N388">
        <v>1</v>
      </c>
      <c r="O388">
        <v>30</v>
      </c>
      <c r="P388">
        <v>30</v>
      </c>
      <c r="Q388">
        <v>0.44999999999999996</v>
      </c>
      <c r="R388">
        <v>0.6</v>
      </c>
    </row>
    <row r="389" spans="1:18" x14ac:dyDescent="0.35">
      <c r="A389">
        <v>377</v>
      </c>
      <c r="B389">
        <v>9</v>
      </c>
      <c r="C389">
        <v>3</v>
      </c>
      <c r="D389">
        <v>2023</v>
      </c>
      <c r="E389" t="s">
        <v>1072</v>
      </c>
      <c r="F389" t="s">
        <v>1066</v>
      </c>
      <c r="G389" t="s">
        <v>1061</v>
      </c>
      <c r="H389" s="18">
        <v>44994</v>
      </c>
      <c r="I389" t="s">
        <v>402</v>
      </c>
      <c r="J389" t="s">
        <v>23</v>
      </c>
      <c r="K389" s="46" t="s">
        <v>1030</v>
      </c>
      <c r="L389">
        <v>46</v>
      </c>
      <c r="M389" t="s">
        <v>21</v>
      </c>
      <c r="N389">
        <v>4</v>
      </c>
      <c r="O389">
        <v>50</v>
      </c>
      <c r="P389">
        <v>200</v>
      </c>
      <c r="Q389">
        <v>3</v>
      </c>
      <c r="R389">
        <v>4</v>
      </c>
    </row>
    <row r="390" spans="1:18" x14ac:dyDescent="0.35">
      <c r="A390">
        <v>378</v>
      </c>
      <c r="B390">
        <v>28</v>
      </c>
      <c r="C390">
        <v>6</v>
      </c>
      <c r="D390">
        <v>2023</v>
      </c>
      <c r="E390" t="s">
        <v>1065</v>
      </c>
      <c r="F390" t="s">
        <v>1069</v>
      </c>
      <c r="G390" t="s">
        <v>1061</v>
      </c>
      <c r="H390" s="18">
        <v>45105</v>
      </c>
      <c r="I390" t="s">
        <v>403</v>
      </c>
      <c r="J390" t="s">
        <v>20</v>
      </c>
      <c r="K390" s="46" t="s">
        <v>1030</v>
      </c>
      <c r="L390">
        <v>50</v>
      </c>
      <c r="M390" t="s">
        <v>21</v>
      </c>
      <c r="N390">
        <v>1</v>
      </c>
      <c r="O390">
        <v>300</v>
      </c>
      <c r="P390">
        <v>300</v>
      </c>
      <c r="Q390">
        <v>4.5</v>
      </c>
      <c r="R390">
        <v>6</v>
      </c>
    </row>
    <row r="391" spans="1:18" x14ac:dyDescent="0.35">
      <c r="A391">
        <v>379</v>
      </c>
      <c r="B391">
        <v>5</v>
      </c>
      <c r="C391">
        <v>2</v>
      </c>
      <c r="D391">
        <v>2023</v>
      </c>
      <c r="E391" t="s">
        <v>1063</v>
      </c>
      <c r="F391" t="s">
        <v>1073</v>
      </c>
      <c r="G391" t="s">
        <v>1061</v>
      </c>
      <c r="H391" s="18">
        <v>44962</v>
      </c>
      <c r="I391" t="s">
        <v>404</v>
      </c>
      <c r="J391" t="s">
        <v>23</v>
      </c>
      <c r="K391" s="46" t="s">
        <v>1030</v>
      </c>
      <c r="L391">
        <v>47</v>
      </c>
      <c r="M391" t="s">
        <v>21</v>
      </c>
      <c r="N391">
        <v>1</v>
      </c>
      <c r="O391">
        <v>25</v>
      </c>
      <c r="P391">
        <v>25</v>
      </c>
      <c r="Q391">
        <v>0.375</v>
      </c>
      <c r="R391">
        <v>0.5</v>
      </c>
    </row>
    <row r="392" spans="1:18" x14ac:dyDescent="0.35">
      <c r="A392">
        <v>380</v>
      </c>
      <c r="B392">
        <v>6</v>
      </c>
      <c r="C392">
        <v>5</v>
      </c>
      <c r="D392">
        <v>2023</v>
      </c>
      <c r="E392" t="s">
        <v>1075</v>
      </c>
      <c r="F392" t="s">
        <v>1076</v>
      </c>
      <c r="G392" t="s">
        <v>1061</v>
      </c>
      <c r="H392" s="18">
        <v>45052</v>
      </c>
      <c r="I392" t="s">
        <v>405</v>
      </c>
      <c r="J392" t="s">
        <v>20</v>
      </c>
      <c r="K392" s="46" t="s">
        <v>1032</v>
      </c>
      <c r="L392">
        <v>56</v>
      </c>
      <c r="M392" t="s">
        <v>21</v>
      </c>
      <c r="N392">
        <v>2</v>
      </c>
      <c r="O392">
        <v>300</v>
      </c>
      <c r="P392">
        <v>600</v>
      </c>
      <c r="Q392">
        <v>9</v>
      </c>
      <c r="R392">
        <v>12</v>
      </c>
    </row>
    <row r="393" spans="1:18" x14ac:dyDescent="0.35">
      <c r="A393">
        <v>381</v>
      </c>
      <c r="B393">
        <v>9</v>
      </c>
      <c r="C393">
        <v>7</v>
      </c>
      <c r="D393">
        <v>2023</v>
      </c>
      <c r="E393" t="s">
        <v>1063</v>
      </c>
      <c r="F393" t="s">
        <v>1078</v>
      </c>
      <c r="G393" t="s">
        <v>1061</v>
      </c>
      <c r="H393" s="18">
        <v>45116</v>
      </c>
      <c r="I393" t="s">
        <v>406</v>
      </c>
      <c r="J393" t="s">
        <v>23</v>
      </c>
      <c r="K393" s="46" t="s">
        <v>1030</v>
      </c>
      <c r="L393">
        <v>44</v>
      </c>
      <c r="M393" t="s">
        <v>21</v>
      </c>
      <c r="N393">
        <v>4</v>
      </c>
      <c r="O393">
        <v>25</v>
      </c>
      <c r="P393">
        <v>100</v>
      </c>
      <c r="Q393">
        <v>1.5</v>
      </c>
      <c r="R393">
        <v>2</v>
      </c>
    </row>
    <row r="394" spans="1:18" x14ac:dyDescent="0.35">
      <c r="A394">
        <v>382</v>
      </c>
      <c r="B394">
        <v>26</v>
      </c>
      <c r="C394">
        <v>5</v>
      </c>
      <c r="D394">
        <v>2023</v>
      </c>
      <c r="E394" t="s">
        <v>1070</v>
      </c>
      <c r="F394" t="s">
        <v>1076</v>
      </c>
      <c r="G394" t="s">
        <v>1061</v>
      </c>
      <c r="H394" s="18">
        <v>45072</v>
      </c>
      <c r="I394" t="s">
        <v>407</v>
      </c>
      <c r="J394" t="s">
        <v>23</v>
      </c>
      <c r="K394" s="46" t="s">
        <v>1032</v>
      </c>
      <c r="L394">
        <v>53</v>
      </c>
      <c r="M394" t="s">
        <v>21</v>
      </c>
      <c r="N394">
        <v>2</v>
      </c>
      <c r="O394">
        <v>500</v>
      </c>
      <c r="P394">
        <v>1000</v>
      </c>
      <c r="Q394">
        <v>15</v>
      </c>
      <c r="R394">
        <v>20</v>
      </c>
    </row>
    <row r="395" spans="1:18" x14ac:dyDescent="0.35">
      <c r="A395">
        <v>383</v>
      </c>
      <c r="B395">
        <v>22</v>
      </c>
      <c r="C395">
        <v>3</v>
      </c>
      <c r="D395">
        <v>2023</v>
      </c>
      <c r="E395" t="s">
        <v>1065</v>
      </c>
      <c r="F395" t="s">
        <v>1066</v>
      </c>
      <c r="G395" t="s">
        <v>1061</v>
      </c>
      <c r="H395" s="18">
        <v>45007</v>
      </c>
      <c r="I395" t="s">
        <v>408</v>
      </c>
      <c r="J395" t="s">
        <v>23</v>
      </c>
      <c r="K395" s="46" t="s">
        <v>1030</v>
      </c>
      <c r="L395">
        <v>46</v>
      </c>
      <c r="M395" t="s">
        <v>21</v>
      </c>
      <c r="N395">
        <v>3</v>
      </c>
      <c r="O395">
        <v>30</v>
      </c>
      <c r="P395">
        <v>90</v>
      </c>
      <c r="Q395">
        <v>1.3499999999999999</v>
      </c>
      <c r="R395">
        <v>1.8</v>
      </c>
    </row>
    <row r="396" spans="1:18" x14ac:dyDescent="0.35">
      <c r="A396">
        <v>384</v>
      </c>
      <c r="B396">
        <v>13</v>
      </c>
      <c r="C396">
        <v>8</v>
      </c>
      <c r="D396">
        <v>2023</v>
      </c>
      <c r="E396" t="s">
        <v>1063</v>
      </c>
      <c r="F396" t="s">
        <v>1074</v>
      </c>
      <c r="G396" t="s">
        <v>1061</v>
      </c>
      <c r="H396" s="18">
        <v>45151</v>
      </c>
      <c r="I396" t="s">
        <v>409</v>
      </c>
      <c r="J396" t="s">
        <v>20</v>
      </c>
      <c r="K396" s="46" t="s">
        <v>1032</v>
      </c>
      <c r="L396">
        <v>55</v>
      </c>
      <c r="M396" t="s">
        <v>21</v>
      </c>
      <c r="N396">
        <v>1</v>
      </c>
      <c r="O396">
        <v>500</v>
      </c>
      <c r="P396">
        <v>500</v>
      </c>
      <c r="Q396">
        <v>7.5</v>
      </c>
      <c r="R396">
        <v>10</v>
      </c>
    </row>
    <row r="397" spans="1:18" x14ac:dyDescent="0.35">
      <c r="A397">
        <v>385</v>
      </c>
      <c r="B397">
        <v>6</v>
      </c>
      <c r="C397">
        <v>10</v>
      </c>
      <c r="D397">
        <v>2023</v>
      </c>
      <c r="E397" t="s">
        <v>1070</v>
      </c>
      <c r="F397" t="s">
        <v>1064</v>
      </c>
      <c r="G397" t="s">
        <v>1061</v>
      </c>
      <c r="H397" s="18">
        <v>45205</v>
      </c>
      <c r="I397" t="s">
        <v>410</v>
      </c>
      <c r="J397" t="s">
        <v>20</v>
      </c>
      <c r="K397" s="46" t="s">
        <v>1030</v>
      </c>
      <c r="L397">
        <v>50</v>
      </c>
      <c r="M397" t="s">
        <v>21</v>
      </c>
      <c r="N397">
        <v>3</v>
      </c>
      <c r="O397">
        <v>500</v>
      </c>
      <c r="P397">
        <v>1500</v>
      </c>
      <c r="Q397">
        <v>22.5</v>
      </c>
      <c r="R397">
        <v>30</v>
      </c>
    </row>
    <row r="398" spans="1:18" x14ac:dyDescent="0.35">
      <c r="A398">
        <v>386</v>
      </c>
      <c r="B398">
        <v>27</v>
      </c>
      <c r="C398">
        <v>12</v>
      </c>
      <c r="D398">
        <v>2023</v>
      </c>
      <c r="E398" t="s">
        <v>1065</v>
      </c>
      <c r="F398" t="s">
        <v>1062</v>
      </c>
      <c r="G398" t="s">
        <v>1061</v>
      </c>
      <c r="H398" s="18">
        <v>45287</v>
      </c>
      <c r="I398" t="s">
        <v>411</v>
      </c>
      <c r="J398" t="s">
        <v>23</v>
      </c>
      <c r="K398" s="46" t="s">
        <v>1032</v>
      </c>
      <c r="L398">
        <v>54</v>
      </c>
      <c r="M398" t="s">
        <v>21</v>
      </c>
      <c r="N398">
        <v>2</v>
      </c>
      <c r="O398">
        <v>300</v>
      </c>
      <c r="P398">
        <v>600</v>
      </c>
      <c r="Q398">
        <v>9</v>
      </c>
      <c r="R398">
        <v>12</v>
      </c>
    </row>
    <row r="399" spans="1:18" x14ac:dyDescent="0.35">
      <c r="A399">
        <v>387</v>
      </c>
      <c r="B399">
        <v>4</v>
      </c>
      <c r="C399">
        <v>6</v>
      </c>
      <c r="D399">
        <v>2023</v>
      </c>
      <c r="E399" t="s">
        <v>1063</v>
      </c>
      <c r="F399" t="s">
        <v>1069</v>
      </c>
      <c r="G399" t="s">
        <v>1061</v>
      </c>
      <c r="H399" s="18">
        <v>45081</v>
      </c>
      <c r="I399" t="s">
        <v>412</v>
      </c>
      <c r="J399" t="s">
        <v>20</v>
      </c>
      <c r="K399" s="46" t="s">
        <v>1030</v>
      </c>
      <c r="L399">
        <v>44</v>
      </c>
      <c r="M399" t="s">
        <v>21</v>
      </c>
      <c r="N399">
        <v>1</v>
      </c>
      <c r="O399">
        <v>30</v>
      </c>
      <c r="P399">
        <v>30</v>
      </c>
      <c r="Q399">
        <v>0.44999999999999996</v>
      </c>
      <c r="R399">
        <v>0.6</v>
      </c>
    </row>
    <row r="400" spans="1:18" x14ac:dyDescent="0.35">
      <c r="A400">
        <v>388</v>
      </c>
      <c r="B400">
        <v>10</v>
      </c>
      <c r="C400">
        <v>11</v>
      </c>
      <c r="D400">
        <v>2023</v>
      </c>
      <c r="E400" t="s">
        <v>1070</v>
      </c>
      <c r="F400" t="s">
        <v>1068</v>
      </c>
      <c r="G400" t="s">
        <v>1061</v>
      </c>
      <c r="H400" s="18">
        <v>45240</v>
      </c>
      <c r="I400" t="s">
        <v>413</v>
      </c>
      <c r="J400" t="s">
        <v>20</v>
      </c>
      <c r="K400" s="46" t="s">
        <v>1030</v>
      </c>
      <c r="L400">
        <v>50</v>
      </c>
      <c r="M400" t="s">
        <v>21</v>
      </c>
      <c r="N400">
        <v>1</v>
      </c>
      <c r="O400">
        <v>25</v>
      </c>
      <c r="P400">
        <v>25</v>
      </c>
      <c r="Q400">
        <v>0.375</v>
      </c>
      <c r="R400">
        <v>0.5</v>
      </c>
    </row>
    <row r="401" spans="1:18" x14ac:dyDescent="0.35">
      <c r="A401">
        <v>389</v>
      </c>
      <c r="B401">
        <v>1</v>
      </c>
      <c r="C401">
        <v>12</v>
      </c>
      <c r="D401">
        <v>2023</v>
      </c>
      <c r="E401" t="s">
        <v>1070</v>
      </c>
      <c r="F401" t="s">
        <v>1062</v>
      </c>
      <c r="G401" t="s">
        <v>1061</v>
      </c>
      <c r="H401" s="18">
        <v>45261</v>
      </c>
      <c r="I401" t="s">
        <v>414</v>
      </c>
      <c r="J401" t="s">
        <v>20</v>
      </c>
      <c r="K401" s="46" t="s">
        <v>1034</v>
      </c>
      <c r="L401">
        <v>21</v>
      </c>
      <c r="M401" t="s">
        <v>21</v>
      </c>
      <c r="N401">
        <v>2</v>
      </c>
      <c r="O401">
        <v>25</v>
      </c>
      <c r="P401">
        <v>50</v>
      </c>
      <c r="Q401">
        <v>0.75</v>
      </c>
      <c r="R401">
        <v>1</v>
      </c>
    </row>
    <row r="402" spans="1:18" x14ac:dyDescent="0.35">
      <c r="A402">
        <v>390</v>
      </c>
      <c r="B402">
        <v>28</v>
      </c>
      <c r="C402">
        <v>9</v>
      </c>
      <c r="D402">
        <v>2023</v>
      </c>
      <c r="E402" t="s">
        <v>1072</v>
      </c>
      <c r="F402" t="s">
        <v>1071</v>
      </c>
      <c r="G402" t="s">
        <v>1061</v>
      </c>
      <c r="H402" s="18">
        <v>45197</v>
      </c>
      <c r="I402" t="s">
        <v>415</v>
      </c>
      <c r="J402" t="s">
        <v>20</v>
      </c>
      <c r="K402" s="46" t="s">
        <v>1030</v>
      </c>
      <c r="L402">
        <v>39</v>
      </c>
      <c r="M402" t="s">
        <v>21</v>
      </c>
      <c r="N402">
        <v>2</v>
      </c>
      <c r="O402">
        <v>50</v>
      </c>
      <c r="P402">
        <v>100</v>
      </c>
      <c r="Q402">
        <v>1.5</v>
      </c>
      <c r="R402">
        <v>2</v>
      </c>
    </row>
    <row r="403" spans="1:18" x14ac:dyDescent="0.35">
      <c r="A403">
        <v>391</v>
      </c>
      <c r="B403">
        <v>5</v>
      </c>
      <c r="C403">
        <v>1</v>
      </c>
      <c r="D403">
        <v>2023</v>
      </c>
      <c r="E403" t="s">
        <v>1072</v>
      </c>
      <c r="F403" t="s">
        <v>1060</v>
      </c>
      <c r="G403" t="s">
        <v>1061</v>
      </c>
      <c r="H403" s="18">
        <v>44931</v>
      </c>
      <c r="I403" t="s">
        <v>416</v>
      </c>
      <c r="J403" t="s">
        <v>20</v>
      </c>
      <c r="K403" s="46" t="s">
        <v>1034</v>
      </c>
      <c r="L403">
        <v>19</v>
      </c>
      <c r="M403" t="s">
        <v>21</v>
      </c>
      <c r="N403">
        <v>2</v>
      </c>
      <c r="O403">
        <v>25</v>
      </c>
      <c r="P403">
        <v>50</v>
      </c>
      <c r="Q403">
        <v>0.75</v>
      </c>
      <c r="R403">
        <v>1</v>
      </c>
    </row>
    <row r="404" spans="1:18" x14ac:dyDescent="0.35">
      <c r="A404">
        <v>392</v>
      </c>
      <c r="B404">
        <v>8</v>
      </c>
      <c r="C404">
        <v>12</v>
      </c>
      <c r="D404">
        <v>2023</v>
      </c>
      <c r="E404" t="s">
        <v>1070</v>
      </c>
      <c r="F404" t="s">
        <v>1062</v>
      </c>
      <c r="G404" t="s">
        <v>1061</v>
      </c>
      <c r="H404" s="18">
        <v>45268</v>
      </c>
      <c r="I404" t="s">
        <v>417</v>
      </c>
      <c r="J404" t="s">
        <v>20</v>
      </c>
      <c r="K404" s="46" t="s">
        <v>1034</v>
      </c>
      <c r="L404">
        <v>27</v>
      </c>
      <c r="M404" t="s">
        <v>21</v>
      </c>
      <c r="N404">
        <v>2</v>
      </c>
      <c r="O404">
        <v>300</v>
      </c>
      <c r="P404">
        <v>600</v>
      </c>
      <c r="Q404">
        <v>9</v>
      </c>
      <c r="R404">
        <v>12</v>
      </c>
    </row>
    <row r="405" spans="1:18" x14ac:dyDescent="0.35">
      <c r="A405">
        <v>393</v>
      </c>
      <c r="B405">
        <v>11</v>
      </c>
      <c r="C405">
        <v>10</v>
      </c>
      <c r="D405">
        <v>2023</v>
      </c>
      <c r="E405" t="s">
        <v>1065</v>
      </c>
      <c r="F405" t="s">
        <v>1064</v>
      </c>
      <c r="G405" t="s">
        <v>1061</v>
      </c>
      <c r="H405" s="18">
        <v>45210</v>
      </c>
      <c r="I405" t="s">
        <v>418</v>
      </c>
      <c r="J405" t="s">
        <v>23</v>
      </c>
      <c r="K405" s="46" t="s">
        <v>1034</v>
      </c>
      <c r="L405">
        <v>22</v>
      </c>
      <c r="M405" t="s">
        <v>21</v>
      </c>
      <c r="N405">
        <v>2</v>
      </c>
      <c r="O405">
        <v>500</v>
      </c>
      <c r="P405">
        <v>1000</v>
      </c>
      <c r="Q405">
        <v>15</v>
      </c>
      <c r="R405">
        <v>20</v>
      </c>
    </row>
    <row r="406" spans="1:18" x14ac:dyDescent="0.35">
      <c r="A406">
        <v>394</v>
      </c>
      <c r="B406">
        <v>3</v>
      </c>
      <c r="C406">
        <v>6</v>
      </c>
      <c r="D406">
        <v>2023</v>
      </c>
      <c r="E406" t="s">
        <v>1075</v>
      </c>
      <c r="F406" t="s">
        <v>1069</v>
      </c>
      <c r="G406" t="s">
        <v>1061</v>
      </c>
      <c r="H406" s="18">
        <v>45080</v>
      </c>
      <c r="I406" t="s">
        <v>419</v>
      </c>
      <c r="J406" t="s">
        <v>23</v>
      </c>
      <c r="K406" s="46" t="s">
        <v>1034</v>
      </c>
      <c r="L406">
        <v>27</v>
      </c>
      <c r="M406" t="s">
        <v>21</v>
      </c>
      <c r="N406">
        <v>1</v>
      </c>
      <c r="O406">
        <v>500</v>
      </c>
      <c r="P406">
        <v>500</v>
      </c>
      <c r="Q406">
        <v>7.5</v>
      </c>
      <c r="R406">
        <v>10</v>
      </c>
    </row>
    <row r="407" spans="1:18" x14ac:dyDescent="0.35">
      <c r="A407">
        <v>395</v>
      </c>
      <c r="B407">
        <v>6</v>
      </c>
      <c r="C407">
        <v>12</v>
      </c>
      <c r="D407">
        <v>2023</v>
      </c>
      <c r="E407" t="s">
        <v>1065</v>
      </c>
      <c r="F407" t="s">
        <v>1062</v>
      </c>
      <c r="G407" t="s">
        <v>1061</v>
      </c>
      <c r="H407" s="18">
        <v>45266</v>
      </c>
      <c r="I407" t="s">
        <v>420</v>
      </c>
      <c r="J407" t="s">
        <v>20</v>
      </c>
      <c r="K407" s="46" t="s">
        <v>1030</v>
      </c>
      <c r="L407">
        <v>50</v>
      </c>
      <c r="M407" t="s">
        <v>21</v>
      </c>
      <c r="N407">
        <v>2</v>
      </c>
      <c r="O407">
        <v>500</v>
      </c>
      <c r="P407">
        <v>1000</v>
      </c>
      <c r="Q407">
        <v>15</v>
      </c>
      <c r="R407">
        <v>20</v>
      </c>
    </row>
    <row r="408" spans="1:18" x14ac:dyDescent="0.35">
      <c r="A408">
        <v>396</v>
      </c>
      <c r="B408">
        <v>23</v>
      </c>
      <c r="C408">
        <v>2</v>
      </c>
      <c r="D408">
        <v>2023</v>
      </c>
      <c r="E408" t="s">
        <v>1072</v>
      </c>
      <c r="F408" t="s">
        <v>1073</v>
      </c>
      <c r="G408" t="s">
        <v>1061</v>
      </c>
      <c r="H408" s="18">
        <v>44980</v>
      </c>
      <c r="I408" t="s">
        <v>421</v>
      </c>
      <c r="J408" t="s">
        <v>23</v>
      </c>
      <c r="K408" s="46" t="s">
        <v>1032</v>
      </c>
      <c r="L408">
        <v>55</v>
      </c>
      <c r="M408" t="s">
        <v>21</v>
      </c>
      <c r="N408">
        <v>1</v>
      </c>
      <c r="O408">
        <v>30</v>
      </c>
      <c r="P408">
        <v>30</v>
      </c>
      <c r="Q408">
        <v>0.44999999999999996</v>
      </c>
      <c r="R408">
        <v>0.6</v>
      </c>
    </row>
    <row r="409" spans="1:18" x14ac:dyDescent="0.35">
      <c r="A409">
        <v>397</v>
      </c>
      <c r="B409">
        <v>10</v>
      </c>
      <c r="C409">
        <v>3</v>
      </c>
      <c r="D409">
        <v>2023</v>
      </c>
      <c r="E409" t="s">
        <v>1070</v>
      </c>
      <c r="F409" t="s">
        <v>1066</v>
      </c>
      <c r="G409" t="s">
        <v>1061</v>
      </c>
      <c r="H409" s="18">
        <v>44995</v>
      </c>
      <c r="I409" t="s">
        <v>422</v>
      </c>
      <c r="J409" t="s">
        <v>23</v>
      </c>
      <c r="K409" s="46" t="s">
        <v>1030</v>
      </c>
      <c r="L409">
        <v>30</v>
      </c>
      <c r="M409" t="s">
        <v>21</v>
      </c>
      <c r="N409">
        <v>1</v>
      </c>
      <c r="O409">
        <v>25</v>
      </c>
      <c r="P409">
        <v>25</v>
      </c>
      <c r="Q409">
        <v>0.375</v>
      </c>
      <c r="R409">
        <v>0.5</v>
      </c>
    </row>
    <row r="410" spans="1:18" x14ac:dyDescent="0.35">
      <c r="A410">
        <v>398</v>
      </c>
      <c r="B410">
        <v>16</v>
      </c>
      <c r="C410">
        <v>5</v>
      </c>
      <c r="D410">
        <v>2023</v>
      </c>
      <c r="E410" t="s">
        <v>1059</v>
      </c>
      <c r="F410" t="s">
        <v>1076</v>
      </c>
      <c r="G410" t="s">
        <v>1061</v>
      </c>
      <c r="H410" s="18">
        <v>45062</v>
      </c>
      <c r="I410" t="s">
        <v>423</v>
      </c>
      <c r="J410" t="s">
        <v>23</v>
      </c>
      <c r="K410" s="46" t="s">
        <v>1030</v>
      </c>
      <c r="L410">
        <v>48</v>
      </c>
      <c r="M410" t="s">
        <v>21</v>
      </c>
      <c r="N410">
        <v>2</v>
      </c>
      <c r="O410">
        <v>300</v>
      </c>
      <c r="P410">
        <v>600</v>
      </c>
      <c r="Q410">
        <v>9</v>
      </c>
      <c r="R410">
        <v>12</v>
      </c>
    </row>
    <row r="411" spans="1:18" x14ac:dyDescent="0.35">
      <c r="A411">
        <v>399</v>
      </c>
      <c r="B411">
        <v>1</v>
      </c>
      <c r="C411">
        <v>3</v>
      </c>
      <c r="D411">
        <v>2023</v>
      </c>
      <c r="E411" t="s">
        <v>1065</v>
      </c>
      <c r="F411" t="s">
        <v>1066</v>
      </c>
      <c r="G411" t="s">
        <v>1061</v>
      </c>
      <c r="H411" s="18">
        <v>44986</v>
      </c>
      <c r="I411" t="s">
        <v>424</v>
      </c>
      <c r="J411" t="s">
        <v>23</v>
      </c>
      <c r="K411" s="46" t="s">
        <v>1032</v>
      </c>
      <c r="L411">
        <v>64</v>
      </c>
      <c r="M411" t="s">
        <v>21</v>
      </c>
      <c r="N411">
        <v>2</v>
      </c>
      <c r="O411">
        <v>30</v>
      </c>
      <c r="P411">
        <v>60</v>
      </c>
      <c r="Q411">
        <v>0.89999999999999991</v>
      </c>
      <c r="R411">
        <v>1.2</v>
      </c>
    </row>
    <row r="412" spans="1:18" x14ac:dyDescent="0.35">
      <c r="A412">
        <v>400</v>
      </c>
      <c r="B412">
        <v>24</v>
      </c>
      <c r="C412">
        <v>2</v>
      </c>
      <c r="D412">
        <v>2023</v>
      </c>
      <c r="E412" t="s">
        <v>1070</v>
      </c>
      <c r="F412" t="s">
        <v>1073</v>
      </c>
      <c r="G412" t="s">
        <v>1061</v>
      </c>
      <c r="H412" s="18">
        <v>44981</v>
      </c>
      <c r="I412" t="s">
        <v>425</v>
      </c>
      <c r="J412" t="s">
        <v>20</v>
      </c>
      <c r="K412" s="46" t="s">
        <v>1032</v>
      </c>
      <c r="L412">
        <v>53</v>
      </c>
      <c r="M412" t="s">
        <v>21</v>
      </c>
      <c r="N412">
        <v>4</v>
      </c>
      <c r="O412">
        <v>50</v>
      </c>
      <c r="P412">
        <v>200</v>
      </c>
      <c r="Q412">
        <v>3</v>
      </c>
      <c r="R412">
        <v>4</v>
      </c>
    </row>
    <row r="413" spans="1:18" x14ac:dyDescent="0.35">
      <c r="A413">
        <v>401</v>
      </c>
      <c r="B413">
        <v>11</v>
      </c>
      <c r="C413">
        <v>10</v>
      </c>
      <c r="D413">
        <v>2023</v>
      </c>
      <c r="E413" t="s">
        <v>1065</v>
      </c>
      <c r="F413" t="s">
        <v>1064</v>
      </c>
      <c r="G413" t="s">
        <v>1061</v>
      </c>
      <c r="H413" s="18">
        <v>45210</v>
      </c>
      <c r="I413" t="s">
        <v>426</v>
      </c>
      <c r="J413" t="s">
        <v>23</v>
      </c>
      <c r="K413" s="46" t="s">
        <v>1032</v>
      </c>
      <c r="L413">
        <v>62</v>
      </c>
      <c r="M413" t="s">
        <v>21</v>
      </c>
      <c r="N413">
        <v>1</v>
      </c>
      <c r="O413">
        <v>300</v>
      </c>
      <c r="P413">
        <v>300</v>
      </c>
      <c r="Q413">
        <v>4.5</v>
      </c>
      <c r="R413">
        <v>6</v>
      </c>
    </row>
    <row r="414" spans="1:18" x14ac:dyDescent="0.35">
      <c r="A414">
        <v>402</v>
      </c>
      <c r="B414">
        <v>21</v>
      </c>
      <c r="C414">
        <v>3</v>
      </c>
      <c r="D414">
        <v>2023</v>
      </c>
      <c r="E414" t="s">
        <v>1059</v>
      </c>
      <c r="F414" t="s">
        <v>1066</v>
      </c>
      <c r="G414" t="s">
        <v>1061</v>
      </c>
      <c r="H414" s="18">
        <v>45006</v>
      </c>
      <c r="I414" t="s">
        <v>427</v>
      </c>
      <c r="J414" t="s">
        <v>23</v>
      </c>
      <c r="K414" s="46" t="s">
        <v>1030</v>
      </c>
      <c r="L414">
        <v>41</v>
      </c>
      <c r="M414" t="s">
        <v>21</v>
      </c>
      <c r="N414">
        <v>2</v>
      </c>
      <c r="O414">
        <v>300</v>
      </c>
      <c r="P414">
        <v>600</v>
      </c>
      <c r="Q414">
        <v>9</v>
      </c>
      <c r="R414">
        <v>12</v>
      </c>
    </row>
    <row r="415" spans="1:18" x14ac:dyDescent="0.35">
      <c r="A415">
        <v>403</v>
      </c>
      <c r="B415">
        <v>20</v>
      </c>
      <c r="C415">
        <v>5</v>
      </c>
      <c r="D415">
        <v>2023</v>
      </c>
      <c r="E415" t="s">
        <v>1075</v>
      </c>
      <c r="F415" t="s">
        <v>1076</v>
      </c>
      <c r="G415" t="s">
        <v>1061</v>
      </c>
      <c r="H415" s="18">
        <v>45066</v>
      </c>
      <c r="I415" t="s">
        <v>428</v>
      </c>
      <c r="J415" t="s">
        <v>20</v>
      </c>
      <c r="K415" s="46" t="s">
        <v>1030</v>
      </c>
      <c r="L415">
        <v>32</v>
      </c>
      <c r="M415" t="s">
        <v>21</v>
      </c>
      <c r="N415">
        <v>2</v>
      </c>
      <c r="O415">
        <v>300</v>
      </c>
      <c r="P415">
        <v>600</v>
      </c>
      <c r="Q415">
        <v>9</v>
      </c>
      <c r="R415">
        <v>12</v>
      </c>
    </row>
    <row r="416" spans="1:18" x14ac:dyDescent="0.35">
      <c r="A416">
        <v>404</v>
      </c>
      <c r="B416">
        <v>25</v>
      </c>
      <c r="C416">
        <v>5</v>
      </c>
      <c r="D416">
        <v>2023</v>
      </c>
      <c r="E416" t="s">
        <v>1072</v>
      </c>
      <c r="F416" t="s">
        <v>1076</v>
      </c>
      <c r="G416" t="s">
        <v>1061</v>
      </c>
      <c r="H416" s="18">
        <v>45071</v>
      </c>
      <c r="I416" t="s">
        <v>429</v>
      </c>
      <c r="J416" t="s">
        <v>20</v>
      </c>
      <c r="K416" s="46" t="s">
        <v>1030</v>
      </c>
      <c r="L416">
        <v>46</v>
      </c>
      <c r="M416" t="s">
        <v>21</v>
      </c>
      <c r="N416">
        <v>2</v>
      </c>
      <c r="O416">
        <v>500</v>
      </c>
      <c r="P416">
        <v>1000</v>
      </c>
      <c r="Q416">
        <v>15</v>
      </c>
      <c r="R416">
        <v>20</v>
      </c>
    </row>
    <row r="417" spans="1:18" x14ac:dyDescent="0.35">
      <c r="A417">
        <v>405</v>
      </c>
      <c r="B417">
        <v>6</v>
      </c>
      <c r="C417">
        <v>11</v>
      </c>
      <c r="D417">
        <v>2023</v>
      </c>
      <c r="E417" t="s">
        <v>1067</v>
      </c>
      <c r="F417" t="s">
        <v>1068</v>
      </c>
      <c r="G417" t="s">
        <v>1061</v>
      </c>
      <c r="H417" s="18">
        <v>45236</v>
      </c>
      <c r="I417" t="s">
        <v>430</v>
      </c>
      <c r="J417" t="s">
        <v>23</v>
      </c>
      <c r="K417" s="46" t="s">
        <v>1034</v>
      </c>
      <c r="L417">
        <v>25</v>
      </c>
      <c r="M417" t="s">
        <v>21</v>
      </c>
      <c r="N417">
        <v>4</v>
      </c>
      <c r="O417">
        <v>300</v>
      </c>
      <c r="P417">
        <v>1200</v>
      </c>
      <c r="Q417">
        <v>18</v>
      </c>
      <c r="R417">
        <v>24</v>
      </c>
    </row>
    <row r="418" spans="1:18" x14ac:dyDescent="0.35">
      <c r="A418">
        <v>406</v>
      </c>
      <c r="B418">
        <v>18</v>
      </c>
      <c r="C418">
        <v>4</v>
      </c>
      <c r="D418">
        <v>2023</v>
      </c>
      <c r="E418" t="s">
        <v>1059</v>
      </c>
      <c r="F418" t="s">
        <v>1077</v>
      </c>
      <c r="G418" t="s">
        <v>1061</v>
      </c>
      <c r="H418" s="18">
        <v>45034</v>
      </c>
      <c r="I418" t="s">
        <v>431</v>
      </c>
      <c r="J418" t="s">
        <v>23</v>
      </c>
      <c r="K418" s="46" t="s">
        <v>1034</v>
      </c>
      <c r="L418">
        <v>22</v>
      </c>
      <c r="M418" t="s">
        <v>21</v>
      </c>
      <c r="N418">
        <v>4</v>
      </c>
      <c r="O418">
        <v>25</v>
      </c>
      <c r="P418">
        <v>100</v>
      </c>
      <c r="Q418">
        <v>1.5</v>
      </c>
      <c r="R418">
        <v>2</v>
      </c>
    </row>
    <row r="419" spans="1:18" x14ac:dyDescent="0.35">
      <c r="A419">
        <v>407</v>
      </c>
      <c r="B419">
        <v>25</v>
      </c>
      <c r="C419">
        <v>6</v>
      </c>
      <c r="D419">
        <v>2023</v>
      </c>
      <c r="E419" t="s">
        <v>1063</v>
      </c>
      <c r="F419" t="s">
        <v>1069</v>
      </c>
      <c r="G419" t="s">
        <v>1061</v>
      </c>
      <c r="H419" s="18">
        <v>45102</v>
      </c>
      <c r="I419" t="s">
        <v>432</v>
      </c>
      <c r="J419" t="s">
        <v>23</v>
      </c>
      <c r="K419" s="46" t="s">
        <v>1030</v>
      </c>
      <c r="L419">
        <v>46</v>
      </c>
      <c r="M419" t="s">
        <v>21</v>
      </c>
      <c r="N419">
        <v>3</v>
      </c>
      <c r="O419">
        <v>300</v>
      </c>
      <c r="P419">
        <v>900</v>
      </c>
      <c r="Q419">
        <v>13.5</v>
      </c>
      <c r="R419">
        <v>18</v>
      </c>
    </row>
    <row r="420" spans="1:18" x14ac:dyDescent="0.35">
      <c r="A420">
        <v>408</v>
      </c>
      <c r="B420">
        <v>15</v>
      </c>
      <c r="C420">
        <v>4</v>
      </c>
      <c r="D420">
        <v>2023</v>
      </c>
      <c r="E420" t="s">
        <v>1075</v>
      </c>
      <c r="F420" t="s">
        <v>1077</v>
      </c>
      <c r="G420" t="s">
        <v>1061</v>
      </c>
      <c r="H420" s="18">
        <v>45031</v>
      </c>
      <c r="I420" t="s">
        <v>433</v>
      </c>
      <c r="J420" t="s">
        <v>23</v>
      </c>
      <c r="K420" s="46" t="s">
        <v>1032</v>
      </c>
      <c r="L420">
        <v>64</v>
      </c>
      <c r="M420" t="s">
        <v>21</v>
      </c>
      <c r="N420">
        <v>1</v>
      </c>
      <c r="O420">
        <v>500</v>
      </c>
      <c r="P420">
        <v>500</v>
      </c>
      <c r="Q420">
        <v>7.5</v>
      </c>
      <c r="R420">
        <v>10</v>
      </c>
    </row>
    <row r="421" spans="1:18" x14ac:dyDescent="0.35">
      <c r="A421">
        <v>409</v>
      </c>
      <c r="B421">
        <v>18</v>
      </c>
      <c r="C421">
        <v>12</v>
      </c>
      <c r="D421">
        <v>2023</v>
      </c>
      <c r="E421" t="s">
        <v>1067</v>
      </c>
      <c r="F421" t="s">
        <v>1062</v>
      </c>
      <c r="G421" t="s">
        <v>1061</v>
      </c>
      <c r="H421" s="18">
        <v>45278</v>
      </c>
      <c r="I421" t="s">
        <v>434</v>
      </c>
      <c r="J421" t="s">
        <v>23</v>
      </c>
      <c r="K421" s="46" t="s">
        <v>1034</v>
      </c>
      <c r="L421">
        <v>21</v>
      </c>
      <c r="M421" t="s">
        <v>21</v>
      </c>
      <c r="N421">
        <v>3</v>
      </c>
      <c r="O421">
        <v>300</v>
      </c>
      <c r="P421">
        <v>900</v>
      </c>
      <c r="Q421">
        <v>13.5</v>
      </c>
      <c r="R421">
        <v>18</v>
      </c>
    </row>
    <row r="422" spans="1:18" x14ac:dyDescent="0.35">
      <c r="A422">
        <v>410</v>
      </c>
      <c r="B422">
        <v>21</v>
      </c>
      <c r="C422">
        <v>11</v>
      </c>
      <c r="D422">
        <v>2023</v>
      </c>
      <c r="E422" t="s">
        <v>1059</v>
      </c>
      <c r="F422" t="s">
        <v>1068</v>
      </c>
      <c r="G422" t="s">
        <v>1061</v>
      </c>
      <c r="H422" s="18">
        <v>45251</v>
      </c>
      <c r="I422" t="s">
        <v>435</v>
      </c>
      <c r="J422" t="s">
        <v>23</v>
      </c>
      <c r="K422" s="46" t="s">
        <v>1034</v>
      </c>
      <c r="L422">
        <v>29</v>
      </c>
      <c r="M422" t="s">
        <v>21</v>
      </c>
      <c r="N422">
        <v>2</v>
      </c>
      <c r="O422">
        <v>50</v>
      </c>
      <c r="P422">
        <v>100</v>
      </c>
      <c r="Q422">
        <v>1.5</v>
      </c>
      <c r="R422">
        <v>2</v>
      </c>
    </row>
    <row r="423" spans="1:18" x14ac:dyDescent="0.35">
      <c r="A423">
        <v>411</v>
      </c>
      <c r="B423">
        <v>16</v>
      </c>
      <c r="C423">
        <v>5</v>
      </c>
      <c r="D423">
        <v>2023</v>
      </c>
      <c r="E423" t="s">
        <v>1059</v>
      </c>
      <c r="F423" t="s">
        <v>1076</v>
      </c>
      <c r="G423" t="s">
        <v>1061</v>
      </c>
      <c r="H423" s="18">
        <v>45062</v>
      </c>
      <c r="I423" t="s">
        <v>436</v>
      </c>
      <c r="J423" t="s">
        <v>20</v>
      </c>
      <c r="K423" s="46" t="s">
        <v>1032</v>
      </c>
      <c r="L423">
        <v>62</v>
      </c>
      <c r="M423" t="s">
        <v>21</v>
      </c>
      <c r="N423">
        <v>4</v>
      </c>
      <c r="O423">
        <v>50</v>
      </c>
      <c r="P423">
        <v>200</v>
      </c>
      <c r="Q423">
        <v>3</v>
      </c>
      <c r="R423">
        <v>4</v>
      </c>
    </row>
    <row r="424" spans="1:18" x14ac:dyDescent="0.35">
      <c r="A424">
        <v>412</v>
      </c>
      <c r="B424">
        <v>16</v>
      </c>
      <c r="C424">
        <v>9</v>
      </c>
      <c r="D424">
        <v>2023</v>
      </c>
      <c r="E424" t="s">
        <v>1075</v>
      </c>
      <c r="F424" t="s">
        <v>1071</v>
      </c>
      <c r="G424" t="s">
        <v>1061</v>
      </c>
      <c r="H424" s="18">
        <v>45185</v>
      </c>
      <c r="I424" t="s">
        <v>437</v>
      </c>
      <c r="J424" t="s">
        <v>23</v>
      </c>
      <c r="K424" s="46" t="s">
        <v>1034</v>
      </c>
      <c r="L424">
        <v>19</v>
      </c>
      <c r="M424" t="s">
        <v>21</v>
      </c>
      <c r="N424">
        <v>4</v>
      </c>
      <c r="O424">
        <v>500</v>
      </c>
      <c r="P424">
        <v>2000</v>
      </c>
      <c r="Q424">
        <v>30</v>
      </c>
      <c r="R424">
        <v>40</v>
      </c>
    </row>
    <row r="425" spans="1:18" x14ac:dyDescent="0.35">
      <c r="A425">
        <v>413</v>
      </c>
      <c r="B425">
        <v>8</v>
      </c>
      <c r="C425">
        <v>9</v>
      </c>
      <c r="D425">
        <v>2023</v>
      </c>
      <c r="E425" t="s">
        <v>1070</v>
      </c>
      <c r="F425" t="s">
        <v>1071</v>
      </c>
      <c r="G425" t="s">
        <v>1061</v>
      </c>
      <c r="H425" s="18">
        <v>45177</v>
      </c>
      <c r="I425" t="s">
        <v>438</v>
      </c>
      <c r="J425" t="s">
        <v>23</v>
      </c>
      <c r="K425" s="46" t="s">
        <v>1030</v>
      </c>
      <c r="L425">
        <v>44</v>
      </c>
      <c r="M425" t="s">
        <v>21</v>
      </c>
      <c r="N425">
        <v>3</v>
      </c>
      <c r="O425">
        <v>25</v>
      </c>
      <c r="P425">
        <v>75</v>
      </c>
      <c r="Q425">
        <v>1.125</v>
      </c>
      <c r="R425">
        <v>1.5</v>
      </c>
    </row>
    <row r="426" spans="1:18" x14ac:dyDescent="0.35">
      <c r="A426">
        <v>414</v>
      </c>
      <c r="B426">
        <v>9</v>
      </c>
      <c r="C426">
        <v>5</v>
      </c>
      <c r="D426">
        <v>2023</v>
      </c>
      <c r="E426" t="s">
        <v>1059</v>
      </c>
      <c r="F426" t="s">
        <v>1076</v>
      </c>
      <c r="G426" t="s">
        <v>1061</v>
      </c>
      <c r="H426" s="18">
        <v>45055</v>
      </c>
      <c r="I426" t="s">
        <v>439</v>
      </c>
      <c r="J426" t="s">
        <v>20</v>
      </c>
      <c r="K426" s="46" t="s">
        <v>1030</v>
      </c>
      <c r="L426">
        <v>48</v>
      </c>
      <c r="M426" t="s">
        <v>21</v>
      </c>
      <c r="N426">
        <v>4</v>
      </c>
      <c r="O426">
        <v>25</v>
      </c>
      <c r="P426">
        <v>100</v>
      </c>
      <c r="Q426">
        <v>1.5</v>
      </c>
      <c r="R426">
        <v>2</v>
      </c>
    </row>
    <row r="427" spans="1:18" x14ac:dyDescent="0.35">
      <c r="A427">
        <v>415</v>
      </c>
      <c r="B427">
        <v>27</v>
      </c>
      <c r="C427">
        <v>1</v>
      </c>
      <c r="D427">
        <v>2023</v>
      </c>
      <c r="E427" t="s">
        <v>1070</v>
      </c>
      <c r="F427" t="s">
        <v>1060</v>
      </c>
      <c r="G427" t="s">
        <v>1061</v>
      </c>
      <c r="H427" s="18">
        <v>44953</v>
      </c>
      <c r="I427" t="s">
        <v>440</v>
      </c>
      <c r="J427" t="s">
        <v>20</v>
      </c>
      <c r="K427" s="46" t="s">
        <v>1032</v>
      </c>
      <c r="L427">
        <v>53</v>
      </c>
      <c r="M427" t="s">
        <v>21</v>
      </c>
      <c r="N427">
        <v>2</v>
      </c>
      <c r="O427">
        <v>30</v>
      </c>
      <c r="P427">
        <v>60</v>
      </c>
      <c r="Q427">
        <v>0.89999999999999991</v>
      </c>
      <c r="R427">
        <v>1.2</v>
      </c>
    </row>
    <row r="428" spans="1:18" x14ac:dyDescent="0.35">
      <c r="A428">
        <v>416</v>
      </c>
      <c r="B428">
        <v>17</v>
      </c>
      <c r="C428">
        <v>2</v>
      </c>
      <c r="D428">
        <v>2023</v>
      </c>
      <c r="E428" t="s">
        <v>1070</v>
      </c>
      <c r="F428" t="s">
        <v>1073</v>
      </c>
      <c r="G428" t="s">
        <v>1061</v>
      </c>
      <c r="H428" s="18">
        <v>44974</v>
      </c>
      <c r="I428" t="s">
        <v>441</v>
      </c>
      <c r="J428" t="s">
        <v>20</v>
      </c>
      <c r="K428" s="46" t="s">
        <v>1032</v>
      </c>
      <c r="L428">
        <v>53</v>
      </c>
      <c r="M428" t="s">
        <v>21</v>
      </c>
      <c r="N428">
        <v>4</v>
      </c>
      <c r="O428">
        <v>500</v>
      </c>
      <c r="P428">
        <v>2000</v>
      </c>
      <c r="Q428">
        <v>30</v>
      </c>
      <c r="R428">
        <v>40</v>
      </c>
    </row>
    <row r="429" spans="1:18" x14ac:dyDescent="0.35">
      <c r="A429">
        <v>417</v>
      </c>
      <c r="B429">
        <v>21</v>
      </c>
      <c r="C429">
        <v>11</v>
      </c>
      <c r="D429">
        <v>2023</v>
      </c>
      <c r="E429" t="s">
        <v>1059</v>
      </c>
      <c r="F429" t="s">
        <v>1068</v>
      </c>
      <c r="G429" t="s">
        <v>1061</v>
      </c>
      <c r="H429" s="18">
        <v>45251</v>
      </c>
      <c r="I429" t="s">
        <v>442</v>
      </c>
      <c r="J429" t="s">
        <v>20</v>
      </c>
      <c r="K429" s="46" t="s">
        <v>1030</v>
      </c>
      <c r="L429">
        <v>43</v>
      </c>
      <c r="M429" t="s">
        <v>21</v>
      </c>
      <c r="N429">
        <v>3</v>
      </c>
      <c r="O429">
        <v>300</v>
      </c>
      <c r="P429">
        <v>900</v>
      </c>
      <c r="Q429">
        <v>13.5</v>
      </c>
      <c r="R429">
        <v>18</v>
      </c>
    </row>
    <row r="430" spans="1:18" x14ac:dyDescent="0.35">
      <c r="A430">
        <v>418</v>
      </c>
      <c r="B430">
        <v>5</v>
      </c>
      <c r="C430">
        <v>8</v>
      </c>
      <c r="D430">
        <v>2023</v>
      </c>
      <c r="E430" t="s">
        <v>1075</v>
      </c>
      <c r="F430" t="s">
        <v>1074</v>
      </c>
      <c r="G430" t="s">
        <v>1061</v>
      </c>
      <c r="H430" s="18">
        <v>45143</v>
      </c>
      <c r="I430" t="s">
        <v>443</v>
      </c>
      <c r="J430" t="s">
        <v>23</v>
      </c>
      <c r="K430" s="46" t="s">
        <v>1032</v>
      </c>
      <c r="L430">
        <v>60</v>
      </c>
      <c r="M430" t="s">
        <v>21</v>
      </c>
      <c r="N430">
        <v>2</v>
      </c>
      <c r="O430">
        <v>500</v>
      </c>
      <c r="P430">
        <v>1000</v>
      </c>
      <c r="Q430">
        <v>15</v>
      </c>
      <c r="R430">
        <v>20</v>
      </c>
    </row>
    <row r="431" spans="1:18" x14ac:dyDescent="0.35">
      <c r="A431">
        <v>419</v>
      </c>
      <c r="B431">
        <v>22</v>
      </c>
      <c r="C431">
        <v>5</v>
      </c>
      <c r="D431">
        <v>2023</v>
      </c>
      <c r="E431" t="s">
        <v>1067</v>
      </c>
      <c r="F431" t="s">
        <v>1076</v>
      </c>
      <c r="G431" t="s">
        <v>1061</v>
      </c>
      <c r="H431" s="18">
        <v>45068</v>
      </c>
      <c r="I431" t="s">
        <v>444</v>
      </c>
      <c r="J431" t="s">
        <v>23</v>
      </c>
      <c r="K431" s="46" t="s">
        <v>1030</v>
      </c>
      <c r="L431">
        <v>44</v>
      </c>
      <c r="M431" t="s">
        <v>21</v>
      </c>
      <c r="N431">
        <v>3</v>
      </c>
      <c r="O431">
        <v>30</v>
      </c>
      <c r="P431">
        <v>90</v>
      </c>
      <c r="Q431">
        <v>1.3499999999999999</v>
      </c>
      <c r="R431">
        <v>1.8</v>
      </c>
    </row>
    <row r="432" spans="1:18" x14ac:dyDescent="0.35">
      <c r="A432">
        <v>420</v>
      </c>
      <c r="B432">
        <v>23</v>
      </c>
      <c r="C432">
        <v>1</v>
      </c>
      <c r="D432">
        <v>2023</v>
      </c>
      <c r="E432" t="s">
        <v>1067</v>
      </c>
      <c r="F432" t="s">
        <v>1060</v>
      </c>
      <c r="G432" t="s">
        <v>1061</v>
      </c>
      <c r="H432" s="18">
        <v>44949</v>
      </c>
      <c r="I432" t="s">
        <v>445</v>
      </c>
      <c r="J432" t="s">
        <v>23</v>
      </c>
      <c r="K432" s="46" t="s">
        <v>1034</v>
      </c>
      <c r="L432">
        <v>22</v>
      </c>
      <c r="M432" t="s">
        <v>21</v>
      </c>
      <c r="N432">
        <v>4</v>
      </c>
      <c r="O432">
        <v>500</v>
      </c>
      <c r="P432">
        <v>2000</v>
      </c>
      <c r="Q432">
        <v>30</v>
      </c>
      <c r="R432">
        <v>40</v>
      </c>
    </row>
    <row r="433" spans="1:18" x14ac:dyDescent="0.35">
      <c r="A433">
        <v>421</v>
      </c>
      <c r="B433">
        <v>2</v>
      </c>
      <c r="C433">
        <v>1</v>
      </c>
      <c r="D433">
        <v>2023</v>
      </c>
      <c r="E433" t="s">
        <v>1067</v>
      </c>
      <c r="F433" t="s">
        <v>1060</v>
      </c>
      <c r="G433" t="s">
        <v>1061</v>
      </c>
      <c r="H433" s="18">
        <v>44928</v>
      </c>
      <c r="I433" t="s">
        <v>446</v>
      </c>
      <c r="J433" t="s">
        <v>23</v>
      </c>
      <c r="K433" s="46" t="s">
        <v>1030</v>
      </c>
      <c r="L433">
        <v>37</v>
      </c>
      <c r="M433" t="s">
        <v>21</v>
      </c>
      <c r="N433">
        <v>3</v>
      </c>
      <c r="O433">
        <v>500</v>
      </c>
      <c r="P433">
        <v>1500</v>
      </c>
      <c r="Q433">
        <v>22.5</v>
      </c>
      <c r="R433">
        <v>30</v>
      </c>
    </row>
    <row r="434" spans="1:18" x14ac:dyDescent="0.35">
      <c r="A434">
        <v>422</v>
      </c>
      <c r="B434">
        <v>20</v>
      </c>
      <c r="C434">
        <v>6</v>
      </c>
      <c r="D434">
        <v>2023</v>
      </c>
      <c r="E434" t="s">
        <v>1059</v>
      </c>
      <c r="F434" t="s">
        <v>1069</v>
      </c>
      <c r="G434" t="s">
        <v>1061</v>
      </c>
      <c r="H434" s="18">
        <v>45097</v>
      </c>
      <c r="I434" t="s">
        <v>447</v>
      </c>
      <c r="J434" t="s">
        <v>23</v>
      </c>
      <c r="K434" s="46" t="s">
        <v>1034</v>
      </c>
      <c r="L434">
        <v>28</v>
      </c>
      <c r="M434" t="s">
        <v>21</v>
      </c>
      <c r="N434">
        <v>3</v>
      </c>
      <c r="O434">
        <v>30</v>
      </c>
      <c r="P434">
        <v>90</v>
      </c>
      <c r="Q434">
        <v>1.3499999999999999</v>
      </c>
      <c r="R434">
        <v>1.8</v>
      </c>
    </row>
    <row r="435" spans="1:18" x14ac:dyDescent="0.35">
      <c r="A435">
        <v>423</v>
      </c>
      <c r="B435">
        <v>8</v>
      </c>
      <c r="C435">
        <v>3</v>
      </c>
      <c r="D435">
        <v>2023</v>
      </c>
      <c r="E435" t="s">
        <v>1065</v>
      </c>
      <c r="F435" t="s">
        <v>1066</v>
      </c>
      <c r="G435" t="s">
        <v>1061</v>
      </c>
      <c r="H435" s="18">
        <v>44993</v>
      </c>
      <c r="I435" t="s">
        <v>448</v>
      </c>
      <c r="J435" t="s">
        <v>23</v>
      </c>
      <c r="K435" s="46" t="s">
        <v>1034</v>
      </c>
      <c r="L435">
        <v>27</v>
      </c>
      <c r="M435" t="s">
        <v>21</v>
      </c>
      <c r="N435">
        <v>1</v>
      </c>
      <c r="O435">
        <v>25</v>
      </c>
      <c r="P435">
        <v>25</v>
      </c>
      <c r="Q435">
        <v>0.375</v>
      </c>
      <c r="R435">
        <v>0.5</v>
      </c>
    </row>
    <row r="436" spans="1:18" x14ac:dyDescent="0.35">
      <c r="A436">
        <v>424</v>
      </c>
      <c r="B436">
        <v>23</v>
      </c>
      <c r="C436">
        <v>11</v>
      </c>
      <c r="D436">
        <v>2023</v>
      </c>
      <c r="E436" t="s">
        <v>1072</v>
      </c>
      <c r="F436" t="s">
        <v>1068</v>
      </c>
      <c r="G436" t="s">
        <v>1061</v>
      </c>
      <c r="H436" s="18">
        <v>45253</v>
      </c>
      <c r="I436" t="s">
        <v>449</v>
      </c>
      <c r="J436" t="s">
        <v>20</v>
      </c>
      <c r="K436" s="46" t="s">
        <v>1032</v>
      </c>
      <c r="L436">
        <v>57</v>
      </c>
      <c r="M436" t="s">
        <v>21</v>
      </c>
      <c r="N436">
        <v>4</v>
      </c>
      <c r="O436">
        <v>300</v>
      </c>
      <c r="P436">
        <v>1200</v>
      </c>
      <c r="Q436">
        <v>18</v>
      </c>
      <c r="R436">
        <v>24</v>
      </c>
    </row>
    <row r="437" spans="1:18" x14ac:dyDescent="0.35">
      <c r="A437">
        <v>425</v>
      </c>
      <c r="B437">
        <v>15</v>
      </c>
      <c r="C437">
        <v>5</v>
      </c>
      <c r="D437">
        <v>2023</v>
      </c>
      <c r="E437" t="s">
        <v>1067</v>
      </c>
      <c r="F437" t="s">
        <v>1076</v>
      </c>
      <c r="G437" t="s">
        <v>1061</v>
      </c>
      <c r="H437" s="18">
        <v>45061</v>
      </c>
      <c r="I437" t="s">
        <v>450</v>
      </c>
      <c r="J437" t="s">
        <v>23</v>
      </c>
      <c r="K437" s="46" t="s">
        <v>1032</v>
      </c>
      <c r="L437">
        <v>55</v>
      </c>
      <c r="M437" t="s">
        <v>21</v>
      </c>
      <c r="N437">
        <v>4</v>
      </c>
      <c r="O437">
        <v>30</v>
      </c>
      <c r="P437">
        <v>120</v>
      </c>
      <c r="Q437">
        <v>1.7999999999999998</v>
      </c>
      <c r="R437">
        <v>2.4</v>
      </c>
    </row>
    <row r="438" spans="1:18" x14ac:dyDescent="0.35">
      <c r="A438">
        <v>426</v>
      </c>
      <c r="B438">
        <v>24</v>
      </c>
      <c r="C438">
        <v>3</v>
      </c>
      <c r="D438">
        <v>2023</v>
      </c>
      <c r="E438" t="s">
        <v>1070</v>
      </c>
      <c r="F438" t="s">
        <v>1066</v>
      </c>
      <c r="G438" t="s">
        <v>1061</v>
      </c>
      <c r="H438" s="18">
        <v>45009</v>
      </c>
      <c r="I438" t="s">
        <v>451</v>
      </c>
      <c r="J438" t="s">
        <v>20</v>
      </c>
      <c r="K438" s="46" t="s">
        <v>1034</v>
      </c>
      <c r="L438">
        <v>23</v>
      </c>
      <c r="M438" t="s">
        <v>21</v>
      </c>
      <c r="N438">
        <v>3</v>
      </c>
      <c r="O438">
        <v>50</v>
      </c>
      <c r="P438">
        <v>150</v>
      </c>
      <c r="Q438">
        <v>2.25</v>
      </c>
      <c r="R438">
        <v>3</v>
      </c>
    </row>
    <row r="439" spans="1:18" x14ac:dyDescent="0.35">
      <c r="A439">
        <v>427</v>
      </c>
      <c r="B439">
        <v>15</v>
      </c>
      <c r="C439">
        <v>8</v>
      </c>
      <c r="D439">
        <v>2023</v>
      </c>
      <c r="E439" t="s">
        <v>1059</v>
      </c>
      <c r="F439" t="s">
        <v>1074</v>
      </c>
      <c r="G439" t="s">
        <v>1061</v>
      </c>
      <c r="H439" s="18">
        <v>45153</v>
      </c>
      <c r="I439" t="s">
        <v>452</v>
      </c>
      <c r="J439" t="s">
        <v>20</v>
      </c>
      <c r="K439" s="46" t="s">
        <v>1034</v>
      </c>
      <c r="L439">
        <v>25</v>
      </c>
      <c r="M439" t="s">
        <v>21</v>
      </c>
      <c r="N439">
        <v>1</v>
      </c>
      <c r="O439">
        <v>25</v>
      </c>
      <c r="P439">
        <v>25</v>
      </c>
      <c r="Q439">
        <v>0.375</v>
      </c>
      <c r="R439">
        <v>0.5</v>
      </c>
    </row>
    <row r="440" spans="1:18" x14ac:dyDescent="0.35">
      <c r="A440">
        <v>428</v>
      </c>
      <c r="B440">
        <v>10</v>
      </c>
      <c r="C440">
        <v>10</v>
      </c>
      <c r="D440">
        <v>2023</v>
      </c>
      <c r="E440" t="s">
        <v>1059</v>
      </c>
      <c r="F440" t="s">
        <v>1064</v>
      </c>
      <c r="G440" t="s">
        <v>1061</v>
      </c>
      <c r="H440" s="18">
        <v>45209</v>
      </c>
      <c r="I440" t="s">
        <v>453</v>
      </c>
      <c r="J440" t="s">
        <v>23</v>
      </c>
      <c r="K440" s="46" t="s">
        <v>1030</v>
      </c>
      <c r="L440">
        <v>40</v>
      </c>
      <c r="M440" t="s">
        <v>21</v>
      </c>
      <c r="N440">
        <v>4</v>
      </c>
      <c r="O440">
        <v>50</v>
      </c>
      <c r="P440">
        <v>200</v>
      </c>
      <c r="Q440">
        <v>3</v>
      </c>
      <c r="R440">
        <v>4</v>
      </c>
    </row>
    <row r="441" spans="1:18" x14ac:dyDescent="0.35">
      <c r="A441">
        <v>429</v>
      </c>
      <c r="B441">
        <v>28</v>
      </c>
      <c r="C441">
        <v>12</v>
      </c>
      <c r="D441">
        <v>2023</v>
      </c>
      <c r="E441" t="s">
        <v>1072</v>
      </c>
      <c r="F441" t="s">
        <v>1062</v>
      </c>
      <c r="G441" t="s">
        <v>1061</v>
      </c>
      <c r="H441" s="18">
        <v>45288</v>
      </c>
      <c r="I441" t="s">
        <v>454</v>
      </c>
      <c r="J441" t="s">
        <v>20</v>
      </c>
      <c r="K441" s="46" t="s">
        <v>1032</v>
      </c>
      <c r="L441">
        <v>64</v>
      </c>
      <c r="M441" t="s">
        <v>21</v>
      </c>
      <c r="N441">
        <v>2</v>
      </c>
      <c r="O441">
        <v>25</v>
      </c>
      <c r="P441">
        <v>50</v>
      </c>
      <c r="Q441">
        <v>0.75</v>
      </c>
      <c r="R441">
        <v>1</v>
      </c>
    </row>
    <row r="442" spans="1:18" x14ac:dyDescent="0.35">
      <c r="A442">
        <v>430</v>
      </c>
      <c r="B442">
        <v>7</v>
      </c>
      <c r="C442">
        <v>8</v>
      </c>
      <c r="D442">
        <v>2023</v>
      </c>
      <c r="E442" t="s">
        <v>1067</v>
      </c>
      <c r="F442" t="s">
        <v>1074</v>
      </c>
      <c r="G442" t="s">
        <v>1061</v>
      </c>
      <c r="H442" s="18">
        <v>45145</v>
      </c>
      <c r="I442" t="s">
        <v>455</v>
      </c>
      <c r="J442" t="s">
        <v>23</v>
      </c>
      <c r="K442" s="46" t="s">
        <v>1030</v>
      </c>
      <c r="L442">
        <v>43</v>
      </c>
      <c r="M442" t="s">
        <v>21</v>
      </c>
      <c r="N442">
        <v>3</v>
      </c>
      <c r="O442">
        <v>300</v>
      </c>
      <c r="P442">
        <v>900</v>
      </c>
      <c r="Q442">
        <v>13.5</v>
      </c>
      <c r="R442">
        <v>18</v>
      </c>
    </row>
    <row r="443" spans="1:18" x14ac:dyDescent="0.35">
      <c r="A443">
        <v>431</v>
      </c>
      <c r="B443">
        <v>15</v>
      </c>
      <c r="C443">
        <v>10</v>
      </c>
      <c r="D443">
        <v>2023</v>
      </c>
      <c r="E443" t="s">
        <v>1063</v>
      </c>
      <c r="F443" t="s">
        <v>1064</v>
      </c>
      <c r="G443" t="s">
        <v>1061</v>
      </c>
      <c r="H443" s="18">
        <v>45214</v>
      </c>
      <c r="I443" t="s">
        <v>456</v>
      </c>
      <c r="J443" t="s">
        <v>20</v>
      </c>
      <c r="K443" s="46" t="s">
        <v>1032</v>
      </c>
      <c r="L443">
        <v>63</v>
      </c>
      <c r="M443" t="s">
        <v>21</v>
      </c>
      <c r="N443">
        <v>4</v>
      </c>
      <c r="O443">
        <v>300</v>
      </c>
      <c r="P443">
        <v>1200</v>
      </c>
      <c r="Q443">
        <v>18</v>
      </c>
      <c r="R443">
        <v>24</v>
      </c>
    </row>
    <row r="444" spans="1:18" x14ac:dyDescent="0.35">
      <c r="A444">
        <v>432</v>
      </c>
      <c r="B444">
        <v>5</v>
      </c>
      <c r="C444">
        <v>1</v>
      </c>
      <c r="D444">
        <v>2023</v>
      </c>
      <c r="E444" t="s">
        <v>1072</v>
      </c>
      <c r="F444" t="s">
        <v>1060</v>
      </c>
      <c r="G444" t="s">
        <v>1061</v>
      </c>
      <c r="H444" s="18">
        <v>44931</v>
      </c>
      <c r="I444" t="s">
        <v>457</v>
      </c>
      <c r="J444" t="s">
        <v>23</v>
      </c>
      <c r="K444" s="46" t="s">
        <v>1032</v>
      </c>
      <c r="L444">
        <v>60</v>
      </c>
      <c r="M444" t="s">
        <v>21</v>
      </c>
      <c r="N444">
        <v>2</v>
      </c>
      <c r="O444">
        <v>500</v>
      </c>
      <c r="P444">
        <v>1000</v>
      </c>
      <c r="Q444">
        <v>15</v>
      </c>
      <c r="R444">
        <v>20</v>
      </c>
    </row>
    <row r="445" spans="1:18" x14ac:dyDescent="0.35">
      <c r="A445">
        <v>433</v>
      </c>
      <c r="B445">
        <v>27</v>
      </c>
      <c r="C445">
        <v>2</v>
      </c>
      <c r="D445">
        <v>2023</v>
      </c>
      <c r="E445" t="s">
        <v>1067</v>
      </c>
      <c r="F445" t="s">
        <v>1073</v>
      </c>
      <c r="G445" t="s">
        <v>1061</v>
      </c>
      <c r="H445" s="18">
        <v>44984</v>
      </c>
      <c r="I445" t="s">
        <v>458</v>
      </c>
      <c r="J445" t="s">
        <v>20</v>
      </c>
      <c r="K445" s="46" t="s">
        <v>1034</v>
      </c>
      <c r="L445">
        <v>29</v>
      </c>
      <c r="M445" t="s">
        <v>21</v>
      </c>
      <c r="N445">
        <v>4</v>
      </c>
      <c r="O445">
        <v>50</v>
      </c>
      <c r="P445">
        <v>200</v>
      </c>
      <c r="Q445">
        <v>3</v>
      </c>
      <c r="R445">
        <v>4</v>
      </c>
    </row>
    <row r="446" spans="1:18" x14ac:dyDescent="0.35">
      <c r="A446">
        <v>434</v>
      </c>
      <c r="B446">
        <v>8</v>
      </c>
      <c r="C446">
        <v>2</v>
      </c>
      <c r="D446">
        <v>2023</v>
      </c>
      <c r="E446" t="s">
        <v>1065</v>
      </c>
      <c r="F446" t="s">
        <v>1073</v>
      </c>
      <c r="G446" t="s">
        <v>1061</v>
      </c>
      <c r="H446" s="18">
        <v>44965</v>
      </c>
      <c r="I446" t="s">
        <v>459</v>
      </c>
      <c r="J446" t="s">
        <v>23</v>
      </c>
      <c r="K446" s="46" t="s">
        <v>1030</v>
      </c>
      <c r="L446">
        <v>43</v>
      </c>
      <c r="M446" t="s">
        <v>21</v>
      </c>
      <c r="N446">
        <v>2</v>
      </c>
      <c r="O446">
        <v>25</v>
      </c>
      <c r="P446">
        <v>50</v>
      </c>
      <c r="Q446">
        <v>0.75</v>
      </c>
      <c r="R446">
        <v>1</v>
      </c>
    </row>
    <row r="447" spans="1:18" x14ac:dyDescent="0.35">
      <c r="A447">
        <v>435</v>
      </c>
      <c r="B447">
        <v>20</v>
      </c>
      <c r="C447">
        <v>12</v>
      </c>
      <c r="D447">
        <v>2023</v>
      </c>
      <c r="E447" t="s">
        <v>1065</v>
      </c>
      <c r="F447" t="s">
        <v>1062</v>
      </c>
      <c r="G447" t="s">
        <v>1061</v>
      </c>
      <c r="H447" s="18">
        <v>45280</v>
      </c>
      <c r="I447" t="s">
        <v>460</v>
      </c>
      <c r="J447" t="s">
        <v>23</v>
      </c>
      <c r="K447" s="46" t="s">
        <v>1030</v>
      </c>
      <c r="L447">
        <v>30</v>
      </c>
      <c r="M447" t="s">
        <v>21</v>
      </c>
      <c r="N447">
        <v>3</v>
      </c>
      <c r="O447">
        <v>300</v>
      </c>
      <c r="P447">
        <v>900</v>
      </c>
      <c r="Q447">
        <v>13.5</v>
      </c>
      <c r="R447">
        <v>18</v>
      </c>
    </row>
    <row r="448" spans="1:18" x14ac:dyDescent="0.35">
      <c r="A448">
        <v>436</v>
      </c>
      <c r="B448">
        <v>18</v>
      </c>
      <c r="C448">
        <v>3</v>
      </c>
      <c r="D448">
        <v>2023</v>
      </c>
      <c r="E448" t="s">
        <v>1075</v>
      </c>
      <c r="F448" t="s">
        <v>1066</v>
      </c>
      <c r="G448" t="s">
        <v>1061</v>
      </c>
      <c r="H448" s="18">
        <v>45003</v>
      </c>
      <c r="I448" t="s">
        <v>461</v>
      </c>
      <c r="J448" t="s">
        <v>23</v>
      </c>
      <c r="K448" s="46" t="s">
        <v>1032</v>
      </c>
      <c r="L448">
        <v>57</v>
      </c>
      <c r="M448" t="s">
        <v>21</v>
      </c>
      <c r="N448">
        <v>4</v>
      </c>
      <c r="O448">
        <v>30</v>
      </c>
      <c r="P448">
        <v>120</v>
      </c>
      <c r="Q448">
        <v>1.7999999999999998</v>
      </c>
      <c r="R448">
        <v>2.4</v>
      </c>
    </row>
    <row r="449" spans="1:18" x14ac:dyDescent="0.35">
      <c r="A449">
        <v>437</v>
      </c>
      <c r="B449">
        <v>7</v>
      </c>
      <c r="C449">
        <v>10</v>
      </c>
      <c r="D449">
        <v>2023</v>
      </c>
      <c r="E449" t="s">
        <v>1075</v>
      </c>
      <c r="F449" t="s">
        <v>1064</v>
      </c>
      <c r="G449" t="s">
        <v>1061</v>
      </c>
      <c r="H449" s="18">
        <v>45206</v>
      </c>
      <c r="I449" t="s">
        <v>462</v>
      </c>
      <c r="J449" t="s">
        <v>23</v>
      </c>
      <c r="K449" s="46" t="s">
        <v>1030</v>
      </c>
      <c r="L449">
        <v>35</v>
      </c>
      <c r="M449" t="s">
        <v>21</v>
      </c>
      <c r="N449">
        <v>4</v>
      </c>
      <c r="O449">
        <v>300</v>
      </c>
      <c r="P449">
        <v>1200</v>
      </c>
      <c r="Q449">
        <v>18</v>
      </c>
      <c r="R449">
        <v>24</v>
      </c>
    </row>
    <row r="450" spans="1:18" x14ac:dyDescent="0.35">
      <c r="A450">
        <v>438</v>
      </c>
      <c r="B450">
        <v>19</v>
      </c>
      <c r="C450">
        <v>1</v>
      </c>
      <c r="D450">
        <v>2023</v>
      </c>
      <c r="E450" t="s">
        <v>1072</v>
      </c>
      <c r="F450" t="s">
        <v>1060</v>
      </c>
      <c r="G450" t="s">
        <v>1061</v>
      </c>
      <c r="H450" s="18">
        <v>44945</v>
      </c>
      <c r="I450" t="s">
        <v>463</v>
      </c>
      <c r="J450" t="s">
        <v>23</v>
      </c>
      <c r="K450" s="46" t="s">
        <v>1030</v>
      </c>
      <c r="L450">
        <v>42</v>
      </c>
      <c r="M450" t="s">
        <v>21</v>
      </c>
      <c r="N450">
        <v>1</v>
      </c>
      <c r="O450">
        <v>30</v>
      </c>
      <c r="P450">
        <v>30</v>
      </c>
      <c r="Q450">
        <v>0.44999999999999996</v>
      </c>
      <c r="R450">
        <v>0.6</v>
      </c>
    </row>
    <row r="451" spans="1:18" x14ac:dyDescent="0.35">
      <c r="A451">
        <v>439</v>
      </c>
      <c r="B451">
        <v>9</v>
      </c>
      <c r="C451">
        <v>7</v>
      </c>
      <c r="D451">
        <v>2023</v>
      </c>
      <c r="E451" t="s">
        <v>1063</v>
      </c>
      <c r="F451" t="s">
        <v>1078</v>
      </c>
      <c r="G451" t="s">
        <v>1061</v>
      </c>
      <c r="H451" s="18">
        <v>45116</v>
      </c>
      <c r="I451" t="s">
        <v>464</v>
      </c>
      <c r="J451" t="s">
        <v>20</v>
      </c>
      <c r="K451" s="46" t="s">
        <v>1030</v>
      </c>
      <c r="L451">
        <v>50</v>
      </c>
      <c r="M451" t="s">
        <v>21</v>
      </c>
      <c r="N451">
        <v>3</v>
      </c>
      <c r="O451">
        <v>25</v>
      </c>
      <c r="P451">
        <v>75</v>
      </c>
      <c r="Q451">
        <v>1.125</v>
      </c>
      <c r="R451">
        <v>1.5</v>
      </c>
    </row>
    <row r="452" spans="1:18" x14ac:dyDescent="0.35">
      <c r="A452">
        <v>440</v>
      </c>
      <c r="B452">
        <v>26</v>
      </c>
      <c r="C452">
        <v>10</v>
      </c>
      <c r="D452">
        <v>2023</v>
      </c>
      <c r="E452" t="s">
        <v>1072</v>
      </c>
      <c r="F452" t="s">
        <v>1064</v>
      </c>
      <c r="G452" t="s">
        <v>1061</v>
      </c>
      <c r="H452" s="18">
        <v>45225</v>
      </c>
      <c r="I452" t="s">
        <v>465</v>
      </c>
      <c r="J452" t="s">
        <v>20</v>
      </c>
      <c r="K452" s="46" t="s">
        <v>1032</v>
      </c>
      <c r="L452">
        <v>64</v>
      </c>
      <c r="M452" t="s">
        <v>21</v>
      </c>
      <c r="N452">
        <v>2</v>
      </c>
      <c r="O452">
        <v>300</v>
      </c>
      <c r="P452">
        <v>600</v>
      </c>
      <c r="Q452">
        <v>9</v>
      </c>
      <c r="R452">
        <v>12</v>
      </c>
    </row>
    <row r="453" spans="1:18" x14ac:dyDescent="0.35">
      <c r="A453">
        <v>441</v>
      </c>
      <c r="B453">
        <v>10</v>
      </c>
      <c r="C453">
        <v>10</v>
      </c>
      <c r="D453">
        <v>2023</v>
      </c>
      <c r="E453" t="s">
        <v>1059</v>
      </c>
      <c r="F453" t="s">
        <v>1064</v>
      </c>
      <c r="G453" t="s">
        <v>1061</v>
      </c>
      <c r="H453" s="18">
        <v>45209</v>
      </c>
      <c r="I453" t="s">
        <v>466</v>
      </c>
      <c r="J453" t="s">
        <v>20</v>
      </c>
      <c r="K453" s="46" t="s">
        <v>1032</v>
      </c>
      <c r="L453">
        <v>57</v>
      </c>
      <c r="M453" t="s">
        <v>21</v>
      </c>
      <c r="N453">
        <v>4</v>
      </c>
      <c r="O453">
        <v>300</v>
      </c>
      <c r="P453">
        <v>1200</v>
      </c>
      <c r="Q453">
        <v>18</v>
      </c>
      <c r="R453">
        <v>24</v>
      </c>
    </row>
    <row r="454" spans="1:18" x14ac:dyDescent="0.35">
      <c r="A454">
        <v>442</v>
      </c>
      <c r="B454">
        <v>17</v>
      </c>
      <c r="C454">
        <v>3</v>
      </c>
      <c r="D454">
        <v>2023</v>
      </c>
      <c r="E454" t="s">
        <v>1070</v>
      </c>
      <c r="F454" t="s">
        <v>1066</v>
      </c>
      <c r="G454" t="s">
        <v>1061</v>
      </c>
      <c r="H454" s="18">
        <v>45002</v>
      </c>
      <c r="I454" t="s">
        <v>467</v>
      </c>
      <c r="J454" t="s">
        <v>23</v>
      </c>
      <c r="K454" s="46" t="s">
        <v>1032</v>
      </c>
      <c r="L454">
        <v>60</v>
      </c>
      <c r="M454" t="s">
        <v>21</v>
      </c>
      <c r="N454">
        <v>4</v>
      </c>
      <c r="O454">
        <v>25</v>
      </c>
      <c r="P454">
        <v>100</v>
      </c>
      <c r="Q454">
        <v>1.5</v>
      </c>
      <c r="R454">
        <v>2</v>
      </c>
    </row>
    <row r="455" spans="1:18" x14ac:dyDescent="0.35">
      <c r="A455">
        <v>443</v>
      </c>
      <c r="B455">
        <v>9</v>
      </c>
      <c r="C455">
        <v>8</v>
      </c>
      <c r="D455">
        <v>2023</v>
      </c>
      <c r="E455" t="s">
        <v>1065</v>
      </c>
      <c r="F455" t="s">
        <v>1074</v>
      </c>
      <c r="G455" t="s">
        <v>1061</v>
      </c>
      <c r="H455" s="18">
        <v>45147</v>
      </c>
      <c r="I455" t="s">
        <v>468</v>
      </c>
      <c r="J455" t="s">
        <v>20</v>
      </c>
      <c r="K455" s="46" t="s">
        <v>1034</v>
      </c>
      <c r="L455">
        <v>29</v>
      </c>
      <c r="M455" t="s">
        <v>21</v>
      </c>
      <c r="N455">
        <v>2</v>
      </c>
      <c r="O455">
        <v>300</v>
      </c>
      <c r="P455">
        <v>600</v>
      </c>
      <c r="Q455">
        <v>9</v>
      </c>
      <c r="R455">
        <v>12</v>
      </c>
    </row>
    <row r="456" spans="1:18" x14ac:dyDescent="0.35">
      <c r="A456">
        <v>444</v>
      </c>
      <c r="B456">
        <v>7</v>
      </c>
      <c r="C456">
        <v>3</v>
      </c>
      <c r="D456">
        <v>2023</v>
      </c>
      <c r="E456" t="s">
        <v>1059</v>
      </c>
      <c r="F456" t="s">
        <v>1066</v>
      </c>
      <c r="G456" t="s">
        <v>1061</v>
      </c>
      <c r="H456" s="18">
        <v>44992</v>
      </c>
      <c r="I456" t="s">
        <v>469</v>
      </c>
      <c r="J456" t="s">
        <v>23</v>
      </c>
      <c r="K456" s="46" t="s">
        <v>1032</v>
      </c>
      <c r="L456">
        <v>61</v>
      </c>
      <c r="M456" t="s">
        <v>21</v>
      </c>
      <c r="N456">
        <v>3</v>
      </c>
      <c r="O456">
        <v>30</v>
      </c>
      <c r="P456">
        <v>90</v>
      </c>
      <c r="Q456">
        <v>1.3499999999999999</v>
      </c>
      <c r="R456">
        <v>1.8</v>
      </c>
    </row>
    <row r="457" spans="1:18" x14ac:dyDescent="0.35">
      <c r="A457">
        <v>445</v>
      </c>
      <c r="B457">
        <v>22</v>
      </c>
      <c r="C457">
        <v>1</v>
      </c>
      <c r="D457">
        <v>2023</v>
      </c>
      <c r="E457" t="s">
        <v>1063</v>
      </c>
      <c r="F457" t="s">
        <v>1060</v>
      </c>
      <c r="G457" t="s">
        <v>1061</v>
      </c>
      <c r="H457" s="18">
        <v>44948</v>
      </c>
      <c r="I457" t="s">
        <v>470</v>
      </c>
      <c r="J457" t="s">
        <v>23</v>
      </c>
      <c r="K457" s="46" t="s">
        <v>1032</v>
      </c>
      <c r="L457">
        <v>53</v>
      </c>
      <c r="M457" t="s">
        <v>21</v>
      </c>
      <c r="N457">
        <v>1</v>
      </c>
      <c r="O457">
        <v>300</v>
      </c>
      <c r="P457">
        <v>300</v>
      </c>
      <c r="Q457">
        <v>4.5</v>
      </c>
      <c r="R457">
        <v>6</v>
      </c>
    </row>
    <row r="458" spans="1:18" x14ac:dyDescent="0.35">
      <c r="A458">
        <v>446</v>
      </c>
      <c r="B458">
        <v>7</v>
      </c>
      <c r="C458">
        <v>6</v>
      </c>
      <c r="D458">
        <v>2023</v>
      </c>
      <c r="E458" t="s">
        <v>1065</v>
      </c>
      <c r="F458" t="s">
        <v>1069</v>
      </c>
      <c r="G458" t="s">
        <v>1061</v>
      </c>
      <c r="H458" s="18">
        <v>45084</v>
      </c>
      <c r="I458" t="s">
        <v>471</v>
      </c>
      <c r="J458" t="s">
        <v>20</v>
      </c>
      <c r="K458" s="46" t="s">
        <v>1034</v>
      </c>
      <c r="L458">
        <v>21</v>
      </c>
      <c r="M458" t="s">
        <v>21</v>
      </c>
      <c r="N458">
        <v>1</v>
      </c>
      <c r="O458">
        <v>50</v>
      </c>
      <c r="P458">
        <v>50</v>
      </c>
      <c r="Q458">
        <v>0.75</v>
      </c>
      <c r="R458">
        <v>1</v>
      </c>
    </row>
    <row r="459" spans="1:18" x14ac:dyDescent="0.35">
      <c r="A459">
        <v>447</v>
      </c>
      <c r="B459">
        <v>6</v>
      </c>
      <c r="C459">
        <v>7</v>
      </c>
      <c r="D459">
        <v>2023</v>
      </c>
      <c r="E459" t="s">
        <v>1072</v>
      </c>
      <c r="F459" t="s">
        <v>1078</v>
      </c>
      <c r="G459" t="s">
        <v>1061</v>
      </c>
      <c r="H459" s="18">
        <v>45113</v>
      </c>
      <c r="I459" t="s">
        <v>472</v>
      </c>
      <c r="J459" t="s">
        <v>20</v>
      </c>
      <c r="K459" s="46" t="s">
        <v>1034</v>
      </c>
      <c r="L459">
        <v>22</v>
      </c>
      <c r="M459" t="s">
        <v>21</v>
      </c>
      <c r="N459">
        <v>4</v>
      </c>
      <c r="O459">
        <v>500</v>
      </c>
      <c r="P459">
        <v>2000</v>
      </c>
      <c r="Q459">
        <v>30</v>
      </c>
      <c r="R459">
        <v>40</v>
      </c>
    </row>
    <row r="460" spans="1:18" x14ac:dyDescent="0.35">
      <c r="A460">
        <v>448</v>
      </c>
      <c r="B460">
        <v>21</v>
      </c>
      <c r="C460">
        <v>1</v>
      </c>
      <c r="D460">
        <v>2023</v>
      </c>
      <c r="E460" t="s">
        <v>1075</v>
      </c>
      <c r="F460" t="s">
        <v>1060</v>
      </c>
      <c r="G460" t="s">
        <v>1061</v>
      </c>
      <c r="H460" s="18">
        <v>44947</v>
      </c>
      <c r="I460" t="s">
        <v>473</v>
      </c>
      <c r="J460" t="s">
        <v>23</v>
      </c>
      <c r="K460" s="46" t="s">
        <v>1032</v>
      </c>
      <c r="L460">
        <v>54</v>
      </c>
      <c r="M460" t="s">
        <v>21</v>
      </c>
      <c r="N460">
        <v>2</v>
      </c>
      <c r="O460">
        <v>30</v>
      </c>
      <c r="P460">
        <v>60</v>
      </c>
      <c r="Q460">
        <v>0.89999999999999991</v>
      </c>
      <c r="R460">
        <v>1.2</v>
      </c>
    </row>
    <row r="461" spans="1:18" x14ac:dyDescent="0.35">
      <c r="A461">
        <v>449</v>
      </c>
      <c r="B461">
        <v>3</v>
      </c>
      <c r="C461">
        <v>7</v>
      </c>
      <c r="D461">
        <v>2023</v>
      </c>
      <c r="E461" t="s">
        <v>1067</v>
      </c>
      <c r="F461" t="s">
        <v>1078</v>
      </c>
      <c r="G461" t="s">
        <v>1061</v>
      </c>
      <c r="H461" s="18">
        <v>45110</v>
      </c>
      <c r="I461" t="s">
        <v>474</v>
      </c>
      <c r="J461" t="s">
        <v>20</v>
      </c>
      <c r="K461" s="46" t="s">
        <v>1034</v>
      </c>
      <c r="L461">
        <v>25</v>
      </c>
      <c r="M461" t="s">
        <v>21</v>
      </c>
      <c r="N461">
        <v>4</v>
      </c>
      <c r="O461">
        <v>50</v>
      </c>
      <c r="P461">
        <v>200</v>
      </c>
      <c r="Q461">
        <v>3</v>
      </c>
      <c r="R461">
        <v>4</v>
      </c>
    </row>
    <row r="462" spans="1:18" x14ac:dyDescent="0.35">
      <c r="A462">
        <v>450</v>
      </c>
      <c r="B462">
        <v>18</v>
      </c>
      <c r="C462">
        <v>4</v>
      </c>
      <c r="D462">
        <v>2023</v>
      </c>
      <c r="E462" t="s">
        <v>1059</v>
      </c>
      <c r="F462" t="s">
        <v>1077</v>
      </c>
      <c r="G462" t="s">
        <v>1061</v>
      </c>
      <c r="H462" s="18">
        <v>45034</v>
      </c>
      <c r="I462" t="s">
        <v>475</v>
      </c>
      <c r="J462" t="s">
        <v>23</v>
      </c>
      <c r="K462" s="46" t="s">
        <v>1032</v>
      </c>
      <c r="L462">
        <v>59</v>
      </c>
      <c r="M462" t="s">
        <v>21</v>
      </c>
      <c r="N462">
        <v>2</v>
      </c>
      <c r="O462">
        <v>25</v>
      </c>
      <c r="P462">
        <v>50</v>
      </c>
      <c r="Q462">
        <v>0.75</v>
      </c>
      <c r="R462">
        <v>1</v>
      </c>
    </row>
    <row r="463" spans="1:18" x14ac:dyDescent="0.35">
      <c r="A463">
        <v>451</v>
      </c>
      <c r="B463">
        <v>16</v>
      </c>
      <c r="C463">
        <v>12</v>
      </c>
      <c r="D463">
        <v>2023</v>
      </c>
      <c r="E463" t="s">
        <v>1075</v>
      </c>
      <c r="F463" t="s">
        <v>1062</v>
      </c>
      <c r="G463" t="s">
        <v>1061</v>
      </c>
      <c r="H463" s="18">
        <v>45276</v>
      </c>
      <c r="I463" t="s">
        <v>476</v>
      </c>
      <c r="J463" t="s">
        <v>23</v>
      </c>
      <c r="K463" s="46" t="s">
        <v>1030</v>
      </c>
      <c r="L463">
        <v>45</v>
      </c>
      <c r="M463" t="s">
        <v>21</v>
      </c>
      <c r="N463">
        <v>1</v>
      </c>
      <c r="O463">
        <v>30</v>
      </c>
      <c r="P463">
        <v>30</v>
      </c>
      <c r="Q463">
        <v>0.44999999999999996</v>
      </c>
      <c r="R463">
        <v>0.6</v>
      </c>
    </row>
    <row r="464" spans="1:18" x14ac:dyDescent="0.35">
      <c r="A464">
        <v>452</v>
      </c>
      <c r="B464">
        <v>8</v>
      </c>
      <c r="C464">
        <v>5</v>
      </c>
      <c r="D464">
        <v>2023</v>
      </c>
      <c r="E464" t="s">
        <v>1067</v>
      </c>
      <c r="F464" t="s">
        <v>1076</v>
      </c>
      <c r="G464" t="s">
        <v>1061</v>
      </c>
      <c r="H464" s="18">
        <v>45054</v>
      </c>
      <c r="I464" t="s">
        <v>477</v>
      </c>
      <c r="J464" t="s">
        <v>23</v>
      </c>
      <c r="K464" s="46" t="s">
        <v>1030</v>
      </c>
      <c r="L464">
        <v>48</v>
      </c>
      <c r="M464" t="s">
        <v>21</v>
      </c>
      <c r="N464">
        <v>3</v>
      </c>
      <c r="O464">
        <v>500</v>
      </c>
      <c r="P464">
        <v>1500</v>
      </c>
      <c r="Q464">
        <v>22.5</v>
      </c>
      <c r="R464">
        <v>30</v>
      </c>
    </row>
    <row r="465" spans="1:18" x14ac:dyDescent="0.35">
      <c r="A465">
        <v>453</v>
      </c>
      <c r="B465">
        <v>8</v>
      </c>
      <c r="C465">
        <v>12</v>
      </c>
      <c r="D465">
        <v>2023</v>
      </c>
      <c r="E465" t="s">
        <v>1070</v>
      </c>
      <c r="F465" t="s">
        <v>1062</v>
      </c>
      <c r="G465" t="s">
        <v>1061</v>
      </c>
      <c r="H465" s="18">
        <v>45268</v>
      </c>
      <c r="I465" t="s">
        <v>478</v>
      </c>
      <c r="J465" t="s">
        <v>23</v>
      </c>
      <c r="K465" s="46" t="s">
        <v>1034</v>
      </c>
      <c r="L465">
        <v>26</v>
      </c>
      <c r="M465" t="s">
        <v>21</v>
      </c>
      <c r="N465">
        <v>2</v>
      </c>
      <c r="O465">
        <v>500</v>
      </c>
      <c r="P465">
        <v>1000</v>
      </c>
      <c r="Q465">
        <v>15</v>
      </c>
      <c r="R465">
        <v>20</v>
      </c>
    </row>
    <row r="466" spans="1:18" x14ac:dyDescent="0.35">
      <c r="A466">
        <v>454</v>
      </c>
      <c r="B466">
        <v>22</v>
      </c>
      <c r="C466">
        <v>2</v>
      </c>
      <c r="D466">
        <v>2023</v>
      </c>
      <c r="E466" t="s">
        <v>1065</v>
      </c>
      <c r="F466" t="s">
        <v>1073</v>
      </c>
      <c r="G466" t="s">
        <v>1061</v>
      </c>
      <c r="H466" s="18">
        <v>44979</v>
      </c>
      <c r="I466" t="s">
        <v>479</v>
      </c>
      <c r="J466" t="s">
        <v>23</v>
      </c>
      <c r="K466" s="46" t="s">
        <v>1030</v>
      </c>
      <c r="L466">
        <v>46</v>
      </c>
      <c r="M466" t="s">
        <v>21</v>
      </c>
      <c r="N466">
        <v>1</v>
      </c>
      <c r="O466">
        <v>25</v>
      </c>
      <c r="P466">
        <v>25</v>
      </c>
      <c r="Q466">
        <v>0.375</v>
      </c>
      <c r="R466">
        <v>0.5</v>
      </c>
    </row>
    <row r="467" spans="1:18" x14ac:dyDescent="0.35">
      <c r="A467">
        <v>455</v>
      </c>
      <c r="B467">
        <v>1</v>
      </c>
      <c r="C467">
        <v>7</v>
      </c>
      <c r="D467">
        <v>2023</v>
      </c>
      <c r="E467" t="s">
        <v>1075</v>
      </c>
      <c r="F467" t="s">
        <v>1078</v>
      </c>
      <c r="G467" t="s">
        <v>1061</v>
      </c>
      <c r="H467" s="18">
        <v>45108</v>
      </c>
      <c r="I467" t="s">
        <v>480</v>
      </c>
      <c r="J467" t="s">
        <v>20</v>
      </c>
      <c r="K467" s="46" t="s">
        <v>1030</v>
      </c>
      <c r="L467">
        <v>31</v>
      </c>
      <c r="M467" t="s">
        <v>21</v>
      </c>
      <c r="N467">
        <v>4</v>
      </c>
      <c r="O467">
        <v>25</v>
      </c>
      <c r="P467">
        <v>100</v>
      </c>
      <c r="Q467">
        <v>1.5</v>
      </c>
      <c r="R467">
        <v>2</v>
      </c>
    </row>
    <row r="468" spans="1:18" x14ac:dyDescent="0.35">
      <c r="A468">
        <v>456</v>
      </c>
      <c r="B468">
        <v>14</v>
      </c>
      <c r="C468">
        <v>10</v>
      </c>
      <c r="D468">
        <v>2023</v>
      </c>
      <c r="E468" t="s">
        <v>1075</v>
      </c>
      <c r="F468" t="s">
        <v>1064</v>
      </c>
      <c r="G468" t="s">
        <v>1061</v>
      </c>
      <c r="H468" s="18">
        <v>45213</v>
      </c>
      <c r="I468" t="s">
        <v>481</v>
      </c>
      <c r="J468" t="s">
        <v>20</v>
      </c>
      <c r="K468" s="46" t="s">
        <v>1032</v>
      </c>
      <c r="L468">
        <v>57</v>
      </c>
      <c r="M468" t="s">
        <v>21</v>
      </c>
      <c r="N468">
        <v>2</v>
      </c>
      <c r="O468">
        <v>30</v>
      </c>
      <c r="P468">
        <v>60</v>
      </c>
      <c r="Q468">
        <v>0.89999999999999991</v>
      </c>
      <c r="R468">
        <v>1.2</v>
      </c>
    </row>
    <row r="469" spans="1:18" x14ac:dyDescent="0.35">
      <c r="A469">
        <v>457</v>
      </c>
      <c r="B469">
        <v>28</v>
      </c>
      <c r="C469">
        <v>7</v>
      </c>
      <c r="D469">
        <v>2023</v>
      </c>
      <c r="E469" t="s">
        <v>1070</v>
      </c>
      <c r="F469" t="s">
        <v>1078</v>
      </c>
      <c r="G469" t="s">
        <v>1061</v>
      </c>
      <c r="H469" s="18">
        <v>45135</v>
      </c>
      <c r="I469" t="s">
        <v>482</v>
      </c>
      <c r="J469" t="s">
        <v>23</v>
      </c>
      <c r="K469" s="46" t="s">
        <v>1032</v>
      </c>
      <c r="L469">
        <v>58</v>
      </c>
      <c r="M469" t="s">
        <v>21</v>
      </c>
      <c r="N469">
        <v>3</v>
      </c>
      <c r="O469">
        <v>300</v>
      </c>
      <c r="P469">
        <v>900</v>
      </c>
      <c r="Q469">
        <v>13.5</v>
      </c>
      <c r="R469">
        <v>18</v>
      </c>
    </row>
    <row r="470" spans="1:18" x14ac:dyDescent="0.35">
      <c r="A470">
        <v>458</v>
      </c>
      <c r="B470">
        <v>14</v>
      </c>
      <c r="C470">
        <v>11</v>
      </c>
      <c r="D470">
        <v>2023</v>
      </c>
      <c r="E470" t="s">
        <v>1059</v>
      </c>
      <c r="F470" t="s">
        <v>1068</v>
      </c>
      <c r="G470" t="s">
        <v>1061</v>
      </c>
      <c r="H470" s="18">
        <v>45244</v>
      </c>
      <c r="I470" t="s">
        <v>483</v>
      </c>
      <c r="J470" t="s">
        <v>23</v>
      </c>
      <c r="K470" s="46" t="s">
        <v>1030</v>
      </c>
      <c r="L470">
        <v>39</v>
      </c>
      <c r="M470" t="s">
        <v>21</v>
      </c>
      <c r="N470">
        <v>4</v>
      </c>
      <c r="O470">
        <v>25</v>
      </c>
      <c r="P470">
        <v>100</v>
      </c>
      <c r="Q470">
        <v>1.5</v>
      </c>
      <c r="R470">
        <v>2</v>
      </c>
    </row>
    <row r="471" spans="1:18" x14ac:dyDescent="0.35">
      <c r="A471">
        <v>459</v>
      </c>
      <c r="B471">
        <v>21</v>
      </c>
      <c r="C471">
        <v>3</v>
      </c>
      <c r="D471">
        <v>2023</v>
      </c>
      <c r="E471" t="s">
        <v>1059</v>
      </c>
      <c r="F471" t="s">
        <v>1066</v>
      </c>
      <c r="G471" t="s">
        <v>1061</v>
      </c>
      <c r="H471" s="18">
        <v>45006</v>
      </c>
      <c r="I471" t="s">
        <v>484</v>
      </c>
      <c r="J471" t="s">
        <v>20</v>
      </c>
      <c r="K471" s="46" t="s">
        <v>1034</v>
      </c>
      <c r="L471">
        <v>28</v>
      </c>
      <c r="M471" t="s">
        <v>21</v>
      </c>
      <c r="N471">
        <v>4</v>
      </c>
      <c r="O471">
        <v>300</v>
      </c>
      <c r="P471">
        <v>1200</v>
      </c>
      <c r="Q471">
        <v>18</v>
      </c>
      <c r="R471">
        <v>24</v>
      </c>
    </row>
    <row r="472" spans="1:18" x14ac:dyDescent="0.35">
      <c r="A472">
        <v>460</v>
      </c>
      <c r="B472">
        <v>2</v>
      </c>
      <c r="C472">
        <v>5</v>
      </c>
      <c r="D472">
        <v>2023</v>
      </c>
      <c r="E472" t="s">
        <v>1059</v>
      </c>
      <c r="F472" t="s">
        <v>1076</v>
      </c>
      <c r="G472" t="s">
        <v>1061</v>
      </c>
      <c r="H472" s="18">
        <v>45048</v>
      </c>
      <c r="I472" t="s">
        <v>485</v>
      </c>
      <c r="J472" t="s">
        <v>20</v>
      </c>
      <c r="K472" s="46" t="s">
        <v>1030</v>
      </c>
      <c r="L472">
        <v>40</v>
      </c>
      <c r="M472" t="s">
        <v>21</v>
      </c>
      <c r="N472">
        <v>1</v>
      </c>
      <c r="O472">
        <v>50</v>
      </c>
      <c r="P472">
        <v>50</v>
      </c>
      <c r="Q472">
        <v>0.75</v>
      </c>
      <c r="R472">
        <v>1</v>
      </c>
    </row>
    <row r="473" spans="1:18" x14ac:dyDescent="0.35">
      <c r="A473">
        <v>461</v>
      </c>
      <c r="B473">
        <v>25</v>
      </c>
      <c r="C473">
        <v>3</v>
      </c>
      <c r="D473">
        <v>2023</v>
      </c>
      <c r="E473" t="s">
        <v>1075</v>
      </c>
      <c r="F473" t="s">
        <v>1066</v>
      </c>
      <c r="G473" t="s">
        <v>1061</v>
      </c>
      <c r="H473" s="18">
        <v>45010</v>
      </c>
      <c r="I473" t="s">
        <v>486</v>
      </c>
      <c r="J473" t="s">
        <v>23</v>
      </c>
      <c r="K473" s="46" t="s">
        <v>1034</v>
      </c>
      <c r="L473">
        <v>18</v>
      </c>
      <c r="M473" t="s">
        <v>21</v>
      </c>
      <c r="N473">
        <v>2</v>
      </c>
      <c r="O473">
        <v>500</v>
      </c>
      <c r="P473">
        <v>1000</v>
      </c>
      <c r="Q473">
        <v>15</v>
      </c>
      <c r="R473">
        <v>20</v>
      </c>
    </row>
    <row r="474" spans="1:18" x14ac:dyDescent="0.35">
      <c r="A474">
        <v>462</v>
      </c>
      <c r="B474">
        <v>1</v>
      </c>
      <c r="C474">
        <v>4</v>
      </c>
      <c r="D474">
        <v>2023</v>
      </c>
      <c r="E474" t="s">
        <v>1075</v>
      </c>
      <c r="F474" t="s">
        <v>1077</v>
      </c>
      <c r="G474" t="s">
        <v>1061</v>
      </c>
      <c r="H474" s="18">
        <v>45017</v>
      </c>
      <c r="I474" t="s">
        <v>487</v>
      </c>
      <c r="J474" t="s">
        <v>20</v>
      </c>
      <c r="K474" s="46" t="s">
        <v>1032</v>
      </c>
      <c r="L474">
        <v>63</v>
      </c>
      <c r="M474" t="s">
        <v>21</v>
      </c>
      <c r="N474">
        <v>4</v>
      </c>
      <c r="O474">
        <v>300</v>
      </c>
      <c r="P474">
        <v>1200</v>
      </c>
      <c r="Q474">
        <v>18</v>
      </c>
      <c r="R474">
        <v>24</v>
      </c>
    </row>
    <row r="475" spans="1:18" x14ac:dyDescent="0.35">
      <c r="A475">
        <v>463</v>
      </c>
      <c r="B475">
        <v>31</v>
      </c>
      <c r="C475">
        <v>7</v>
      </c>
      <c r="D475">
        <v>2023</v>
      </c>
      <c r="E475" t="s">
        <v>1067</v>
      </c>
      <c r="F475" t="s">
        <v>1078</v>
      </c>
      <c r="G475" t="s">
        <v>1061</v>
      </c>
      <c r="H475" s="18">
        <v>45138</v>
      </c>
      <c r="I475" t="s">
        <v>488</v>
      </c>
      <c r="J475" t="s">
        <v>23</v>
      </c>
      <c r="K475" s="46" t="s">
        <v>1032</v>
      </c>
      <c r="L475">
        <v>54</v>
      </c>
      <c r="M475" t="s">
        <v>21</v>
      </c>
      <c r="N475">
        <v>3</v>
      </c>
      <c r="O475">
        <v>500</v>
      </c>
      <c r="P475">
        <v>1500</v>
      </c>
      <c r="Q475">
        <v>22.5</v>
      </c>
      <c r="R475">
        <v>30</v>
      </c>
    </row>
    <row r="476" spans="1:18" x14ac:dyDescent="0.35">
      <c r="A476">
        <v>464</v>
      </c>
      <c r="B476">
        <v>13</v>
      </c>
      <c r="C476">
        <v>1</v>
      </c>
      <c r="D476">
        <v>2023</v>
      </c>
      <c r="E476" t="s">
        <v>1070</v>
      </c>
      <c r="F476" t="s">
        <v>1060</v>
      </c>
      <c r="G476" t="s">
        <v>1061</v>
      </c>
      <c r="H476" s="18">
        <v>44939</v>
      </c>
      <c r="I476" t="s">
        <v>489</v>
      </c>
      <c r="J476" t="s">
        <v>20</v>
      </c>
      <c r="K476" s="46" t="s">
        <v>1030</v>
      </c>
      <c r="L476">
        <v>38</v>
      </c>
      <c r="M476" t="s">
        <v>21</v>
      </c>
      <c r="N476">
        <v>2</v>
      </c>
      <c r="O476">
        <v>300</v>
      </c>
      <c r="P476">
        <v>600</v>
      </c>
      <c r="Q476">
        <v>9</v>
      </c>
      <c r="R476">
        <v>12</v>
      </c>
    </row>
    <row r="477" spans="1:18" x14ac:dyDescent="0.35">
      <c r="A477">
        <v>465</v>
      </c>
      <c r="B477">
        <v>2</v>
      </c>
      <c r="C477">
        <v>4</v>
      </c>
      <c r="D477">
        <v>2023</v>
      </c>
      <c r="E477" t="s">
        <v>1063</v>
      </c>
      <c r="F477" t="s">
        <v>1077</v>
      </c>
      <c r="G477" t="s">
        <v>1061</v>
      </c>
      <c r="H477" s="18">
        <v>45018</v>
      </c>
      <c r="I477" t="s">
        <v>490</v>
      </c>
      <c r="J477" t="s">
        <v>23</v>
      </c>
      <c r="K477" s="46" t="s">
        <v>1030</v>
      </c>
      <c r="L477">
        <v>43</v>
      </c>
      <c r="M477" t="s">
        <v>21</v>
      </c>
      <c r="N477">
        <v>3</v>
      </c>
      <c r="O477">
        <v>50</v>
      </c>
      <c r="P477">
        <v>150</v>
      </c>
      <c r="Q477">
        <v>2.25</v>
      </c>
      <c r="R477">
        <v>3</v>
      </c>
    </row>
    <row r="478" spans="1:18" x14ac:dyDescent="0.35">
      <c r="A478">
        <v>466</v>
      </c>
      <c r="B478">
        <v>20</v>
      </c>
      <c r="C478">
        <v>6</v>
      </c>
      <c r="D478">
        <v>2023</v>
      </c>
      <c r="E478" t="s">
        <v>1059</v>
      </c>
      <c r="F478" t="s">
        <v>1069</v>
      </c>
      <c r="G478" t="s">
        <v>1061</v>
      </c>
      <c r="H478" s="18">
        <v>45097</v>
      </c>
      <c r="I478" t="s">
        <v>491</v>
      </c>
      <c r="J478" t="s">
        <v>20</v>
      </c>
      <c r="K478" s="46" t="s">
        <v>1032</v>
      </c>
      <c r="L478">
        <v>63</v>
      </c>
      <c r="M478" t="s">
        <v>21</v>
      </c>
      <c r="N478">
        <v>4</v>
      </c>
      <c r="O478">
        <v>25</v>
      </c>
      <c r="P478">
        <v>100</v>
      </c>
      <c r="Q478">
        <v>1.5</v>
      </c>
      <c r="R478">
        <v>2</v>
      </c>
    </row>
    <row r="479" spans="1:18" x14ac:dyDescent="0.35">
      <c r="A479">
        <v>467</v>
      </c>
      <c r="B479">
        <v>30</v>
      </c>
      <c r="C479">
        <v>7</v>
      </c>
      <c r="D479">
        <v>2023</v>
      </c>
      <c r="E479" t="s">
        <v>1063</v>
      </c>
      <c r="F479" t="s">
        <v>1078</v>
      </c>
      <c r="G479" t="s">
        <v>1061</v>
      </c>
      <c r="H479" s="18">
        <v>45137</v>
      </c>
      <c r="I479" t="s">
        <v>492</v>
      </c>
      <c r="J479" t="s">
        <v>23</v>
      </c>
      <c r="K479" s="46" t="s">
        <v>1032</v>
      </c>
      <c r="L479">
        <v>53</v>
      </c>
      <c r="M479" t="s">
        <v>21</v>
      </c>
      <c r="N479">
        <v>3</v>
      </c>
      <c r="O479">
        <v>50</v>
      </c>
      <c r="P479">
        <v>150</v>
      </c>
      <c r="Q479">
        <v>2.25</v>
      </c>
      <c r="R479">
        <v>3</v>
      </c>
    </row>
    <row r="480" spans="1:18" x14ac:dyDescent="0.35">
      <c r="A480">
        <v>468</v>
      </c>
      <c r="B480">
        <v>9</v>
      </c>
      <c r="C480">
        <v>12</v>
      </c>
      <c r="D480">
        <v>2023</v>
      </c>
      <c r="E480" t="s">
        <v>1075</v>
      </c>
      <c r="F480" t="s">
        <v>1062</v>
      </c>
      <c r="G480" t="s">
        <v>1061</v>
      </c>
      <c r="H480" s="18">
        <v>45269</v>
      </c>
      <c r="I480" t="s">
        <v>493</v>
      </c>
      <c r="J480" t="s">
        <v>20</v>
      </c>
      <c r="K480" s="46" t="s">
        <v>1030</v>
      </c>
      <c r="L480">
        <v>40</v>
      </c>
      <c r="M480" t="s">
        <v>21</v>
      </c>
      <c r="N480">
        <v>1</v>
      </c>
      <c r="O480">
        <v>25</v>
      </c>
      <c r="P480">
        <v>25</v>
      </c>
      <c r="Q480">
        <v>0.375</v>
      </c>
      <c r="R480">
        <v>0.5</v>
      </c>
    </row>
    <row r="481" spans="1:18" x14ac:dyDescent="0.35">
      <c r="A481">
        <v>469</v>
      </c>
      <c r="B481">
        <v>8</v>
      </c>
      <c r="C481">
        <v>5</v>
      </c>
      <c r="D481">
        <v>2023</v>
      </c>
      <c r="E481" t="s">
        <v>1067</v>
      </c>
      <c r="F481" t="s">
        <v>1076</v>
      </c>
      <c r="G481" t="s">
        <v>1061</v>
      </c>
      <c r="H481" s="18">
        <v>45054</v>
      </c>
      <c r="I481" t="s">
        <v>494</v>
      </c>
      <c r="J481" t="s">
        <v>20</v>
      </c>
      <c r="K481" s="46" t="s">
        <v>1034</v>
      </c>
      <c r="L481">
        <v>18</v>
      </c>
      <c r="M481" t="s">
        <v>21</v>
      </c>
      <c r="N481">
        <v>3</v>
      </c>
      <c r="O481">
        <v>25</v>
      </c>
      <c r="P481">
        <v>75</v>
      </c>
      <c r="Q481">
        <v>1.125</v>
      </c>
      <c r="R481">
        <v>1.5</v>
      </c>
    </row>
    <row r="482" spans="1:18" x14ac:dyDescent="0.35">
      <c r="A482">
        <v>470</v>
      </c>
      <c r="B482">
        <v>17</v>
      </c>
      <c r="C482">
        <v>5</v>
      </c>
      <c r="D482">
        <v>2023</v>
      </c>
      <c r="E482" t="s">
        <v>1065</v>
      </c>
      <c r="F482" t="s">
        <v>1076</v>
      </c>
      <c r="G482" t="s">
        <v>1061</v>
      </c>
      <c r="H482" s="18">
        <v>45063</v>
      </c>
      <c r="I482" t="s">
        <v>495</v>
      </c>
      <c r="J482" t="s">
        <v>23</v>
      </c>
      <c r="K482" s="46" t="s">
        <v>1032</v>
      </c>
      <c r="L482">
        <v>57</v>
      </c>
      <c r="M482" t="s">
        <v>21</v>
      </c>
      <c r="N482">
        <v>2</v>
      </c>
      <c r="O482">
        <v>500</v>
      </c>
      <c r="P482">
        <v>1000</v>
      </c>
      <c r="Q482">
        <v>15</v>
      </c>
      <c r="R482">
        <v>20</v>
      </c>
    </row>
    <row r="483" spans="1:18" x14ac:dyDescent="0.35">
      <c r="A483">
        <v>471</v>
      </c>
      <c r="B483">
        <v>23</v>
      </c>
      <c r="C483">
        <v>3</v>
      </c>
      <c r="D483">
        <v>2023</v>
      </c>
      <c r="E483" t="s">
        <v>1072</v>
      </c>
      <c r="F483" t="s">
        <v>1066</v>
      </c>
      <c r="G483" t="s">
        <v>1061</v>
      </c>
      <c r="H483" s="18">
        <v>45008</v>
      </c>
      <c r="I483" t="s">
        <v>496</v>
      </c>
      <c r="J483" t="s">
        <v>20</v>
      </c>
      <c r="K483" s="46" t="s">
        <v>1030</v>
      </c>
      <c r="L483">
        <v>32</v>
      </c>
      <c r="M483" t="s">
        <v>21</v>
      </c>
      <c r="N483">
        <v>3</v>
      </c>
      <c r="O483">
        <v>50</v>
      </c>
      <c r="P483">
        <v>150</v>
      </c>
      <c r="Q483">
        <v>2.25</v>
      </c>
      <c r="R483">
        <v>3</v>
      </c>
    </row>
    <row r="484" spans="1:18" x14ac:dyDescent="0.35">
      <c r="A484">
        <v>472</v>
      </c>
      <c r="B484">
        <v>26</v>
      </c>
      <c r="C484">
        <v>12</v>
      </c>
      <c r="D484">
        <v>2023</v>
      </c>
      <c r="E484" t="s">
        <v>1059</v>
      </c>
      <c r="F484" t="s">
        <v>1062</v>
      </c>
      <c r="G484" t="s">
        <v>1061</v>
      </c>
      <c r="H484" s="18">
        <v>45286</v>
      </c>
      <c r="I484" t="s">
        <v>497</v>
      </c>
      <c r="J484" t="s">
        <v>23</v>
      </c>
      <c r="K484" s="46" t="s">
        <v>1030</v>
      </c>
      <c r="L484">
        <v>38</v>
      </c>
      <c r="M484" t="s">
        <v>21</v>
      </c>
      <c r="N484">
        <v>3</v>
      </c>
      <c r="O484">
        <v>300</v>
      </c>
      <c r="P484">
        <v>900</v>
      </c>
      <c r="Q484">
        <v>13.5</v>
      </c>
      <c r="R484">
        <v>18</v>
      </c>
    </row>
    <row r="485" spans="1:18" x14ac:dyDescent="0.35">
      <c r="A485">
        <v>473</v>
      </c>
      <c r="B485">
        <v>25</v>
      </c>
      <c r="C485">
        <v>2</v>
      </c>
      <c r="D485">
        <v>2023</v>
      </c>
      <c r="E485" t="s">
        <v>1075</v>
      </c>
      <c r="F485" t="s">
        <v>1073</v>
      </c>
      <c r="G485" t="s">
        <v>1061</v>
      </c>
      <c r="H485" s="18">
        <v>44982</v>
      </c>
      <c r="I485" t="s">
        <v>498</v>
      </c>
      <c r="J485" t="s">
        <v>20</v>
      </c>
      <c r="K485" s="46" t="s">
        <v>1032</v>
      </c>
      <c r="L485">
        <v>64</v>
      </c>
      <c r="M485" t="s">
        <v>21</v>
      </c>
      <c r="N485">
        <v>1</v>
      </c>
      <c r="O485">
        <v>50</v>
      </c>
      <c r="P485">
        <v>50</v>
      </c>
      <c r="Q485">
        <v>0.75</v>
      </c>
      <c r="R485">
        <v>1</v>
      </c>
    </row>
    <row r="486" spans="1:18" x14ac:dyDescent="0.35">
      <c r="A486">
        <v>474</v>
      </c>
      <c r="B486">
        <v>15</v>
      </c>
      <c r="C486">
        <v>7</v>
      </c>
      <c r="D486">
        <v>2023</v>
      </c>
      <c r="E486" t="s">
        <v>1075</v>
      </c>
      <c r="F486" t="s">
        <v>1078</v>
      </c>
      <c r="G486" t="s">
        <v>1061</v>
      </c>
      <c r="H486" s="18">
        <v>45122</v>
      </c>
      <c r="I486" t="s">
        <v>499</v>
      </c>
      <c r="J486" t="s">
        <v>23</v>
      </c>
      <c r="K486" s="46" t="s">
        <v>1034</v>
      </c>
      <c r="L486">
        <v>26</v>
      </c>
      <c r="M486" t="s">
        <v>21</v>
      </c>
      <c r="N486">
        <v>3</v>
      </c>
      <c r="O486">
        <v>500</v>
      </c>
      <c r="P486">
        <v>1500</v>
      </c>
      <c r="Q486">
        <v>22.5</v>
      </c>
      <c r="R486">
        <v>30</v>
      </c>
    </row>
    <row r="487" spans="1:18" x14ac:dyDescent="0.35">
      <c r="A487">
        <v>475</v>
      </c>
      <c r="B487">
        <v>20</v>
      </c>
      <c r="C487">
        <v>1</v>
      </c>
      <c r="D487">
        <v>2023</v>
      </c>
      <c r="E487" t="s">
        <v>1070</v>
      </c>
      <c r="F487" t="s">
        <v>1060</v>
      </c>
      <c r="G487" t="s">
        <v>1061</v>
      </c>
      <c r="H487" s="18">
        <v>44946</v>
      </c>
      <c r="I487" t="s">
        <v>500</v>
      </c>
      <c r="J487" t="s">
        <v>20</v>
      </c>
      <c r="K487" s="46" t="s">
        <v>1034</v>
      </c>
      <c r="L487">
        <v>26</v>
      </c>
      <c r="M487" t="s">
        <v>21</v>
      </c>
      <c r="N487">
        <v>3</v>
      </c>
      <c r="O487">
        <v>25</v>
      </c>
      <c r="P487">
        <v>75</v>
      </c>
      <c r="Q487">
        <v>1.125</v>
      </c>
      <c r="R487">
        <v>1.5</v>
      </c>
    </row>
    <row r="488" spans="1:18" x14ac:dyDescent="0.35">
      <c r="A488">
        <v>476</v>
      </c>
      <c r="B488">
        <v>29</v>
      </c>
      <c r="C488">
        <v>8</v>
      </c>
      <c r="D488">
        <v>2023</v>
      </c>
      <c r="E488" t="s">
        <v>1059</v>
      </c>
      <c r="F488" t="s">
        <v>1074</v>
      </c>
      <c r="G488" t="s">
        <v>1061</v>
      </c>
      <c r="H488" s="18">
        <v>45167</v>
      </c>
      <c r="I488" t="s">
        <v>501</v>
      </c>
      <c r="J488" t="s">
        <v>23</v>
      </c>
      <c r="K488" s="46" t="s">
        <v>1034</v>
      </c>
      <c r="L488">
        <v>27</v>
      </c>
      <c r="M488" t="s">
        <v>21</v>
      </c>
      <c r="N488">
        <v>4</v>
      </c>
      <c r="O488">
        <v>500</v>
      </c>
      <c r="P488">
        <v>2000</v>
      </c>
      <c r="Q488">
        <v>30</v>
      </c>
      <c r="R488">
        <v>40</v>
      </c>
    </row>
    <row r="489" spans="1:18" x14ac:dyDescent="0.35">
      <c r="A489">
        <v>477</v>
      </c>
      <c r="B489">
        <v>24</v>
      </c>
      <c r="C489">
        <v>4</v>
      </c>
      <c r="D489">
        <v>2023</v>
      </c>
      <c r="E489" t="s">
        <v>1067</v>
      </c>
      <c r="F489" t="s">
        <v>1077</v>
      </c>
      <c r="G489" t="s">
        <v>1061</v>
      </c>
      <c r="H489" s="18">
        <v>45040</v>
      </c>
      <c r="I489" t="s">
        <v>502</v>
      </c>
      <c r="J489" t="s">
        <v>20</v>
      </c>
      <c r="K489" s="46" t="s">
        <v>1030</v>
      </c>
      <c r="L489">
        <v>43</v>
      </c>
      <c r="M489" t="s">
        <v>21</v>
      </c>
      <c r="N489">
        <v>4</v>
      </c>
      <c r="O489">
        <v>30</v>
      </c>
      <c r="P489">
        <v>120</v>
      </c>
      <c r="Q489">
        <v>1.7999999999999998</v>
      </c>
      <c r="R489">
        <v>2.4</v>
      </c>
    </row>
    <row r="490" spans="1:18" x14ac:dyDescent="0.35">
      <c r="A490">
        <v>478</v>
      </c>
      <c r="B490">
        <v>13</v>
      </c>
      <c r="C490">
        <v>4</v>
      </c>
      <c r="D490">
        <v>2023</v>
      </c>
      <c r="E490" t="s">
        <v>1072</v>
      </c>
      <c r="F490" t="s">
        <v>1077</v>
      </c>
      <c r="G490" t="s">
        <v>1061</v>
      </c>
      <c r="H490" s="18">
        <v>45029</v>
      </c>
      <c r="I490" t="s">
        <v>503</v>
      </c>
      <c r="J490" t="s">
        <v>23</v>
      </c>
      <c r="K490" s="46" t="s">
        <v>1032</v>
      </c>
      <c r="L490">
        <v>58</v>
      </c>
      <c r="M490" t="s">
        <v>21</v>
      </c>
      <c r="N490">
        <v>2</v>
      </c>
      <c r="O490">
        <v>30</v>
      </c>
      <c r="P490">
        <v>60</v>
      </c>
      <c r="Q490">
        <v>0.89999999999999991</v>
      </c>
      <c r="R490">
        <v>1.2</v>
      </c>
    </row>
    <row r="491" spans="1:18" x14ac:dyDescent="0.35">
      <c r="A491">
        <v>479</v>
      </c>
      <c r="B491">
        <v>24</v>
      </c>
      <c r="C491">
        <v>8</v>
      </c>
      <c r="D491">
        <v>2023</v>
      </c>
      <c r="E491" t="s">
        <v>1072</v>
      </c>
      <c r="F491" t="s">
        <v>1074</v>
      </c>
      <c r="G491" t="s">
        <v>1061</v>
      </c>
      <c r="H491" s="18">
        <v>45162</v>
      </c>
      <c r="I491" t="s">
        <v>504</v>
      </c>
      <c r="J491" t="s">
        <v>20</v>
      </c>
      <c r="K491" s="46" t="s">
        <v>1032</v>
      </c>
      <c r="L491">
        <v>52</v>
      </c>
      <c r="M491" t="s">
        <v>21</v>
      </c>
      <c r="N491">
        <v>4</v>
      </c>
      <c r="O491">
        <v>300</v>
      </c>
      <c r="P491">
        <v>1200</v>
      </c>
      <c r="Q491">
        <v>18</v>
      </c>
      <c r="R491">
        <v>24</v>
      </c>
    </row>
    <row r="492" spans="1:18" x14ac:dyDescent="0.35">
      <c r="A492">
        <v>480</v>
      </c>
      <c r="B492">
        <v>29</v>
      </c>
      <c r="C492">
        <v>6</v>
      </c>
      <c r="D492">
        <v>2023</v>
      </c>
      <c r="E492" t="s">
        <v>1072</v>
      </c>
      <c r="F492" t="s">
        <v>1069</v>
      </c>
      <c r="G492" t="s">
        <v>1061</v>
      </c>
      <c r="H492" s="18">
        <v>45106</v>
      </c>
      <c r="I492" t="s">
        <v>505</v>
      </c>
      <c r="J492" t="s">
        <v>23</v>
      </c>
      <c r="K492" s="46" t="s">
        <v>1030</v>
      </c>
      <c r="L492">
        <v>42</v>
      </c>
      <c r="M492" t="s">
        <v>21</v>
      </c>
      <c r="N492">
        <v>4</v>
      </c>
      <c r="O492">
        <v>500</v>
      </c>
      <c r="P492">
        <v>2000</v>
      </c>
      <c r="Q492">
        <v>30</v>
      </c>
      <c r="R492">
        <v>40</v>
      </c>
    </row>
    <row r="493" spans="1:18" x14ac:dyDescent="0.35">
      <c r="A493">
        <v>481</v>
      </c>
      <c r="B493">
        <v>6</v>
      </c>
      <c r="C493">
        <v>6</v>
      </c>
      <c r="D493">
        <v>2023</v>
      </c>
      <c r="E493" t="s">
        <v>1059</v>
      </c>
      <c r="F493" t="s">
        <v>1069</v>
      </c>
      <c r="G493" t="s">
        <v>1061</v>
      </c>
      <c r="H493" s="18">
        <v>45083</v>
      </c>
      <c r="I493" t="s">
        <v>506</v>
      </c>
      <c r="J493" t="s">
        <v>23</v>
      </c>
      <c r="K493" s="46" t="s">
        <v>1030</v>
      </c>
      <c r="L493">
        <v>43</v>
      </c>
      <c r="M493" t="s">
        <v>21</v>
      </c>
      <c r="N493">
        <v>4</v>
      </c>
      <c r="O493">
        <v>300</v>
      </c>
      <c r="P493">
        <v>1200</v>
      </c>
      <c r="Q493">
        <v>18</v>
      </c>
      <c r="R493">
        <v>24</v>
      </c>
    </row>
    <row r="494" spans="1:18" x14ac:dyDescent="0.35">
      <c r="A494">
        <v>482</v>
      </c>
      <c r="B494">
        <v>27</v>
      </c>
      <c r="C494">
        <v>4</v>
      </c>
      <c r="D494">
        <v>2023</v>
      </c>
      <c r="E494" t="s">
        <v>1072</v>
      </c>
      <c r="F494" t="s">
        <v>1077</v>
      </c>
      <c r="G494" t="s">
        <v>1061</v>
      </c>
      <c r="H494" s="18">
        <v>45043</v>
      </c>
      <c r="I494" t="s">
        <v>507</v>
      </c>
      <c r="J494" t="s">
        <v>23</v>
      </c>
      <c r="K494" s="46" t="s">
        <v>1034</v>
      </c>
      <c r="L494">
        <v>28</v>
      </c>
      <c r="M494" t="s">
        <v>21</v>
      </c>
      <c r="N494">
        <v>4</v>
      </c>
      <c r="O494">
        <v>300</v>
      </c>
      <c r="P494">
        <v>1200</v>
      </c>
      <c r="Q494">
        <v>18</v>
      </c>
      <c r="R494">
        <v>24</v>
      </c>
    </row>
    <row r="495" spans="1:18" x14ac:dyDescent="0.35">
      <c r="A495">
        <v>483</v>
      </c>
      <c r="B495">
        <v>25</v>
      </c>
      <c r="C495">
        <v>4</v>
      </c>
      <c r="D495">
        <v>2023</v>
      </c>
      <c r="E495" t="s">
        <v>1059</v>
      </c>
      <c r="F495" t="s">
        <v>1077</v>
      </c>
      <c r="G495" t="s">
        <v>1061</v>
      </c>
      <c r="H495" s="18">
        <v>45041</v>
      </c>
      <c r="I495" t="s">
        <v>508</v>
      </c>
      <c r="J495" t="s">
        <v>20</v>
      </c>
      <c r="K495" s="46" t="s">
        <v>1032</v>
      </c>
      <c r="L495">
        <v>55</v>
      </c>
      <c r="M495" t="s">
        <v>21</v>
      </c>
      <c r="N495">
        <v>1</v>
      </c>
      <c r="O495">
        <v>30</v>
      </c>
      <c r="P495">
        <v>30</v>
      </c>
      <c r="Q495">
        <v>0.44999999999999996</v>
      </c>
      <c r="R495">
        <v>0.6</v>
      </c>
    </row>
    <row r="496" spans="1:18" x14ac:dyDescent="0.35">
      <c r="A496">
        <v>484</v>
      </c>
      <c r="B496">
        <v>13</v>
      </c>
      <c r="C496">
        <v>1</v>
      </c>
      <c r="D496">
        <v>2023</v>
      </c>
      <c r="E496" t="s">
        <v>1070</v>
      </c>
      <c r="F496" t="s">
        <v>1060</v>
      </c>
      <c r="G496" t="s">
        <v>1061</v>
      </c>
      <c r="H496" s="18">
        <v>44939</v>
      </c>
      <c r="I496" t="s">
        <v>509</v>
      </c>
      <c r="J496" t="s">
        <v>23</v>
      </c>
      <c r="K496" s="46" t="s">
        <v>1034</v>
      </c>
      <c r="L496">
        <v>19</v>
      </c>
      <c r="M496" t="s">
        <v>21</v>
      </c>
      <c r="N496">
        <v>4</v>
      </c>
      <c r="O496">
        <v>300</v>
      </c>
      <c r="P496">
        <v>1200</v>
      </c>
      <c r="Q496">
        <v>18</v>
      </c>
      <c r="R496">
        <v>24</v>
      </c>
    </row>
    <row r="497" spans="1:18" x14ac:dyDescent="0.35">
      <c r="A497">
        <v>485</v>
      </c>
      <c r="B497">
        <v>4</v>
      </c>
      <c r="C497">
        <v>12</v>
      </c>
      <c r="D497">
        <v>2023</v>
      </c>
      <c r="E497" t="s">
        <v>1067</v>
      </c>
      <c r="F497" t="s">
        <v>1062</v>
      </c>
      <c r="G497" t="s">
        <v>1061</v>
      </c>
      <c r="H497" s="18">
        <v>45264</v>
      </c>
      <c r="I497" t="s">
        <v>510</v>
      </c>
      <c r="J497" t="s">
        <v>20</v>
      </c>
      <c r="K497" s="46" t="s">
        <v>1034</v>
      </c>
      <c r="L497">
        <v>24</v>
      </c>
      <c r="M497" t="s">
        <v>21</v>
      </c>
      <c r="N497">
        <v>1</v>
      </c>
      <c r="O497">
        <v>30</v>
      </c>
      <c r="P497">
        <v>30</v>
      </c>
      <c r="Q497">
        <v>0.44999999999999996</v>
      </c>
      <c r="R497">
        <v>0.6</v>
      </c>
    </row>
    <row r="498" spans="1:18" x14ac:dyDescent="0.35">
      <c r="A498">
        <v>486</v>
      </c>
      <c r="B498">
        <v>9</v>
      </c>
      <c r="C498">
        <v>4</v>
      </c>
      <c r="D498">
        <v>2023</v>
      </c>
      <c r="E498" t="s">
        <v>1063</v>
      </c>
      <c r="F498" t="s">
        <v>1077</v>
      </c>
      <c r="G498" t="s">
        <v>1061</v>
      </c>
      <c r="H498" s="18">
        <v>45025</v>
      </c>
      <c r="I498" t="s">
        <v>511</v>
      </c>
      <c r="J498" t="s">
        <v>23</v>
      </c>
      <c r="K498" s="46" t="s">
        <v>1030</v>
      </c>
      <c r="L498">
        <v>35</v>
      </c>
      <c r="M498" t="s">
        <v>21</v>
      </c>
      <c r="N498">
        <v>1</v>
      </c>
      <c r="O498">
        <v>25</v>
      </c>
      <c r="P498">
        <v>25</v>
      </c>
      <c r="Q498">
        <v>0.375</v>
      </c>
      <c r="R498">
        <v>0.5</v>
      </c>
    </row>
    <row r="499" spans="1:18" x14ac:dyDescent="0.35">
      <c r="A499">
        <v>487</v>
      </c>
      <c r="B499">
        <v>24</v>
      </c>
      <c r="C499">
        <v>7</v>
      </c>
      <c r="D499">
        <v>2023</v>
      </c>
      <c r="E499" t="s">
        <v>1067</v>
      </c>
      <c r="F499" t="s">
        <v>1078</v>
      </c>
      <c r="G499" t="s">
        <v>1061</v>
      </c>
      <c r="H499" s="18">
        <v>45131</v>
      </c>
      <c r="I499" t="s">
        <v>512</v>
      </c>
      <c r="J499" t="s">
        <v>20</v>
      </c>
      <c r="K499" s="46" t="s">
        <v>1030</v>
      </c>
      <c r="L499">
        <v>44</v>
      </c>
      <c r="M499" t="s">
        <v>21</v>
      </c>
      <c r="N499">
        <v>4</v>
      </c>
      <c r="O499">
        <v>500</v>
      </c>
      <c r="P499">
        <v>2000</v>
      </c>
      <c r="Q499">
        <v>30</v>
      </c>
      <c r="R499">
        <v>40</v>
      </c>
    </row>
    <row r="500" spans="1:18" x14ac:dyDescent="0.35">
      <c r="A500">
        <v>488</v>
      </c>
      <c r="B500">
        <v>18</v>
      </c>
      <c r="C500">
        <v>6</v>
      </c>
      <c r="D500">
        <v>2023</v>
      </c>
      <c r="E500" t="s">
        <v>1063</v>
      </c>
      <c r="F500" t="s">
        <v>1069</v>
      </c>
      <c r="G500" t="s">
        <v>1061</v>
      </c>
      <c r="H500" s="18">
        <v>45095</v>
      </c>
      <c r="I500" t="s">
        <v>513</v>
      </c>
      <c r="J500" t="s">
        <v>23</v>
      </c>
      <c r="K500" s="46" t="s">
        <v>1032</v>
      </c>
      <c r="L500">
        <v>51</v>
      </c>
      <c r="M500" t="s">
        <v>21</v>
      </c>
      <c r="N500">
        <v>3</v>
      </c>
      <c r="O500">
        <v>300</v>
      </c>
      <c r="P500">
        <v>900</v>
      </c>
      <c r="Q500">
        <v>13.5</v>
      </c>
      <c r="R500">
        <v>18</v>
      </c>
    </row>
    <row r="501" spans="1:18" x14ac:dyDescent="0.35">
      <c r="A501">
        <v>489</v>
      </c>
      <c r="B501">
        <v>23</v>
      </c>
      <c r="C501">
        <v>5</v>
      </c>
      <c r="D501">
        <v>2023</v>
      </c>
      <c r="E501" t="s">
        <v>1059</v>
      </c>
      <c r="F501" t="s">
        <v>1076</v>
      </c>
      <c r="G501" t="s">
        <v>1061</v>
      </c>
      <c r="H501" s="18">
        <v>45069</v>
      </c>
      <c r="I501" t="s">
        <v>514</v>
      </c>
      <c r="J501" t="s">
        <v>20</v>
      </c>
      <c r="K501" s="46" t="s">
        <v>1030</v>
      </c>
      <c r="L501">
        <v>44</v>
      </c>
      <c r="M501" t="s">
        <v>21</v>
      </c>
      <c r="N501">
        <v>1</v>
      </c>
      <c r="O501">
        <v>30</v>
      </c>
      <c r="P501">
        <v>30</v>
      </c>
      <c r="Q501">
        <v>0.44999999999999996</v>
      </c>
      <c r="R501">
        <v>0.6</v>
      </c>
    </row>
    <row r="502" spans="1:18" x14ac:dyDescent="0.35">
      <c r="A502">
        <v>490</v>
      </c>
      <c r="B502">
        <v>5</v>
      </c>
      <c r="C502">
        <v>2</v>
      </c>
      <c r="D502">
        <v>2023</v>
      </c>
      <c r="E502" t="s">
        <v>1063</v>
      </c>
      <c r="F502" t="s">
        <v>1073</v>
      </c>
      <c r="G502" t="s">
        <v>1061</v>
      </c>
      <c r="H502" s="18">
        <v>44962</v>
      </c>
      <c r="I502" t="s">
        <v>515</v>
      </c>
      <c r="J502" t="s">
        <v>20</v>
      </c>
      <c r="K502" s="46" t="s">
        <v>1030</v>
      </c>
      <c r="L502">
        <v>34</v>
      </c>
      <c r="M502" t="s">
        <v>21</v>
      </c>
      <c r="N502">
        <v>3</v>
      </c>
      <c r="O502">
        <v>50</v>
      </c>
      <c r="P502">
        <v>150</v>
      </c>
      <c r="Q502">
        <v>2.25</v>
      </c>
      <c r="R502">
        <v>3</v>
      </c>
    </row>
    <row r="503" spans="1:18" x14ac:dyDescent="0.35">
      <c r="A503">
        <v>491</v>
      </c>
      <c r="B503">
        <v>23</v>
      </c>
      <c r="C503">
        <v>5</v>
      </c>
      <c r="D503">
        <v>2023</v>
      </c>
      <c r="E503" t="s">
        <v>1059</v>
      </c>
      <c r="F503" t="s">
        <v>1076</v>
      </c>
      <c r="G503" t="s">
        <v>1061</v>
      </c>
      <c r="H503" s="18">
        <v>45069</v>
      </c>
      <c r="I503" t="s">
        <v>516</v>
      </c>
      <c r="J503" t="s">
        <v>23</v>
      </c>
      <c r="K503" s="46" t="s">
        <v>1032</v>
      </c>
      <c r="L503">
        <v>60</v>
      </c>
      <c r="M503" t="s">
        <v>21</v>
      </c>
      <c r="N503">
        <v>3</v>
      </c>
      <c r="O503">
        <v>300</v>
      </c>
      <c r="P503">
        <v>900</v>
      </c>
      <c r="Q503">
        <v>13.5</v>
      </c>
      <c r="R503">
        <v>18</v>
      </c>
    </row>
    <row r="504" spans="1:18" x14ac:dyDescent="0.35">
      <c r="A504">
        <v>492</v>
      </c>
      <c r="B504">
        <v>29</v>
      </c>
      <c r="C504">
        <v>6</v>
      </c>
      <c r="D504">
        <v>2023</v>
      </c>
      <c r="E504" t="s">
        <v>1072</v>
      </c>
      <c r="F504" t="s">
        <v>1069</v>
      </c>
      <c r="G504" t="s">
        <v>1061</v>
      </c>
      <c r="H504" s="18">
        <v>45106</v>
      </c>
      <c r="I504" t="s">
        <v>517</v>
      </c>
      <c r="J504" t="s">
        <v>20</v>
      </c>
      <c r="K504" s="46" t="s">
        <v>1032</v>
      </c>
      <c r="L504">
        <v>61</v>
      </c>
      <c r="M504" t="s">
        <v>21</v>
      </c>
      <c r="N504">
        <v>4</v>
      </c>
      <c r="O504">
        <v>25</v>
      </c>
      <c r="P504">
        <v>100</v>
      </c>
      <c r="Q504">
        <v>1.5</v>
      </c>
      <c r="R504">
        <v>2</v>
      </c>
    </row>
    <row r="505" spans="1:18" x14ac:dyDescent="0.35">
      <c r="A505">
        <v>493</v>
      </c>
      <c r="B505">
        <v>25</v>
      </c>
      <c r="C505">
        <v>11</v>
      </c>
      <c r="D505">
        <v>2023</v>
      </c>
      <c r="E505" t="s">
        <v>1075</v>
      </c>
      <c r="F505" t="s">
        <v>1068</v>
      </c>
      <c r="G505" t="s">
        <v>1061</v>
      </c>
      <c r="H505" s="18">
        <v>45255</v>
      </c>
      <c r="I505" t="s">
        <v>518</v>
      </c>
      <c r="J505" t="s">
        <v>20</v>
      </c>
      <c r="K505" s="46" t="s">
        <v>1030</v>
      </c>
      <c r="L505">
        <v>41</v>
      </c>
      <c r="M505" t="s">
        <v>21</v>
      </c>
      <c r="N505">
        <v>2</v>
      </c>
      <c r="O505">
        <v>25</v>
      </c>
      <c r="P505">
        <v>50</v>
      </c>
      <c r="Q505">
        <v>0.75</v>
      </c>
      <c r="R505">
        <v>1</v>
      </c>
    </row>
    <row r="506" spans="1:18" x14ac:dyDescent="0.35">
      <c r="A506">
        <v>494</v>
      </c>
      <c r="B506">
        <v>18</v>
      </c>
      <c r="C506">
        <v>9</v>
      </c>
      <c r="D506">
        <v>2023</v>
      </c>
      <c r="E506" t="s">
        <v>1067</v>
      </c>
      <c r="F506" t="s">
        <v>1071</v>
      </c>
      <c r="G506" t="s">
        <v>1061</v>
      </c>
      <c r="H506" s="18">
        <v>45187</v>
      </c>
      <c r="I506" t="s">
        <v>519</v>
      </c>
      <c r="J506" t="s">
        <v>23</v>
      </c>
      <c r="K506" s="46" t="s">
        <v>1030</v>
      </c>
      <c r="L506">
        <v>42</v>
      </c>
      <c r="M506" t="s">
        <v>21</v>
      </c>
      <c r="N506">
        <v>4</v>
      </c>
      <c r="O506">
        <v>50</v>
      </c>
      <c r="P506">
        <v>200</v>
      </c>
      <c r="Q506">
        <v>3</v>
      </c>
      <c r="R506">
        <v>4</v>
      </c>
    </row>
    <row r="507" spans="1:18" x14ac:dyDescent="0.35">
      <c r="A507">
        <v>495</v>
      </c>
      <c r="B507">
        <v>24</v>
      </c>
      <c r="C507">
        <v>7</v>
      </c>
      <c r="D507">
        <v>2023</v>
      </c>
      <c r="E507" t="s">
        <v>1067</v>
      </c>
      <c r="F507" t="s">
        <v>1078</v>
      </c>
      <c r="G507" t="s">
        <v>1061</v>
      </c>
      <c r="H507" s="18">
        <v>45131</v>
      </c>
      <c r="I507" t="s">
        <v>520</v>
      </c>
      <c r="J507" t="s">
        <v>20</v>
      </c>
      <c r="K507" s="46" t="s">
        <v>1034</v>
      </c>
      <c r="L507">
        <v>24</v>
      </c>
      <c r="M507" t="s">
        <v>21</v>
      </c>
      <c r="N507">
        <v>2</v>
      </c>
      <c r="O507">
        <v>30</v>
      </c>
      <c r="P507">
        <v>60</v>
      </c>
      <c r="Q507">
        <v>0.89999999999999991</v>
      </c>
      <c r="R507">
        <v>1.2</v>
      </c>
    </row>
    <row r="508" spans="1:18" x14ac:dyDescent="0.35">
      <c r="A508">
        <v>496</v>
      </c>
      <c r="B508">
        <v>14</v>
      </c>
      <c r="C508">
        <v>12</v>
      </c>
      <c r="D508">
        <v>2023</v>
      </c>
      <c r="E508" t="s">
        <v>1072</v>
      </c>
      <c r="F508" t="s">
        <v>1062</v>
      </c>
      <c r="G508" t="s">
        <v>1061</v>
      </c>
      <c r="H508" s="18">
        <v>45274</v>
      </c>
      <c r="I508" t="s">
        <v>521</v>
      </c>
      <c r="J508" t="s">
        <v>20</v>
      </c>
      <c r="K508" s="46" t="s">
        <v>1034</v>
      </c>
      <c r="L508">
        <v>23</v>
      </c>
      <c r="M508" t="s">
        <v>21</v>
      </c>
      <c r="N508">
        <v>2</v>
      </c>
      <c r="O508">
        <v>300</v>
      </c>
      <c r="P508">
        <v>600</v>
      </c>
      <c r="Q508">
        <v>9</v>
      </c>
      <c r="R508">
        <v>12</v>
      </c>
    </row>
    <row r="509" spans="1:18" x14ac:dyDescent="0.35">
      <c r="A509">
        <v>497</v>
      </c>
      <c r="B509">
        <v>2</v>
      </c>
      <c r="C509">
        <v>10</v>
      </c>
      <c r="D509">
        <v>2023</v>
      </c>
      <c r="E509" t="s">
        <v>1067</v>
      </c>
      <c r="F509" t="s">
        <v>1064</v>
      </c>
      <c r="G509" t="s">
        <v>1061</v>
      </c>
      <c r="H509" s="18">
        <v>45201</v>
      </c>
      <c r="I509" t="s">
        <v>522</v>
      </c>
      <c r="J509" t="s">
        <v>20</v>
      </c>
      <c r="K509" s="46" t="s">
        <v>1030</v>
      </c>
      <c r="L509">
        <v>41</v>
      </c>
      <c r="M509" t="s">
        <v>21</v>
      </c>
      <c r="N509">
        <v>4</v>
      </c>
      <c r="O509">
        <v>30</v>
      </c>
      <c r="P509">
        <v>120</v>
      </c>
      <c r="Q509">
        <v>1.7999999999999998</v>
      </c>
      <c r="R509">
        <v>2.4</v>
      </c>
    </row>
    <row r="510" spans="1:18" x14ac:dyDescent="0.35">
      <c r="A510">
        <v>498</v>
      </c>
      <c r="B510">
        <v>19</v>
      </c>
      <c r="C510">
        <v>6</v>
      </c>
      <c r="D510">
        <v>2023</v>
      </c>
      <c r="E510" t="s">
        <v>1067</v>
      </c>
      <c r="F510" t="s">
        <v>1069</v>
      </c>
      <c r="G510" t="s">
        <v>1061</v>
      </c>
      <c r="H510" s="18">
        <v>45096</v>
      </c>
      <c r="I510" t="s">
        <v>523</v>
      </c>
      <c r="J510" t="s">
        <v>23</v>
      </c>
      <c r="K510" s="46" t="s">
        <v>1030</v>
      </c>
      <c r="L510">
        <v>50</v>
      </c>
      <c r="M510" t="s">
        <v>21</v>
      </c>
      <c r="N510">
        <v>4</v>
      </c>
      <c r="O510">
        <v>25</v>
      </c>
      <c r="P510">
        <v>100</v>
      </c>
      <c r="Q510">
        <v>1.5</v>
      </c>
      <c r="R510">
        <v>2</v>
      </c>
    </row>
    <row r="511" spans="1:18" x14ac:dyDescent="0.35">
      <c r="A511">
        <v>499</v>
      </c>
      <c r="B511">
        <v>15</v>
      </c>
      <c r="C511">
        <v>1</v>
      </c>
      <c r="D511">
        <v>2023</v>
      </c>
      <c r="E511" t="s">
        <v>1063</v>
      </c>
      <c r="F511" t="s">
        <v>1060</v>
      </c>
      <c r="G511" t="s">
        <v>1061</v>
      </c>
      <c r="H511" s="18">
        <v>44941</v>
      </c>
      <c r="I511" t="s">
        <v>524</v>
      </c>
      <c r="J511" t="s">
        <v>20</v>
      </c>
      <c r="K511" s="46" t="s">
        <v>1030</v>
      </c>
      <c r="L511">
        <v>46</v>
      </c>
      <c r="M511" t="s">
        <v>21</v>
      </c>
      <c r="N511">
        <v>2</v>
      </c>
      <c r="O511">
        <v>30</v>
      </c>
      <c r="P511">
        <v>60</v>
      </c>
      <c r="Q511">
        <v>0.89999999999999991</v>
      </c>
      <c r="R511">
        <v>1.2</v>
      </c>
    </row>
    <row r="512" spans="1:18" x14ac:dyDescent="0.35">
      <c r="A512">
        <v>500</v>
      </c>
      <c r="B512">
        <v>1</v>
      </c>
      <c r="C512">
        <v>3</v>
      </c>
      <c r="D512">
        <v>2023</v>
      </c>
      <c r="E512" t="s">
        <v>1065</v>
      </c>
      <c r="F512" t="s">
        <v>1066</v>
      </c>
      <c r="G512" t="s">
        <v>1061</v>
      </c>
      <c r="H512" s="18">
        <v>44986</v>
      </c>
      <c r="I512" t="s">
        <v>525</v>
      </c>
      <c r="J512" t="s">
        <v>23</v>
      </c>
      <c r="K512" s="46" t="s">
        <v>1032</v>
      </c>
      <c r="L512">
        <v>60</v>
      </c>
      <c r="M512" t="s">
        <v>21</v>
      </c>
      <c r="N512">
        <v>4</v>
      </c>
      <c r="O512">
        <v>25</v>
      </c>
      <c r="P512">
        <v>100</v>
      </c>
      <c r="Q512">
        <v>1.5</v>
      </c>
      <c r="R512">
        <v>2</v>
      </c>
    </row>
    <row r="513" spans="1:18" x14ac:dyDescent="0.35">
      <c r="A513">
        <v>501</v>
      </c>
      <c r="B513">
        <v>14</v>
      </c>
      <c r="C513">
        <v>5</v>
      </c>
      <c r="D513">
        <v>2023</v>
      </c>
      <c r="E513" t="s">
        <v>1063</v>
      </c>
      <c r="F513" t="s">
        <v>1076</v>
      </c>
      <c r="G513" t="s">
        <v>1061</v>
      </c>
      <c r="H513" s="18">
        <v>45060</v>
      </c>
      <c r="I513" t="s">
        <v>526</v>
      </c>
      <c r="J513" t="s">
        <v>20</v>
      </c>
      <c r="K513" s="46" t="s">
        <v>1030</v>
      </c>
      <c r="L513">
        <v>39</v>
      </c>
      <c r="M513" t="s">
        <v>21</v>
      </c>
      <c r="N513">
        <v>2</v>
      </c>
      <c r="O513">
        <v>30</v>
      </c>
      <c r="P513">
        <v>60</v>
      </c>
      <c r="Q513">
        <v>0.89999999999999991</v>
      </c>
      <c r="R513">
        <v>1.2</v>
      </c>
    </row>
    <row r="514" spans="1:18" x14ac:dyDescent="0.35">
      <c r="A514">
        <v>502</v>
      </c>
      <c r="B514">
        <v>2</v>
      </c>
      <c r="C514">
        <v>4</v>
      </c>
      <c r="D514">
        <v>2023</v>
      </c>
      <c r="E514" t="s">
        <v>1063</v>
      </c>
      <c r="F514" t="s">
        <v>1077</v>
      </c>
      <c r="G514" t="s">
        <v>1061</v>
      </c>
      <c r="H514" s="18">
        <v>45018</v>
      </c>
      <c r="I514" t="s">
        <v>527</v>
      </c>
      <c r="J514" t="s">
        <v>20</v>
      </c>
      <c r="K514" s="46" t="s">
        <v>1030</v>
      </c>
      <c r="L514">
        <v>43</v>
      </c>
      <c r="M514" t="s">
        <v>21</v>
      </c>
      <c r="N514">
        <v>3</v>
      </c>
      <c r="O514">
        <v>50</v>
      </c>
      <c r="P514">
        <v>150</v>
      </c>
      <c r="Q514">
        <v>2.25</v>
      </c>
      <c r="R514">
        <v>3</v>
      </c>
    </row>
    <row r="515" spans="1:18" x14ac:dyDescent="0.35">
      <c r="A515">
        <v>503</v>
      </c>
      <c r="B515">
        <v>25</v>
      </c>
      <c r="C515">
        <v>10</v>
      </c>
      <c r="D515">
        <v>2023</v>
      </c>
      <c r="E515" t="s">
        <v>1065</v>
      </c>
      <c r="F515" t="s">
        <v>1064</v>
      </c>
      <c r="G515" t="s">
        <v>1061</v>
      </c>
      <c r="H515" s="18">
        <v>45224</v>
      </c>
      <c r="I515" t="s">
        <v>528</v>
      </c>
      <c r="J515" t="s">
        <v>20</v>
      </c>
      <c r="K515" s="46" t="s">
        <v>1030</v>
      </c>
      <c r="L515">
        <v>45</v>
      </c>
      <c r="M515" t="s">
        <v>21</v>
      </c>
      <c r="N515">
        <v>4</v>
      </c>
      <c r="O515">
        <v>500</v>
      </c>
      <c r="P515">
        <v>2000</v>
      </c>
      <c r="Q515">
        <v>30</v>
      </c>
      <c r="R515">
        <v>40</v>
      </c>
    </row>
    <row r="516" spans="1:18" x14ac:dyDescent="0.35">
      <c r="A516">
        <v>504</v>
      </c>
      <c r="B516">
        <v>16</v>
      </c>
      <c r="C516">
        <v>5</v>
      </c>
      <c r="D516">
        <v>2023</v>
      </c>
      <c r="E516" t="s">
        <v>1059</v>
      </c>
      <c r="F516" t="s">
        <v>1076</v>
      </c>
      <c r="G516" t="s">
        <v>1061</v>
      </c>
      <c r="H516" s="18">
        <v>45062</v>
      </c>
      <c r="I516" t="s">
        <v>529</v>
      </c>
      <c r="J516" t="s">
        <v>23</v>
      </c>
      <c r="K516" s="46" t="s">
        <v>1030</v>
      </c>
      <c r="L516">
        <v>38</v>
      </c>
      <c r="M516" t="s">
        <v>21</v>
      </c>
      <c r="N516">
        <v>3</v>
      </c>
      <c r="O516">
        <v>50</v>
      </c>
      <c r="P516">
        <v>150</v>
      </c>
      <c r="Q516">
        <v>2.25</v>
      </c>
      <c r="R516">
        <v>3</v>
      </c>
    </row>
    <row r="517" spans="1:18" x14ac:dyDescent="0.35">
      <c r="A517">
        <v>505</v>
      </c>
      <c r="B517">
        <v>20</v>
      </c>
      <c r="C517">
        <v>1</v>
      </c>
      <c r="D517">
        <v>2023</v>
      </c>
      <c r="E517" t="s">
        <v>1070</v>
      </c>
      <c r="F517" t="s">
        <v>1060</v>
      </c>
      <c r="G517" t="s">
        <v>1061</v>
      </c>
      <c r="H517" s="18">
        <v>44946</v>
      </c>
      <c r="I517" t="s">
        <v>530</v>
      </c>
      <c r="J517" t="s">
        <v>20</v>
      </c>
      <c r="K517" s="46" t="s">
        <v>1034</v>
      </c>
      <c r="L517">
        <v>24</v>
      </c>
      <c r="M517" t="s">
        <v>21</v>
      </c>
      <c r="N517">
        <v>1</v>
      </c>
      <c r="O517">
        <v>50</v>
      </c>
      <c r="P517">
        <v>50</v>
      </c>
      <c r="Q517">
        <v>0.75</v>
      </c>
      <c r="R517">
        <v>1</v>
      </c>
    </row>
    <row r="518" spans="1:18" x14ac:dyDescent="0.35">
      <c r="A518">
        <v>506</v>
      </c>
      <c r="B518">
        <v>25</v>
      </c>
      <c r="C518">
        <v>2</v>
      </c>
      <c r="D518">
        <v>2023</v>
      </c>
      <c r="E518" t="s">
        <v>1075</v>
      </c>
      <c r="F518" t="s">
        <v>1073</v>
      </c>
      <c r="G518" t="s">
        <v>1061</v>
      </c>
      <c r="H518" s="18">
        <v>44982</v>
      </c>
      <c r="I518" t="s">
        <v>531</v>
      </c>
      <c r="J518" t="s">
        <v>20</v>
      </c>
      <c r="K518" s="46" t="s">
        <v>1030</v>
      </c>
      <c r="L518">
        <v>34</v>
      </c>
      <c r="M518" t="s">
        <v>21</v>
      </c>
      <c r="N518">
        <v>3</v>
      </c>
      <c r="O518">
        <v>500</v>
      </c>
      <c r="P518">
        <v>1500</v>
      </c>
      <c r="Q518">
        <v>22.5</v>
      </c>
      <c r="R518">
        <v>30</v>
      </c>
    </row>
    <row r="519" spans="1:18" x14ac:dyDescent="0.35">
      <c r="A519">
        <v>507</v>
      </c>
      <c r="B519">
        <v>2</v>
      </c>
      <c r="C519">
        <v>11</v>
      </c>
      <c r="D519">
        <v>2023</v>
      </c>
      <c r="E519" t="s">
        <v>1072</v>
      </c>
      <c r="F519" t="s">
        <v>1068</v>
      </c>
      <c r="G519" t="s">
        <v>1061</v>
      </c>
      <c r="H519" s="18">
        <v>45232</v>
      </c>
      <c r="I519" t="s">
        <v>532</v>
      </c>
      <c r="J519" t="s">
        <v>23</v>
      </c>
      <c r="K519" s="46" t="s">
        <v>1030</v>
      </c>
      <c r="L519">
        <v>37</v>
      </c>
      <c r="M519" t="s">
        <v>21</v>
      </c>
      <c r="N519">
        <v>3</v>
      </c>
      <c r="O519">
        <v>500</v>
      </c>
      <c r="P519">
        <v>1500</v>
      </c>
      <c r="Q519">
        <v>22.5</v>
      </c>
      <c r="R519">
        <v>30</v>
      </c>
    </row>
    <row r="520" spans="1:18" x14ac:dyDescent="0.35">
      <c r="A520">
        <v>508</v>
      </c>
      <c r="B520">
        <v>11</v>
      </c>
      <c r="C520">
        <v>8</v>
      </c>
      <c r="D520">
        <v>2023</v>
      </c>
      <c r="E520" t="s">
        <v>1070</v>
      </c>
      <c r="F520" t="s">
        <v>1074</v>
      </c>
      <c r="G520" t="s">
        <v>1061</v>
      </c>
      <c r="H520" s="18">
        <v>45149</v>
      </c>
      <c r="I520" t="s">
        <v>533</v>
      </c>
      <c r="J520" t="s">
        <v>20</v>
      </c>
      <c r="K520" s="46" t="s">
        <v>1032</v>
      </c>
      <c r="L520">
        <v>58</v>
      </c>
      <c r="M520" t="s">
        <v>21</v>
      </c>
      <c r="N520">
        <v>2</v>
      </c>
      <c r="O520">
        <v>300</v>
      </c>
      <c r="P520">
        <v>600</v>
      </c>
      <c r="Q520">
        <v>9</v>
      </c>
      <c r="R520">
        <v>12</v>
      </c>
    </row>
    <row r="521" spans="1:18" x14ac:dyDescent="0.35">
      <c r="A521">
        <v>509</v>
      </c>
      <c r="B521">
        <v>26</v>
      </c>
      <c r="C521">
        <v>6</v>
      </c>
      <c r="D521">
        <v>2023</v>
      </c>
      <c r="E521" t="s">
        <v>1067</v>
      </c>
      <c r="F521" t="s">
        <v>1069</v>
      </c>
      <c r="G521" t="s">
        <v>1061</v>
      </c>
      <c r="H521" s="18">
        <v>45103</v>
      </c>
      <c r="I521" t="s">
        <v>534</v>
      </c>
      <c r="J521" t="s">
        <v>23</v>
      </c>
      <c r="K521" s="46" t="s">
        <v>1030</v>
      </c>
      <c r="L521">
        <v>37</v>
      </c>
      <c r="M521" t="s">
        <v>21</v>
      </c>
      <c r="N521">
        <v>3</v>
      </c>
      <c r="O521">
        <v>300</v>
      </c>
      <c r="P521">
        <v>900</v>
      </c>
      <c r="Q521">
        <v>13.5</v>
      </c>
      <c r="R521">
        <v>18</v>
      </c>
    </row>
    <row r="522" spans="1:18" x14ac:dyDescent="0.35">
      <c r="A522">
        <v>510</v>
      </c>
      <c r="B522">
        <v>10</v>
      </c>
      <c r="C522">
        <v>6</v>
      </c>
      <c r="D522">
        <v>2023</v>
      </c>
      <c r="E522" t="s">
        <v>1075</v>
      </c>
      <c r="F522" t="s">
        <v>1069</v>
      </c>
      <c r="G522" t="s">
        <v>1061</v>
      </c>
      <c r="H522" s="18">
        <v>45087</v>
      </c>
      <c r="I522" t="s">
        <v>535</v>
      </c>
      <c r="J522" t="s">
        <v>23</v>
      </c>
      <c r="K522" s="46" t="s">
        <v>1030</v>
      </c>
      <c r="L522">
        <v>39</v>
      </c>
      <c r="M522" t="s">
        <v>21</v>
      </c>
      <c r="N522">
        <v>4</v>
      </c>
      <c r="O522">
        <v>50</v>
      </c>
      <c r="P522">
        <v>200</v>
      </c>
      <c r="Q522">
        <v>3</v>
      </c>
      <c r="R522">
        <v>4</v>
      </c>
    </row>
    <row r="523" spans="1:18" x14ac:dyDescent="0.35">
      <c r="A523">
        <v>511</v>
      </c>
      <c r="B523">
        <v>12</v>
      </c>
      <c r="C523">
        <v>8</v>
      </c>
      <c r="D523">
        <v>2023</v>
      </c>
      <c r="E523" t="s">
        <v>1075</v>
      </c>
      <c r="F523" t="s">
        <v>1074</v>
      </c>
      <c r="G523" t="s">
        <v>1061</v>
      </c>
      <c r="H523" s="18">
        <v>45150</v>
      </c>
      <c r="I523" t="s">
        <v>536</v>
      </c>
      <c r="J523" t="s">
        <v>20</v>
      </c>
      <c r="K523" s="46" t="s">
        <v>1030</v>
      </c>
      <c r="L523">
        <v>45</v>
      </c>
      <c r="M523" t="s">
        <v>21</v>
      </c>
      <c r="N523">
        <v>2</v>
      </c>
      <c r="O523">
        <v>50</v>
      </c>
      <c r="P523">
        <v>100</v>
      </c>
      <c r="Q523">
        <v>1.5</v>
      </c>
      <c r="R523">
        <v>2</v>
      </c>
    </row>
    <row r="524" spans="1:18" x14ac:dyDescent="0.35">
      <c r="A524">
        <v>512</v>
      </c>
      <c r="B524">
        <v>7</v>
      </c>
      <c r="C524">
        <v>11</v>
      </c>
      <c r="D524">
        <v>2023</v>
      </c>
      <c r="E524" t="s">
        <v>1059</v>
      </c>
      <c r="F524" t="s">
        <v>1068</v>
      </c>
      <c r="G524" t="s">
        <v>1061</v>
      </c>
      <c r="H524" s="18">
        <v>45237</v>
      </c>
      <c r="I524" t="s">
        <v>537</v>
      </c>
      <c r="J524" t="s">
        <v>23</v>
      </c>
      <c r="K524" s="46" t="s">
        <v>1032</v>
      </c>
      <c r="L524">
        <v>57</v>
      </c>
      <c r="M524" t="s">
        <v>21</v>
      </c>
      <c r="N524">
        <v>1</v>
      </c>
      <c r="O524">
        <v>25</v>
      </c>
      <c r="P524">
        <v>25</v>
      </c>
      <c r="Q524">
        <v>0.375</v>
      </c>
      <c r="R524">
        <v>0.5</v>
      </c>
    </row>
    <row r="525" spans="1:18" x14ac:dyDescent="0.35">
      <c r="A525">
        <v>513</v>
      </c>
      <c r="B525">
        <v>19</v>
      </c>
      <c r="C525">
        <v>9</v>
      </c>
      <c r="D525">
        <v>2023</v>
      </c>
      <c r="E525" t="s">
        <v>1059</v>
      </c>
      <c r="F525" t="s">
        <v>1071</v>
      </c>
      <c r="G525" t="s">
        <v>1061</v>
      </c>
      <c r="H525" s="18">
        <v>45188</v>
      </c>
      <c r="I525" t="s">
        <v>538</v>
      </c>
      <c r="J525" t="s">
        <v>20</v>
      </c>
      <c r="K525" s="46" t="s">
        <v>1034</v>
      </c>
      <c r="L525">
        <v>24</v>
      </c>
      <c r="M525" t="s">
        <v>21</v>
      </c>
      <c r="N525">
        <v>4</v>
      </c>
      <c r="O525">
        <v>25</v>
      </c>
      <c r="P525">
        <v>100</v>
      </c>
      <c r="Q525">
        <v>1.5</v>
      </c>
      <c r="R525">
        <v>2</v>
      </c>
    </row>
    <row r="526" spans="1:18" x14ac:dyDescent="0.35">
      <c r="A526">
        <v>514</v>
      </c>
      <c r="B526">
        <v>1</v>
      </c>
      <c r="C526">
        <v>3</v>
      </c>
      <c r="D526">
        <v>2023</v>
      </c>
      <c r="E526" t="s">
        <v>1065</v>
      </c>
      <c r="F526" t="s">
        <v>1066</v>
      </c>
      <c r="G526" t="s">
        <v>1061</v>
      </c>
      <c r="H526" s="18">
        <v>44986</v>
      </c>
      <c r="I526" t="s">
        <v>539</v>
      </c>
      <c r="J526" t="s">
        <v>23</v>
      </c>
      <c r="K526" s="46" t="s">
        <v>1034</v>
      </c>
      <c r="L526">
        <v>18</v>
      </c>
      <c r="M526" t="s">
        <v>21</v>
      </c>
      <c r="N526">
        <v>1</v>
      </c>
      <c r="O526">
        <v>300</v>
      </c>
      <c r="P526">
        <v>300</v>
      </c>
      <c r="Q526">
        <v>4.5</v>
      </c>
      <c r="R526">
        <v>6</v>
      </c>
    </row>
    <row r="527" spans="1:18" x14ac:dyDescent="0.35">
      <c r="A527">
        <v>515</v>
      </c>
      <c r="B527">
        <v>17</v>
      </c>
      <c r="C527">
        <v>7</v>
      </c>
      <c r="D527">
        <v>2023</v>
      </c>
      <c r="E527" t="s">
        <v>1067</v>
      </c>
      <c r="F527" t="s">
        <v>1078</v>
      </c>
      <c r="G527" t="s">
        <v>1061</v>
      </c>
      <c r="H527" s="18">
        <v>45124</v>
      </c>
      <c r="I527" t="s">
        <v>540</v>
      </c>
      <c r="J527" t="s">
        <v>23</v>
      </c>
      <c r="K527" s="46" t="s">
        <v>1030</v>
      </c>
      <c r="L527">
        <v>49</v>
      </c>
      <c r="M527" t="s">
        <v>21</v>
      </c>
      <c r="N527">
        <v>3</v>
      </c>
      <c r="O527">
        <v>300</v>
      </c>
      <c r="P527">
        <v>900</v>
      </c>
      <c r="Q527">
        <v>13.5</v>
      </c>
      <c r="R527">
        <v>18</v>
      </c>
    </row>
    <row r="528" spans="1:18" x14ac:dyDescent="0.35">
      <c r="A528">
        <v>516</v>
      </c>
      <c r="B528">
        <v>23</v>
      </c>
      <c r="C528">
        <v>10</v>
      </c>
      <c r="D528">
        <v>2023</v>
      </c>
      <c r="E528" t="s">
        <v>1067</v>
      </c>
      <c r="F528" t="s">
        <v>1064</v>
      </c>
      <c r="G528" t="s">
        <v>1061</v>
      </c>
      <c r="H528" s="18">
        <v>45222</v>
      </c>
      <c r="I528" t="s">
        <v>541</v>
      </c>
      <c r="J528" t="s">
        <v>20</v>
      </c>
      <c r="K528" s="46" t="s">
        <v>1030</v>
      </c>
      <c r="L528">
        <v>30</v>
      </c>
      <c r="M528" t="s">
        <v>21</v>
      </c>
      <c r="N528">
        <v>4</v>
      </c>
      <c r="O528">
        <v>25</v>
      </c>
      <c r="P528">
        <v>100</v>
      </c>
      <c r="Q528">
        <v>1.5</v>
      </c>
      <c r="R528">
        <v>2</v>
      </c>
    </row>
    <row r="529" spans="1:18" x14ac:dyDescent="0.35">
      <c r="A529">
        <v>517</v>
      </c>
      <c r="B529">
        <v>8</v>
      </c>
      <c r="C529">
        <v>4</v>
      </c>
      <c r="D529">
        <v>2023</v>
      </c>
      <c r="E529" t="s">
        <v>1075</v>
      </c>
      <c r="F529" t="s">
        <v>1077</v>
      </c>
      <c r="G529" t="s">
        <v>1061</v>
      </c>
      <c r="H529" s="18">
        <v>45024</v>
      </c>
      <c r="I529" t="s">
        <v>542</v>
      </c>
      <c r="J529" t="s">
        <v>23</v>
      </c>
      <c r="K529" s="46" t="s">
        <v>1030</v>
      </c>
      <c r="L529">
        <v>47</v>
      </c>
      <c r="M529" t="s">
        <v>21</v>
      </c>
      <c r="N529">
        <v>4</v>
      </c>
      <c r="O529">
        <v>25</v>
      </c>
      <c r="P529">
        <v>100</v>
      </c>
      <c r="Q529">
        <v>1.5</v>
      </c>
      <c r="R529">
        <v>2</v>
      </c>
    </row>
    <row r="530" spans="1:18" x14ac:dyDescent="0.35">
      <c r="A530">
        <v>518</v>
      </c>
      <c r="B530">
        <v>11</v>
      </c>
      <c r="C530">
        <v>5</v>
      </c>
      <c r="D530">
        <v>2023</v>
      </c>
      <c r="E530" t="s">
        <v>1072</v>
      </c>
      <c r="F530" t="s">
        <v>1076</v>
      </c>
      <c r="G530" t="s">
        <v>1061</v>
      </c>
      <c r="H530" s="18">
        <v>45057</v>
      </c>
      <c r="I530" t="s">
        <v>543</v>
      </c>
      <c r="J530" t="s">
        <v>23</v>
      </c>
      <c r="K530" s="46" t="s">
        <v>1030</v>
      </c>
      <c r="L530">
        <v>40</v>
      </c>
      <c r="M530" t="s">
        <v>21</v>
      </c>
      <c r="N530">
        <v>1</v>
      </c>
      <c r="O530">
        <v>30</v>
      </c>
      <c r="P530">
        <v>30</v>
      </c>
      <c r="Q530">
        <v>0.44999999999999996</v>
      </c>
      <c r="R530">
        <v>0.6</v>
      </c>
    </row>
    <row r="531" spans="1:18" x14ac:dyDescent="0.35">
      <c r="A531">
        <v>519</v>
      </c>
      <c r="B531">
        <v>23</v>
      </c>
      <c r="C531">
        <v>1</v>
      </c>
      <c r="D531">
        <v>2023</v>
      </c>
      <c r="E531" t="s">
        <v>1067</v>
      </c>
      <c r="F531" t="s">
        <v>1060</v>
      </c>
      <c r="G531" t="s">
        <v>1061</v>
      </c>
      <c r="H531" s="18">
        <v>44949</v>
      </c>
      <c r="I531" t="s">
        <v>544</v>
      </c>
      <c r="J531" t="s">
        <v>23</v>
      </c>
      <c r="K531" s="46" t="s">
        <v>1030</v>
      </c>
      <c r="L531">
        <v>36</v>
      </c>
      <c r="M531" t="s">
        <v>21</v>
      </c>
      <c r="N531">
        <v>4</v>
      </c>
      <c r="O531">
        <v>30</v>
      </c>
      <c r="P531">
        <v>120</v>
      </c>
      <c r="Q531">
        <v>1.7999999999999998</v>
      </c>
      <c r="R531">
        <v>2.4</v>
      </c>
    </row>
    <row r="532" spans="1:18" x14ac:dyDescent="0.35">
      <c r="A532">
        <v>522</v>
      </c>
      <c r="B532">
        <v>1</v>
      </c>
      <c r="C532">
        <v>1</v>
      </c>
      <c r="D532">
        <v>2023</v>
      </c>
      <c r="E532" t="s">
        <v>1063</v>
      </c>
      <c r="F532" t="s">
        <v>1060</v>
      </c>
      <c r="G532" t="s">
        <v>1061</v>
      </c>
      <c r="H532" s="18">
        <v>44927</v>
      </c>
      <c r="I532" t="s">
        <v>547</v>
      </c>
      <c r="J532" t="s">
        <v>20</v>
      </c>
      <c r="K532" s="46" t="s">
        <v>1030</v>
      </c>
      <c r="L532">
        <v>46</v>
      </c>
      <c r="M532" t="s">
        <v>21</v>
      </c>
      <c r="N532">
        <v>3</v>
      </c>
      <c r="O532">
        <v>500</v>
      </c>
      <c r="P532">
        <v>1500</v>
      </c>
      <c r="Q532">
        <v>22.5</v>
      </c>
      <c r="R532">
        <v>30</v>
      </c>
    </row>
    <row r="533" spans="1:18" x14ac:dyDescent="0.35">
      <c r="A533">
        <v>524</v>
      </c>
      <c r="B533">
        <v>3</v>
      </c>
      <c r="C533">
        <v>10</v>
      </c>
      <c r="D533">
        <v>2023</v>
      </c>
      <c r="E533" t="s">
        <v>1059</v>
      </c>
      <c r="F533" t="s">
        <v>1064</v>
      </c>
      <c r="G533" t="s">
        <v>1061</v>
      </c>
      <c r="H533" s="18">
        <v>45202</v>
      </c>
      <c r="I533" t="s">
        <v>549</v>
      </c>
      <c r="J533" t="s">
        <v>20</v>
      </c>
      <c r="K533" s="46" t="s">
        <v>1030</v>
      </c>
      <c r="L533">
        <v>46</v>
      </c>
      <c r="M533" t="s">
        <v>21</v>
      </c>
      <c r="N533">
        <v>4</v>
      </c>
      <c r="O533">
        <v>300</v>
      </c>
      <c r="P533">
        <v>1200</v>
      </c>
      <c r="Q533">
        <v>18</v>
      </c>
      <c r="R533">
        <v>24</v>
      </c>
    </row>
    <row r="534" spans="1:18" x14ac:dyDescent="0.35">
      <c r="A534">
        <v>525</v>
      </c>
      <c r="B534">
        <v>18</v>
      </c>
      <c r="C534">
        <v>12</v>
      </c>
      <c r="D534">
        <v>2023</v>
      </c>
      <c r="E534" t="s">
        <v>1067</v>
      </c>
      <c r="F534" t="s">
        <v>1062</v>
      </c>
      <c r="G534" t="s">
        <v>1061</v>
      </c>
      <c r="H534" s="18">
        <v>45278</v>
      </c>
      <c r="I534" t="s">
        <v>550</v>
      </c>
      <c r="J534" t="s">
        <v>23</v>
      </c>
      <c r="K534" s="46" t="s">
        <v>1030</v>
      </c>
      <c r="L534">
        <v>47</v>
      </c>
      <c r="M534" t="s">
        <v>21</v>
      </c>
      <c r="N534">
        <v>2</v>
      </c>
      <c r="O534">
        <v>25</v>
      </c>
      <c r="P534">
        <v>50</v>
      </c>
      <c r="Q534">
        <v>0.75</v>
      </c>
      <c r="R534">
        <v>1</v>
      </c>
    </row>
    <row r="535" spans="1:18" x14ac:dyDescent="0.35">
      <c r="A535">
        <v>535</v>
      </c>
      <c r="B535">
        <v>6</v>
      </c>
      <c r="C535">
        <v>12</v>
      </c>
      <c r="D535">
        <v>2023</v>
      </c>
      <c r="E535" t="s">
        <v>1065</v>
      </c>
      <c r="F535" t="s">
        <v>1062</v>
      </c>
      <c r="G535" t="s">
        <v>1061</v>
      </c>
      <c r="H535" s="18">
        <v>45266</v>
      </c>
      <c r="I535" t="s">
        <v>560</v>
      </c>
      <c r="J535" t="s">
        <v>20</v>
      </c>
      <c r="K535" s="46" t="s">
        <v>1030</v>
      </c>
      <c r="L535">
        <v>47</v>
      </c>
      <c r="M535" t="s">
        <v>21</v>
      </c>
      <c r="N535">
        <v>3</v>
      </c>
      <c r="O535">
        <v>30</v>
      </c>
      <c r="P535">
        <v>90</v>
      </c>
      <c r="Q535">
        <v>1.3499999999999999</v>
      </c>
      <c r="R535">
        <v>1.8</v>
      </c>
    </row>
    <row r="536" spans="1:18" x14ac:dyDescent="0.35">
      <c r="A536">
        <v>536</v>
      </c>
      <c r="B536">
        <v>5</v>
      </c>
      <c r="C536">
        <v>3</v>
      </c>
      <c r="D536">
        <v>2023</v>
      </c>
      <c r="E536" t="s">
        <v>1063</v>
      </c>
      <c r="F536" t="s">
        <v>1066</v>
      </c>
      <c r="G536" t="s">
        <v>1061</v>
      </c>
      <c r="H536" s="18">
        <v>44990</v>
      </c>
      <c r="I536" t="s">
        <v>561</v>
      </c>
      <c r="J536" t="s">
        <v>23</v>
      </c>
      <c r="K536" s="46" t="s">
        <v>1032</v>
      </c>
      <c r="L536">
        <v>55</v>
      </c>
      <c r="M536" t="s">
        <v>21</v>
      </c>
      <c r="N536">
        <v>4</v>
      </c>
      <c r="O536">
        <v>30</v>
      </c>
      <c r="P536">
        <v>120</v>
      </c>
      <c r="Q536">
        <v>1.7999999999999998</v>
      </c>
      <c r="R536">
        <v>2.4</v>
      </c>
    </row>
    <row r="537" spans="1:18" x14ac:dyDescent="0.35">
      <c r="A537">
        <v>537</v>
      </c>
      <c r="B537">
        <v>3</v>
      </c>
      <c r="C537">
        <v>6</v>
      </c>
      <c r="D537">
        <v>2023</v>
      </c>
      <c r="E537" t="s">
        <v>1075</v>
      </c>
      <c r="F537" t="s">
        <v>1069</v>
      </c>
      <c r="G537" t="s">
        <v>1061</v>
      </c>
      <c r="H537" s="18">
        <v>45080</v>
      </c>
      <c r="I537" t="s">
        <v>562</v>
      </c>
      <c r="J537" t="s">
        <v>23</v>
      </c>
      <c r="K537" s="46" t="s">
        <v>1034</v>
      </c>
      <c r="L537">
        <v>21</v>
      </c>
      <c r="M537" t="s">
        <v>21</v>
      </c>
      <c r="N537">
        <v>1</v>
      </c>
      <c r="O537">
        <v>500</v>
      </c>
      <c r="P537">
        <v>500</v>
      </c>
      <c r="Q537">
        <v>7.5</v>
      </c>
      <c r="R537">
        <v>10</v>
      </c>
    </row>
    <row r="538" spans="1:18" x14ac:dyDescent="0.35">
      <c r="A538">
        <v>539</v>
      </c>
      <c r="B538">
        <v>8</v>
      </c>
      <c r="C538">
        <v>6</v>
      </c>
      <c r="D538">
        <v>2023</v>
      </c>
      <c r="E538" t="s">
        <v>1072</v>
      </c>
      <c r="F538" t="s">
        <v>1069</v>
      </c>
      <c r="G538" t="s">
        <v>1061</v>
      </c>
      <c r="H538" s="18">
        <v>45085</v>
      </c>
      <c r="I538" t="s">
        <v>564</v>
      </c>
      <c r="J538" t="s">
        <v>20</v>
      </c>
      <c r="K538" s="46" t="s">
        <v>1034</v>
      </c>
      <c r="L538">
        <v>25</v>
      </c>
      <c r="M538" t="s">
        <v>21</v>
      </c>
      <c r="N538">
        <v>1</v>
      </c>
      <c r="O538">
        <v>500</v>
      </c>
      <c r="P538">
        <v>500</v>
      </c>
      <c r="Q538">
        <v>7.5</v>
      </c>
      <c r="R538">
        <v>10</v>
      </c>
    </row>
    <row r="539" spans="1:18" x14ac:dyDescent="0.35">
      <c r="A539">
        <v>541</v>
      </c>
      <c r="B539">
        <v>29</v>
      </c>
      <c r="C539">
        <v>7</v>
      </c>
      <c r="D539">
        <v>2023</v>
      </c>
      <c r="E539" t="s">
        <v>1075</v>
      </c>
      <c r="F539" t="s">
        <v>1078</v>
      </c>
      <c r="G539" t="s">
        <v>1061</v>
      </c>
      <c r="H539" s="18">
        <v>45136</v>
      </c>
      <c r="I539" t="s">
        <v>566</v>
      </c>
      <c r="J539" t="s">
        <v>20</v>
      </c>
      <c r="K539" s="46" t="s">
        <v>1032</v>
      </c>
      <c r="L539">
        <v>56</v>
      </c>
      <c r="M539" t="s">
        <v>21</v>
      </c>
      <c r="N539">
        <v>1</v>
      </c>
      <c r="O539">
        <v>500</v>
      </c>
      <c r="P539">
        <v>500</v>
      </c>
      <c r="Q539">
        <v>7.5</v>
      </c>
      <c r="R539">
        <v>10</v>
      </c>
    </row>
    <row r="540" spans="1:18" x14ac:dyDescent="0.35">
      <c r="A540">
        <v>542</v>
      </c>
      <c r="B540">
        <v>17</v>
      </c>
      <c r="C540">
        <v>6</v>
      </c>
      <c r="D540">
        <v>2023</v>
      </c>
      <c r="E540" t="s">
        <v>1075</v>
      </c>
      <c r="F540" t="s">
        <v>1069</v>
      </c>
      <c r="G540" t="s">
        <v>1061</v>
      </c>
      <c r="H540" s="18">
        <v>45094</v>
      </c>
      <c r="I540" t="s">
        <v>567</v>
      </c>
      <c r="J540" t="s">
        <v>23</v>
      </c>
      <c r="K540" s="46" t="s">
        <v>1034</v>
      </c>
      <c r="L540">
        <v>20</v>
      </c>
      <c r="M540" t="s">
        <v>21</v>
      </c>
      <c r="N540">
        <v>1</v>
      </c>
      <c r="O540">
        <v>50</v>
      </c>
      <c r="P540">
        <v>50</v>
      </c>
      <c r="Q540">
        <v>0.75</v>
      </c>
      <c r="R540">
        <v>1</v>
      </c>
    </row>
    <row r="541" spans="1:18" x14ac:dyDescent="0.35">
      <c r="A541">
        <v>543</v>
      </c>
      <c r="B541">
        <v>26</v>
      </c>
      <c r="C541">
        <v>7</v>
      </c>
      <c r="D541">
        <v>2023</v>
      </c>
      <c r="E541" t="s">
        <v>1065</v>
      </c>
      <c r="F541" t="s">
        <v>1078</v>
      </c>
      <c r="G541" t="s">
        <v>1061</v>
      </c>
      <c r="H541" s="18">
        <v>45133</v>
      </c>
      <c r="I541" t="s">
        <v>568</v>
      </c>
      <c r="J541" t="s">
        <v>20</v>
      </c>
      <c r="K541" s="46" t="s">
        <v>1030</v>
      </c>
      <c r="L541">
        <v>49</v>
      </c>
      <c r="M541" t="s">
        <v>21</v>
      </c>
      <c r="N541">
        <v>2</v>
      </c>
      <c r="O541">
        <v>300</v>
      </c>
      <c r="P541">
        <v>600</v>
      </c>
      <c r="Q541">
        <v>9</v>
      </c>
      <c r="R541">
        <v>12</v>
      </c>
    </row>
    <row r="542" spans="1:18" x14ac:dyDescent="0.35">
      <c r="A542">
        <v>549</v>
      </c>
      <c r="B542">
        <v>4</v>
      </c>
      <c r="C542">
        <v>8</v>
      </c>
      <c r="D542">
        <v>2023</v>
      </c>
      <c r="E542" t="s">
        <v>1070</v>
      </c>
      <c r="F542" t="s">
        <v>1074</v>
      </c>
      <c r="G542" t="s">
        <v>1061</v>
      </c>
      <c r="H542" s="18">
        <v>45142</v>
      </c>
      <c r="I542" t="s">
        <v>574</v>
      </c>
      <c r="J542" t="s">
        <v>23</v>
      </c>
      <c r="K542" s="46" t="s">
        <v>1030</v>
      </c>
      <c r="L542">
        <v>50</v>
      </c>
      <c r="M542" t="s">
        <v>21</v>
      </c>
      <c r="N542">
        <v>2</v>
      </c>
      <c r="O542">
        <v>50</v>
      </c>
      <c r="P542">
        <v>100</v>
      </c>
      <c r="Q542">
        <v>1.5</v>
      </c>
      <c r="R542">
        <v>2</v>
      </c>
    </row>
    <row r="543" spans="1:18" x14ac:dyDescent="0.35">
      <c r="A543">
        <v>554</v>
      </c>
      <c r="B543">
        <v>12</v>
      </c>
      <c r="C543">
        <v>11</v>
      </c>
      <c r="D543">
        <v>2023</v>
      </c>
      <c r="E543" t="s">
        <v>1063</v>
      </c>
      <c r="F543" t="s">
        <v>1068</v>
      </c>
      <c r="G543" t="s">
        <v>1061</v>
      </c>
      <c r="H543" s="18">
        <v>45242</v>
      </c>
      <c r="I543" t="s">
        <v>579</v>
      </c>
      <c r="J543" t="s">
        <v>23</v>
      </c>
      <c r="K543" s="46" t="s">
        <v>1030</v>
      </c>
      <c r="L543">
        <v>46</v>
      </c>
      <c r="M543" t="s">
        <v>21</v>
      </c>
      <c r="N543">
        <v>3</v>
      </c>
      <c r="O543">
        <v>50</v>
      </c>
      <c r="P543">
        <v>150</v>
      </c>
      <c r="Q543">
        <v>2.25</v>
      </c>
      <c r="R543">
        <v>3</v>
      </c>
    </row>
    <row r="544" spans="1:18" x14ac:dyDescent="0.35">
      <c r="A544">
        <v>555</v>
      </c>
      <c r="B544">
        <v>19</v>
      </c>
      <c r="C544">
        <v>10</v>
      </c>
      <c r="D544">
        <v>2023</v>
      </c>
      <c r="E544" t="s">
        <v>1072</v>
      </c>
      <c r="F544" t="s">
        <v>1064</v>
      </c>
      <c r="G544" t="s">
        <v>1061</v>
      </c>
      <c r="H544" s="18">
        <v>45218</v>
      </c>
      <c r="I544" t="s">
        <v>580</v>
      </c>
      <c r="J544" t="s">
        <v>20</v>
      </c>
      <c r="K544" s="46" t="s">
        <v>1034</v>
      </c>
      <c r="L544">
        <v>25</v>
      </c>
      <c r="M544" t="s">
        <v>21</v>
      </c>
      <c r="N544">
        <v>1</v>
      </c>
      <c r="O544">
        <v>300</v>
      </c>
      <c r="P544">
        <v>300</v>
      </c>
      <c r="Q544">
        <v>4.5</v>
      </c>
      <c r="R544">
        <v>6</v>
      </c>
    </row>
    <row r="545" spans="1:18" x14ac:dyDescent="0.35">
      <c r="A545">
        <v>557</v>
      </c>
      <c r="B545">
        <v>27</v>
      </c>
      <c r="C545">
        <v>7</v>
      </c>
      <c r="D545">
        <v>2023</v>
      </c>
      <c r="E545" t="s">
        <v>1072</v>
      </c>
      <c r="F545" t="s">
        <v>1078</v>
      </c>
      <c r="G545" t="s">
        <v>1061</v>
      </c>
      <c r="H545" s="18">
        <v>45134</v>
      </c>
      <c r="I545" t="s">
        <v>582</v>
      </c>
      <c r="J545" t="s">
        <v>23</v>
      </c>
      <c r="K545" s="46" t="s">
        <v>1034</v>
      </c>
      <c r="L545">
        <v>20</v>
      </c>
      <c r="M545" t="s">
        <v>21</v>
      </c>
      <c r="N545">
        <v>3</v>
      </c>
      <c r="O545">
        <v>30</v>
      </c>
      <c r="P545">
        <v>90</v>
      </c>
      <c r="Q545">
        <v>1.3499999999999999</v>
      </c>
      <c r="R545">
        <v>1.8</v>
      </c>
    </row>
    <row r="546" spans="1:18" x14ac:dyDescent="0.35">
      <c r="A546">
        <v>565</v>
      </c>
      <c r="B546">
        <v>7</v>
      </c>
      <c r="C546">
        <v>11</v>
      </c>
      <c r="D546">
        <v>2023</v>
      </c>
      <c r="E546" t="s">
        <v>1059</v>
      </c>
      <c r="F546" t="s">
        <v>1068</v>
      </c>
      <c r="G546" t="s">
        <v>1061</v>
      </c>
      <c r="H546" s="18">
        <v>45237</v>
      </c>
      <c r="I546" t="s">
        <v>590</v>
      </c>
      <c r="J546" t="s">
        <v>23</v>
      </c>
      <c r="K546" s="46" t="s">
        <v>1030</v>
      </c>
      <c r="L546">
        <v>45</v>
      </c>
      <c r="M546" t="s">
        <v>21</v>
      </c>
      <c r="N546">
        <v>2</v>
      </c>
      <c r="O546">
        <v>30</v>
      </c>
      <c r="P546">
        <v>60</v>
      </c>
      <c r="Q546">
        <v>0.89999999999999991</v>
      </c>
      <c r="R546">
        <v>1.2</v>
      </c>
    </row>
    <row r="547" spans="1:18" x14ac:dyDescent="0.35">
      <c r="A547">
        <v>573</v>
      </c>
      <c r="B547">
        <v>19</v>
      </c>
      <c r="C547">
        <v>9</v>
      </c>
      <c r="D547">
        <v>2023</v>
      </c>
      <c r="E547" t="s">
        <v>1059</v>
      </c>
      <c r="F547" t="s">
        <v>1071</v>
      </c>
      <c r="G547" t="s">
        <v>1061</v>
      </c>
      <c r="H547" s="18">
        <v>45188</v>
      </c>
      <c r="I547" t="s">
        <v>598</v>
      </c>
      <c r="J547" t="s">
        <v>20</v>
      </c>
      <c r="K547" s="46" t="s">
        <v>1030</v>
      </c>
      <c r="L547">
        <v>49</v>
      </c>
      <c r="M547" t="s">
        <v>21</v>
      </c>
      <c r="N547">
        <v>2</v>
      </c>
      <c r="O547">
        <v>30</v>
      </c>
      <c r="P547">
        <v>60</v>
      </c>
      <c r="Q547">
        <v>0.89999999999999991</v>
      </c>
      <c r="R547">
        <v>1.2</v>
      </c>
    </row>
    <row r="548" spans="1:18" x14ac:dyDescent="0.35">
      <c r="A548">
        <v>576</v>
      </c>
      <c r="B548">
        <v>4</v>
      </c>
      <c r="C548">
        <v>12</v>
      </c>
      <c r="D548">
        <v>2023</v>
      </c>
      <c r="E548" t="s">
        <v>1067</v>
      </c>
      <c r="F548" t="s">
        <v>1062</v>
      </c>
      <c r="G548" t="s">
        <v>1061</v>
      </c>
      <c r="H548" s="18">
        <v>45264</v>
      </c>
      <c r="I548" t="s">
        <v>601</v>
      </c>
      <c r="J548" t="s">
        <v>23</v>
      </c>
      <c r="K548" s="46" t="s">
        <v>1030</v>
      </c>
      <c r="L548">
        <v>33</v>
      </c>
      <c r="M548" t="s">
        <v>21</v>
      </c>
      <c r="N548">
        <v>3</v>
      </c>
      <c r="O548">
        <v>50</v>
      </c>
      <c r="P548">
        <v>150</v>
      </c>
      <c r="Q548">
        <v>2.25</v>
      </c>
      <c r="R548">
        <v>3</v>
      </c>
    </row>
    <row r="549" spans="1:18" x14ac:dyDescent="0.35">
      <c r="A549">
        <v>577</v>
      </c>
      <c r="B549">
        <v>13</v>
      </c>
      <c r="C549">
        <v>2</v>
      </c>
      <c r="D549">
        <v>2023</v>
      </c>
      <c r="E549" t="s">
        <v>1067</v>
      </c>
      <c r="F549" t="s">
        <v>1073</v>
      </c>
      <c r="G549" t="s">
        <v>1061</v>
      </c>
      <c r="H549" s="18">
        <v>44970</v>
      </c>
      <c r="I549" t="s">
        <v>602</v>
      </c>
      <c r="J549" t="s">
        <v>20</v>
      </c>
      <c r="K549" s="46" t="s">
        <v>1034</v>
      </c>
      <c r="L549">
        <v>21</v>
      </c>
      <c r="M549" t="s">
        <v>21</v>
      </c>
      <c r="N549">
        <v>4</v>
      </c>
      <c r="O549">
        <v>500</v>
      </c>
      <c r="P549">
        <v>2000</v>
      </c>
      <c r="Q549">
        <v>30</v>
      </c>
      <c r="R549">
        <v>40</v>
      </c>
    </row>
    <row r="550" spans="1:18" x14ac:dyDescent="0.35">
      <c r="A550">
        <v>581</v>
      </c>
      <c r="B550">
        <v>21</v>
      </c>
      <c r="C550">
        <v>11</v>
      </c>
      <c r="D550">
        <v>2023</v>
      </c>
      <c r="E550" t="s">
        <v>1059</v>
      </c>
      <c r="F550" t="s">
        <v>1068</v>
      </c>
      <c r="G550" t="s">
        <v>1061</v>
      </c>
      <c r="H550" s="18">
        <v>45251</v>
      </c>
      <c r="I550" t="s">
        <v>606</v>
      </c>
      <c r="J550" t="s">
        <v>23</v>
      </c>
      <c r="K550" s="46" t="s">
        <v>1030</v>
      </c>
      <c r="L550">
        <v>48</v>
      </c>
      <c r="M550" t="s">
        <v>21</v>
      </c>
      <c r="N550">
        <v>2</v>
      </c>
      <c r="O550">
        <v>30</v>
      </c>
      <c r="P550">
        <v>60</v>
      </c>
      <c r="Q550">
        <v>0.89999999999999991</v>
      </c>
      <c r="R550">
        <v>1.2</v>
      </c>
    </row>
    <row r="551" spans="1:18" x14ac:dyDescent="0.35">
      <c r="A551">
        <v>584</v>
      </c>
      <c r="B551">
        <v>17</v>
      </c>
      <c r="C551">
        <v>2</v>
      </c>
      <c r="D551">
        <v>2023</v>
      </c>
      <c r="E551" t="s">
        <v>1070</v>
      </c>
      <c r="F551" t="s">
        <v>1073</v>
      </c>
      <c r="G551" t="s">
        <v>1061</v>
      </c>
      <c r="H551" s="18">
        <v>44974</v>
      </c>
      <c r="I551" t="s">
        <v>609</v>
      </c>
      <c r="J551" t="s">
        <v>23</v>
      </c>
      <c r="K551" s="46" t="s">
        <v>1034</v>
      </c>
      <c r="L551">
        <v>27</v>
      </c>
      <c r="M551" t="s">
        <v>21</v>
      </c>
      <c r="N551">
        <v>4</v>
      </c>
      <c r="O551">
        <v>50</v>
      </c>
      <c r="P551">
        <v>200</v>
      </c>
      <c r="Q551">
        <v>3</v>
      </c>
      <c r="R551">
        <v>4</v>
      </c>
    </row>
    <row r="552" spans="1:18" x14ac:dyDescent="0.35">
      <c r="A552">
        <v>587</v>
      </c>
      <c r="B552">
        <v>8</v>
      </c>
      <c r="C552">
        <v>6</v>
      </c>
      <c r="D552">
        <v>2023</v>
      </c>
      <c r="E552" t="s">
        <v>1072</v>
      </c>
      <c r="F552" t="s">
        <v>1069</v>
      </c>
      <c r="G552" t="s">
        <v>1061</v>
      </c>
      <c r="H552" s="18">
        <v>45085</v>
      </c>
      <c r="I552" t="s">
        <v>612</v>
      </c>
      <c r="J552" t="s">
        <v>23</v>
      </c>
      <c r="K552" s="46" t="s">
        <v>1030</v>
      </c>
      <c r="L552">
        <v>40</v>
      </c>
      <c r="M552" t="s">
        <v>21</v>
      </c>
      <c r="N552">
        <v>4</v>
      </c>
      <c r="O552">
        <v>300</v>
      </c>
      <c r="P552">
        <v>1200</v>
      </c>
      <c r="Q552">
        <v>18</v>
      </c>
      <c r="R552">
        <v>24</v>
      </c>
    </row>
    <row r="553" spans="1:18" x14ac:dyDescent="0.35">
      <c r="A553">
        <v>589</v>
      </c>
      <c r="B553">
        <v>12</v>
      </c>
      <c r="C553">
        <v>4</v>
      </c>
      <c r="D553">
        <v>2023</v>
      </c>
      <c r="E553" t="s">
        <v>1065</v>
      </c>
      <c r="F553" t="s">
        <v>1077</v>
      </c>
      <c r="G553" t="s">
        <v>1061</v>
      </c>
      <c r="H553" s="18">
        <v>45028</v>
      </c>
      <c r="I553" t="s">
        <v>614</v>
      </c>
      <c r="J553" t="s">
        <v>23</v>
      </c>
      <c r="K553" s="46" t="s">
        <v>1030</v>
      </c>
      <c r="L553">
        <v>36</v>
      </c>
      <c r="M553" t="s">
        <v>21</v>
      </c>
      <c r="N553">
        <v>2</v>
      </c>
      <c r="O553">
        <v>500</v>
      </c>
      <c r="P553">
        <v>1000</v>
      </c>
      <c r="Q553">
        <v>15</v>
      </c>
      <c r="R553">
        <v>20</v>
      </c>
    </row>
    <row r="554" spans="1:18" x14ac:dyDescent="0.35">
      <c r="A554">
        <v>592</v>
      </c>
      <c r="B554">
        <v>24</v>
      </c>
      <c r="C554">
        <v>1</v>
      </c>
      <c r="D554">
        <v>2023</v>
      </c>
      <c r="E554" t="s">
        <v>1059</v>
      </c>
      <c r="F554" t="s">
        <v>1060</v>
      </c>
      <c r="G554" t="s">
        <v>1061</v>
      </c>
      <c r="H554" s="18">
        <v>44950</v>
      </c>
      <c r="I554" t="s">
        <v>617</v>
      </c>
      <c r="J554" t="s">
        <v>23</v>
      </c>
      <c r="K554" s="46" t="s">
        <v>1030</v>
      </c>
      <c r="L554">
        <v>46</v>
      </c>
      <c r="M554" t="s">
        <v>21</v>
      </c>
      <c r="N554">
        <v>4</v>
      </c>
      <c r="O554">
        <v>500</v>
      </c>
      <c r="P554">
        <v>2000</v>
      </c>
      <c r="Q554">
        <v>30</v>
      </c>
      <c r="R554">
        <v>40</v>
      </c>
    </row>
    <row r="555" spans="1:18" x14ac:dyDescent="0.35">
      <c r="A555">
        <v>597</v>
      </c>
      <c r="B555">
        <v>22</v>
      </c>
      <c r="C555">
        <v>8</v>
      </c>
      <c r="D555">
        <v>2023</v>
      </c>
      <c r="E555" t="s">
        <v>1059</v>
      </c>
      <c r="F555" t="s">
        <v>1074</v>
      </c>
      <c r="G555" t="s">
        <v>1061</v>
      </c>
      <c r="H555" s="18">
        <v>45160</v>
      </c>
      <c r="I555" t="s">
        <v>622</v>
      </c>
      <c r="J555" t="s">
        <v>20</v>
      </c>
      <c r="K555" s="46" t="s">
        <v>1034</v>
      </c>
      <c r="L555">
        <v>22</v>
      </c>
      <c r="M555" t="s">
        <v>21</v>
      </c>
      <c r="N555">
        <v>4</v>
      </c>
      <c r="O555">
        <v>300</v>
      </c>
      <c r="P555">
        <v>1200</v>
      </c>
      <c r="Q555">
        <v>18</v>
      </c>
      <c r="R555">
        <v>24</v>
      </c>
    </row>
    <row r="556" spans="1:18" x14ac:dyDescent="0.35">
      <c r="A556">
        <v>598</v>
      </c>
      <c r="B556">
        <v>1</v>
      </c>
      <c r="C556">
        <v>8</v>
      </c>
      <c r="D556">
        <v>2023</v>
      </c>
      <c r="E556" t="s">
        <v>1059</v>
      </c>
      <c r="F556" t="s">
        <v>1074</v>
      </c>
      <c r="G556" t="s">
        <v>1061</v>
      </c>
      <c r="H556" s="18">
        <v>45139</v>
      </c>
      <c r="I556" t="s">
        <v>623</v>
      </c>
      <c r="J556" t="s">
        <v>20</v>
      </c>
      <c r="K556" s="46" t="s">
        <v>1030</v>
      </c>
      <c r="L556">
        <v>37</v>
      </c>
      <c r="M556" t="s">
        <v>21</v>
      </c>
      <c r="N556">
        <v>4</v>
      </c>
      <c r="O556">
        <v>30</v>
      </c>
      <c r="P556">
        <v>120</v>
      </c>
      <c r="Q556">
        <v>1.7999999999999998</v>
      </c>
      <c r="R556">
        <v>2.4</v>
      </c>
    </row>
    <row r="557" spans="1:18" x14ac:dyDescent="0.35">
      <c r="A557">
        <v>599</v>
      </c>
      <c r="B557">
        <v>19</v>
      </c>
      <c r="C557">
        <v>11</v>
      </c>
      <c r="D557">
        <v>2023</v>
      </c>
      <c r="E557" t="s">
        <v>1063</v>
      </c>
      <c r="F557" t="s">
        <v>1068</v>
      </c>
      <c r="G557" t="s">
        <v>1061</v>
      </c>
      <c r="H557" s="18">
        <v>45249</v>
      </c>
      <c r="I557" t="s">
        <v>624</v>
      </c>
      <c r="J557" t="s">
        <v>23</v>
      </c>
      <c r="K557" s="46" t="s">
        <v>1034</v>
      </c>
      <c r="L557">
        <v>28</v>
      </c>
      <c r="M557" t="s">
        <v>21</v>
      </c>
      <c r="N557">
        <v>2</v>
      </c>
      <c r="O557">
        <v>50</v>
      </c>
      <c r="P557">
        <v>100</v>
      </c>
      <c r="Q557">
        <v>1.5</v>
      </c>
      <c r="R557">
        <v>2</v>
      </c>
    </row>
    <row r="558" spans="1:18" x14ac:dyDescent="0.35">
      <c r="A558">
        <v>600</v>
      </c>
      <c r="B558">
        <v>22</v>
      </c>
      <c r="C558">
        <v>10</v>
      </c>
      <c r="D558">
        <v>2023</v>
      </c>
      <c r="E558" t="s">
        <v>1063</v>
      </c>
      <c r="F558" t="s">
        <v>1064</v>
      </c>
      <c r="G558" t="s">
        <v>1061</v>
      </c>
      <c r="H558" s="18">
        <v>45221</v>
      </c>
      <c r="I558" t="s">
        <v>625</v>
      </c>
      <c r="J558" t="s">
        <v>23</v>
      </c>
      <c r="K558" s="46" t="s">
        <v>1032</v>
      </c>
      <c r="L558">
        <v>59</v>
      </c>
      <c r="M558" t="s">
        <v>21</v>
      </c>
      <c r="N558">
        <v>2</v>
      </c>
      <c r="O558">
        <v>500</v>
      </c>
      <c r="P558">
        <v>1000</v>
      </c>
      <c r="Q558">
        <v>15</v>
      </c>
      <c r="R558">
        <v>20</v>
      </c>
    </row>
    <row r="559" spans="1:18" x14ac:dyDescent="0.35">
      <c r="A559">
        <v>610</v>
      </c>
      <c r="B559">
        <v>3</v>
      </c>
      <c r="C559">
        <v>1</v>
      </c>
      <c r="D559">
        <v>2023</v>
      </c>
      <c r="E559" t="s">
        <v>1059</v>
      </c>
      <c r="F559" t="s">
        <v>1060</v>
      </c>
      <c r="G559" t="s">
        <v>1061</v>
      </c>
      <c r="H559" s="18">
        <v>44929</v>
      </c>
      <c r="I559" t="s">
        <v>635</v>
      </c>
      <c r="J559" t="s">
        <v>23</v>
      </c>
      <c r="K559" s="46" t="s">
        <v>1034</v>
      </c>
      <c r="L559">
        <v>26</v>
      </c>
      <c r="M559" t="s">
        <v>21</v>
      </c>
      <c r="N559">
        <v>2</v>
      </c>
      <c r="O559">
        <v>300</v>
      </c>
      <c r="P559">
        <v>600</v>
      </c>
      <c r="Q559">
        <v>9</v>
      </c>
      <c r="R559">
        <v>12</v>
      </c>
    </row>
    <row r="560" spans="1:18" x14ac:dyDescent="0.35">
      <c r="A560">
        <v>611</v>
      </c>
      <c r="B560">
        <v>24</v>
      </c>
      <c r="C560">
        <v>2</v>
      </c>
      <c r="D560">
        <v>2023</v>
      </c>
      <c r="E560" t="s">
        <v>1070</v>
      </c>
      <c r="F560" t="s">
        <v>1073</v>
      </c>
      <c r="G560" t="s">
        <v>1061</v>
      </c>
      <c r="H560" s="18">
        <v>44981</v>
      </c>
      <c r="I560" t="s">
        <v>636</v>
      </c>
      <c r="J560" t="s">
        <v>20</v>
      </c>
      <c r="K560" s="46" t="s">
        <v>1032</v>
      </c>
      <c r="L560">
        <v>51</v>
      </c>
      <c r="M560" t="s">
        <v>21</v>
      </c>
      <c r="N560">
        <v>3</v>
      </c>
      <c r="O560">
        <v>500</v>
      </c>
      <c r="P560">
        <v>1500</v>
      </c>
      <c r="Q560">
        <v>22.5</v>
      </c>
      <c r="R560">
        <v>30</v>
      </c>
    </row>
    <row r="561" spans="1:18" x14ac:dyDescent="0.35">
      <c r="A561">
        <v>614</v>
      </c>
      <c r="B561">
        <v>1</v>
      </c>
      <c r="C561">
        <v>4</v>
      </c>
      <c r="D561">
        <v>2023</v>
      </c>
      <c r="E561" t="s">
        <v>1075</v>
      </c>
      <c r="F561" t="s">
        <v>1077</v>
      </c>
      <c r="G561" t="s">
        <v>1061</v>
      </c>
      <c r="H561" s="18">
        <v>45017</v>
      </c>
      <c r="I561" t="s">
        <v>639</v>
      </c>
      <c r="J561" t="s">
        <v>23</v>
      </c>
      <c r="K561" s="46" t="s">
        <v>1030</v>
      </c>
      <c r="L561">
        <v>39</v>
      </c>
      <c r="M561" t="s">
        <v>21</v>
      </c>
      <c r="N561">
        <v>4</v>
      </c>
      <c r="O561">
        <v>300</v>
      </c>
      <c r="P561">
        <v>1200</v>
      </c>
      <c r="Q561">
        <v>18</v>
      </c>
      <c r="R561">
        <v>24</v>
      </c>
    </row>
    <row r="562" spans="1:18" x14ac:dyDescent="0.35">
      <c r="A562">
        <v>618</v>
      </c>
      <c r="B562">
        <v>26</v>
      </c>
      <c r="C562">
        <v>1</v>
      </c>
      <c r="D562">
        <v>2023</v>
      </c>
      <c r="E562" t="s">
        <v>1072</v>
      </c>
      <c r="F562" t="s">
        <v>1060</v>
      </c>
      <c r="G562" t="s">
        <v>1061</v>
      </c>
      <c r="H562" s="18">
        <v>44952</v>
      </c>
      <c r="I562" t="s">
        <v>643</v>
      </c>
      <c r="J562" t="s">
        <v>23</v>
      </c>
      <c r="K562" s="46" t="s">
        <v>1034</v>
      </c>
      <c r="L562">
        <v>27</v>
      </c>
      <c r="M562" t="s">
        <v>21</v>
      </c>
      <c r="N562">
        <v>1</v>
      </c>
      <c r="O562">
        <v>50</v>
      </c>
      <c r="P562">
        <v>50</v>
      </c>
      <c r="Q562">
        <v>0.75</v>
      </c>
      <c r="R562">
        <v>1</v>
      </c>
    </row>
    <row r="563" spans="1:18" x14ac:dyDescent="0.35">
      <c r="A563">
        <v>621</v>
      </c>
      <c r="B563">
        <v>4</v>
      </c>
      <c r="C563">
        <v>3</v>
      </c>
      <c r="D563">
        <v>2023</v>
      </c>
      <c r="E563" t="s">
        <v>1075</v>
      </c>
      <c r="F563" t="s">
        <v>1066</v>
      </c>
      <c r="G563" t="s">
        <v>1061</v>
      </c>
      <c r="H563" s="18">
        <v>44989</v>
      </c>
      <c r="I563" t="s">
        <v>646</v>
      </c>
      <c r="J563" t="s">
        <v>23</v>
      </c>
      <c r="K563" s="46" t="s">
        <v>1030</v>
      </c>
      <c r="L563">
        <v>40</v>
      </c>
      <c r="M563" t="s">
        <v>21</v>
      </c>
      <c r="N563">
        <v>2</v>
      </c>
      <c r="O563">
        <v>500</v>
      </c>
      <c r="P563">
        <v>1000</v>
      </c>
      <c r="Q563">
        <v>15</v>
      </c>
      <c r="R563">
        <v>20</v>
      </c>
    </row>
    <row r="564" spans="1:18" x14ac:dyDescent="0.35">
      <c r="A564">
        <v>622</v>
      </c>
      <c r="B564">
        <v>22</v>
      </c>
      <c r="C564">
        <v>8</v>
      </c>
      <c r="D564">
        <v>2023</v>
      </c>
      <c r="E564" t="s">
        <v>1059</v>
      </c>
      <c r="F564" t="s">
        <v>1074</v>
      </c>
      <c r="G564" t="s">
        <v>1061</v>
      </c>
      <c r="H564" s="18">
        <v>45160</v>
      </c>
      <c r="I564" t="s">
        <v>647</v>
      </c>
      <c r="J564" t="s">
        <v>23</v>
      </c>
      <c r="K564" s="46" t="s">
        <v>1030</v>
      </c>
      <c r="L564">
        <v>49</v>
      </c>
      <c r="M564" t="s">
        <v>21</v>
      </c>
      <c r="N564">
        <v>3</v>
      </c>
      <c r="O564">
        <v>25</v>
      </c>
      <c r="P564">
        <v>75</v>
      </c>
      <c r="Q564">
        <v>1.125</v>
      </c>
      <c r="R564">
        <v>1.5</v>
      </c>
    </row>
    <row r="565" spans="1:18" x14ac:dyDescent="0.35">
      <c r="A565">
        <v>624</v>
      </c>
      <c r="B565">
        <v>26</v>
      </c>
      <c r="C565">
        <v>8</v>
      </c>
      <c r="D565">
        <v>2023</v>
      </c>
      <c r="E565" t="s">
        <v>1075</v>
      </c>
      <c r="F565" t="s">
        <v>1074</v>
      </c>
      <c r="G565" t="s">
        <v>1061</v>
      </c>
      <c r="H565" s="18">
        <v>45164</v>
      </c>
      <c r="I565" t="s">
        <v>649</v>
      </c>
      <c r="J565" t="s">
        <v>23</v>
      </c>
      <c r="K565" s="46" t="s">
        <v>1030</v>
      </c>
      <c r="L565">
        <v>34</v>
      </c>
      <c r="M565" t="s">
        <v>21</v>
      </c>
      <c r="N565">
        <v>3</v>
      </c>
      <c r="O565">
        <v>300</v>
      </c>
      <c r="P565">
        <v>900</v>
      </c>
      <c r="Q565">
        <v>13.5</v>
      </c>
      <c r="R565">
        <v>18</v>
      </c>
    </row>
    <row r="566" spans="1:18" x14ac:dyDescent="0.35">
      <c r="A566">
        <v>628</v>
      </c>
      <c r="B566">
        <v>1</v>
      </c>
      <c r="C566">
        <v>11</v>
      </c>
      <c r="D566">
        <v>2023</v>
      </c>
      <c r="E566" t="s">
        <v>1065</v>
      </c>
      <c r="F566" t="s">
        <v>1068</v>
      </c>
      <c r="G566" t="s">
        <v>1061</v>
      </c>
      <c r="H566" s="18">
        <v>45231</v>
      </c>
      <c r="I566" t="s">
        <v>653</v>
      </c>
      <c r="J566" t="s">
        <v>23</v>
      </c>
      <c r="K566" s="46" t="s">
        <v>1034</v>
      </c>
      <c r="L566">
        <v>19</v>
      </c>
      <c r="M566" t="s">
        <v>21</v>
      </c>
      <c r="N566">
        <v>4</v>
      </c>
      <c r="O566">
        <v>50</v>
      </c>
      <c r="P566">
        <v>200</v>
      </c>
      <c r="Q566">
        <v>3</v>
      </c>
      <c r="R566">
        <v>4</v>
      </c>
    </row>
    <row r="567" spans="1:18" x14ac:dyDescent="0.35">
      <c r="A567">
        <v>633</v>
      </c>
      <c r="B567">
        <v>7</v>
      </c>
      <c r="C567">
        <v>8</v>
      </c>
      <c r="D567">
        <v>2023</v>
      </c>
      <c r="E567" t="s">
        <v>1067</v>
      </c>
      <c r="F567" t="s">
        <v>1074</v>
      </c>
      <c r="G567" t="s">
        <v>1061</v>
      </c>
      <c r="H567" s="18">
        <v>45145</v>
      </c>
      <c r="I567" t="s">
        <v>658</v>
      </c>
      <c r="J567" t="s">
        <v>20</v>
      </c>
      <c r="K567" s="46" t="s">
        <v>1030</v>
      </c>
      <c r="L567">
        <v>39</v>
      </c>
      <c r="M567" t="s">
        <v>21</v>
      </c>
      <c r="N567">
        <v>4</v>
      </c>
      <c r="O567">
        <v>30</v>
      </c>
      <c r="P567">
        <v>120</v>
      </c>
      <c r="Q567">
        <v>1.7999999999999998</v>
      </c>
      <c r="R567">
        <v>2.4</v>
      </c>
    </row>
    <row r="568" spans="1:18" x14ac:dyDescent="0.35">
      <c r="A568">
        <v>636</v>
      </c>
      <c r="B568">
        <v>23</v>
      </c>
      <c r="C568">
        <v>3</v>
      </c>
      <c r="D568">
        <v>2023</v>
      </c>
      <c r="E568" t="s">
        <v>1072</v>
      </c>
      <c r="F568" t="s">
        <v>1066</v>
      </c>
      <c r="G568" t="s">
        <v>1061</v>
      </c>
      <c r="H568" s="18">
        <v>45008</v>
      </c>
      <c r="I568" t="s">
        <v>661</v>
      </c>
      <c r="J568" t="s">
        <v>23</v>
      </c>
      <c r="K568" s="46" t="s">
        <v>1034</v>
      </c>
      <c r="L568">
        <v>21</v>
      </c>
      <c r="M568" t="s">
        <v>21</v>
      </c>
      <c r="N568">
        <v>3</v>
      </c>
      <c r="O568">
        <v>500</v>
      </c>
      <c r="P568">
        <v>1500</v>
      </c>
      <c r="Q568">
        <v>22.5</v>
      </c>
      <c r="R568">
        <v>30</v>
      </c>
    </row>
    <row r="569" spans="1:18" x14ac:dyDescent="0.35">
      <c r="A569">
        <v>639</v>
      </c>
      <c r="B569">
        <v>13</v>
      </c>
      <c r="C569">
        <v>5</v>
      </c>
      <c r="D569">
        <v>2023</v>
      </c>
      <c r="E569" t="s">
        <v>1075</v>
      </c>
      <c r="F569" t="s">
        <v>1076</v>
      </c>
      <c r="G569" t="s">
        <v>1061</v>
      </c>
      <c r="H569" s="18">
        <v>45059</v>
      </c>
      <c r="I569" t="s">
        <v>664</v>
      </c>
      <c r="J569" t="s">
        <v>23</v>
      </c>
      <c r="K569" s="46" t="s">
        <v>1032</v>
      </c>
      <c r="L569">
        <v>62</v>
      </c>
      <c r="M569" t="s">
        <v>21</v>
      </c>
      <c r="N569">
        <v>4</v>
      </c>
      <c r="O569">
        <v>50</v>
      </c>
      <c r="P569">
        <v>200</v>
      </c>
      <c r="Q569">
        <v>3</v>
      </c>
      <c r="R569">
        <v>4</v>
      </c>
    </row>
    <row r="570" spans="1:18" x14ac:dyDescent="0.35">
      <c r="A570">
        <v>644</v>
      </c>
      <c r="B570">
        <v>6</v>
      </c>
      <c r="C570">
        <v>9</v>
      </c>
      <c r="D570">
        <v>2023</v>
      </c>
      <c r="E570" t="s">
        <v>1065</v>
      </c>
      <c r="F570" t="s">
        <v>1071</v>
      </c>
      <c r="G570" t="s">
        <v>1061</v>
      </c>
      <c r="H570" s="18">
        <v>45175</v>
      </c>
      <c r="I570" t="s">
        <v>669</v>
      </c>
      <c r="J570" t="s">
        <v>20</v>
      </c>
      <c r="K570" s="46" t="s">
        <v>1034</v>
      </c>
      <c r="L570">
        <v>23</v>
      </c>
      <c r="M570" t="s">
        <v>21</v>
      </c>
      <c r="N570">
        <v>3</v>
      </c>
      <c r="O570">
        <v>25</v>
      </c>
      <c r="P570">
        <v>75</v>
      </c>
      <c r="Q570">
        <v>1.125</v>
      </c>
      <c r="R570">
        <v>1.5</v>
      </c>
    </row>
    <row r="571" spans="1:18" x14ac:dyDescent="0.35">
      <c r="A571">
        <v>648</v>
      </c>
      <c r="B571">
        <v>14</v>
      </c>
      <c r="C571">
        <v>8</v>
      </c>
      <c r="D571">
        <v>2023</v>
      </c>
      <c r="E571" t="s">
        <v>1067</v>
      </c>
      <c r="F571" t="s">
        <v>1074</v>
      </c>
      <c r="G571" t="s">
        <v>1061</v>
      </c>
      <c r="H571" s="18">
        <v>45152</v>
      </c>
      <c r="I571" t="s">
        <v>673</v>
      </c>
      <c r="J571" t="s">
        <v>20</v>
      </c>
      <c r="K571" s="46" t="s">
        <v>1032</v>
      </c>
      <c r="L571">
        <v>53</v>
      </c>
      <c r="M571" t="s">
        <v>21</v>
      </c>
      <c r="N571">
        <v>4</v>
      </c>
      <c r="O571">
        <v>300</v>
      </c>
      <c r="P571">
        <v>1200</v>
      </c>
      <c r="Q571">
        <v>18</v>
      </c>
      <c r="R571">
        <v>24</v>
      </c>
    </row>
    <row r="572" spans="1:18" x14ac:dyDescent="0.35">
      <c r="A572">
        <v>652</v>
      </c>
      <c r="B572">
        <v>1</v>
      </c>
      <c r="C572">
        <v>5</v>
      </c>
      <c r="D572">
        <v>2023</v>
      </c>
      <c r="E572" t="s">
        <v>1067</v>
      </c>
      <c r="F572" t="s">
        <v>1076</v>
      </c>
      <c r="G572" t="s">
        <v>1061</v>
      </c>
      <c r="H572" s="18">
        <v>45047</v>
      </c>
      <c r="I572" t="s">
        <v>677</v>
      </c>
      <c r="J572" t="s">
        <v>23</v>
      </c>
      <c r="K572" s="46" t="s">
        <v>1030</v>
      </c>
      <c r="L572">
        <v>34</v>
      </c>
      <c r="M572" t="s">
        <v>21</v>
      </c>
      <c r="N572">
        <v>2</v>
      </c>
      <c r="O572">
        <v>50</v>
      </c>
      <c r="P572">
        <v>100</v>
      </c>
      <c r="Q572">
        <v>1.5</v>
      </c>
      <c r="R572">
        <v>2</v>
      </c>
    </row>
    <row r="573" spans="1:18" x14ac:dyDescent="0.35">
      <c r="A573">
        <v>656</v>
      </c>
      <c r="B573">
        <v>4</v>
      </c>
      <c r="C573">
        <v>10</v>
      </c>
      <c r="D573">
        <v>2023</v>
      </c>
      <c r="E573" t="s">
        <v>1065</v>
      </c>
      <c r="F573" t="s">
        <v>1064</v>
      </c>
      <c r="G573" t="s">
        <v>1061</v>
      </c>
      <c r="H573" s="18">
        <v>45203</v>
      </c>
      <c r="I573" t="s">
        <v>681</v>
      </c>
      <c r="J573" t="s">
        <v>20</v>
      </c>
      <c r="K573" s="46" t="s">
        <v>1034</v>
      </c>
      <c r="L573">
        <v>29</v>
      </c>
      <c r="M573" t="s">
        <v>21</v>
      </c>
      <c r="N573">
        <v>3</v>
      </c>
      <c r="O573">
        <v>30</v>
      </c>
      <c r="P573">
        <v>90</v>
      </c>
      <c r="Q573">
        <v>1.3499999999999999</v>
      </c>
      <c r="R573">
        <v>1.8</v>
      </c>
    </row>
    <row r="574" spans="1:18" x14ac:dyDescent="0.35">
      <c r="A574">
        <v>660</v>
      </c>
      <c r="B574">
        <v>29</v>
      </c>
      <c r="C574">
        <v>4</v>
      </c>
      <c r="D574">
        <v>2023</v>
      </c>
      <c r="E574" t="s">
        <v>1075</v>
      </c>
      <c r="F574" t="s">
        <v>1077</v>
      </c>
      <c r="G574" t="s">
        <v>1061</v>
      </c>
      <c r="H574" s="18">
        <v>45045</v>
      </c>
      <c r="I574" t="s">
        <v>685</v>
      </c>
      <c r="J574" t="s">
        <v>23</v>
      </c>
      <c r="K574" s="46" t="s">
        <v>1030</v>
      </c>
      <c r="L574">
        <v>38</v>
      </c>
      <c r="M574" t="s">
        <v>21</v>
      </c>
      <c r="N574">
        <v>2</v>
      </c>
      <c r="O574">
        <v>500</v>
      </c>
      <c r="P574">
        <v>1000</v>
      </c>
      <c r="Q574">
        <v>15</v>
      </c>
      <c r="R574">
        <v>20</v>
      </c>
    </row>
    <row r="575" spans="1:18" x14ac:dyDescent="0.35">
      <c r="A575">
        <v>662</v>
      </c>
      <c r="B575">
        <v>22</v>
      </c>
      <c r="C575">
        <v>12</v>
      </c>
      <c r="D575">
        <v>2023</v>
      </c>
      <c r="E575" t="s">
        <v>1070</v>
      </c>
      <c r="F575" t="s">
        <v>1062</v>
      </c>
      <c r="G575" t="s">
        <v>1061</v>
      </c>
      <c r="H575" s="18">
        <v>45282</v>
      </c>
      <c r="I575" t="s">
        <v>687</v>
      </c>
      <c r="J575" t="s">
        <v>20</v>
      </c>
      <c r="K575" s="46" t="s">
        <v>1030</v>
      </c>
      <c r="L575">
        <v>48</v>
      </c>
      <c r="M575" t="s">
        <v>21</v>
      </c>
      <c r="N575">
        <v>2</v>
      </c>
      <c r="O575">
        <v>500</v>
      </c>
      <c r="P575">
        <v>1000</v>
      </c>
      <c r="Q575">
        <v>15</v>
      </c>
      <c r="R575">
        <v>20</v>
      </c>
    </row>
    <row r="576" spans="1:18" x14ac:dyDescent="0.35">
      <c r="A576">
        <v>669</v>
      </c>
      <c r="B576">
        <v>19</v>
      </c>
      <c r="C576">
        <v>6</v>
      </c>
      <c r="D576">
        <v>2023</v>
      </c>
      <c r="E576" t="s">
        <v>1067</v>
      </c>
      <c r="F576" t="s">
        <v>1069</v>
      </c>
      <c r="G576" t="s">
        <v>1061</v>
      </c>
      <c r="H576" s="18">
        <v>45096</v>
      </c>
      <c r="I576" t="s">
        <v>694</v>
      </c>
      <c r="J576" t="s">
        <v>20</v>
      </c>
      <c r="K576" s="46" t="s">
        <v>1034</v>
      </c>
      <c r="L576">
        <v>24</v>
      </c>
      <c r="M576" t="s">
        <v>21</v>
      </c>
      <c r="N576">
        <v>4</v>
      </c>
      <c r="O576">
        <v>300</v>
      </c>
      <c r="P576">
        <v>1200</v>
      </c>
      <c r="Q576">
        <v>18</v>
      </c>
      <c r="R576">
        <v>24</v>
      </c>
    </row>
    <row r="577" spans="1:18" x14ac:dyDescent="0.35">
      <c r="A577">
        <v>670</v>
      </c>
      <c r="B577">
        <v>5</v>
      </c>
      <c r="C577">
        <v>10</v>
      </c>
      <c r="D577">
        <v>2023</v>
      </c>
      <c r="E577" t="s">
        <v>1072</v>
      </c>
      <c r="F577" t="s">
        <v>1064</v>
      </c>
      <c r="G577" t="s">
        <v>1061</v>
      </c>
      <c r="H577" s="18">
        <v>45204</v>
      </c>
      <c r="I577" t="s">
        <v>695</v>
      </c>
      <c r="J577" t="s">
        <v>20</v>
      </c>
      <c r="K577" s="46" t="s">
        <v>1034</v>
      </c>
      <c r="L577">
        <v>27</v>
      </c>
      <c r="M577" t="s">
        <v>21</v>
      </c>
      <c r="N577">
        <v>1</v>
      </c>
      <c r="O577">
        <v>30</v>
      </c>
      <c r="P577">
        <v>30</v>
      </c>
      <c r="Q577">
        <v>0.44999999999999996</v>
      </c>
      <c r="R577">
        <v>0.6</v>
      </c>
    </row>
    <row r="578" spans="1:18" x14ac:dyDescent="0.35">
      <c r="A578">
        <v>672</v>
      </c>
      <c r="B578">
        <v>1</v>
      </c>
      <c r="C578">
        <v>8</v>
      </c>
      <c r="D578">
        <v>2023</v>
      </c>
      <c r="E578" t="s">
        <v>1059</v>
      </c>
      <c r="F578" t="s">
        <v>1074</v>
      </c>
      <c r="G578" t="s">
        <v>1061</v>
      </c>
      <c r="H578" s="18">
        <v>45139</v>
      </c>
      <c r="I578" t="s">
        <v>697</v>
      </c>
      <c r="J578" t="s">
        <v>23</v>
      </c>
      <c r="K578" s="46" t="s">
        <v>1030</v>
      </c>
      <c r="L578">
        <v>34</v>
      </c>
      <c r="M578" t="s">
        <v>21</v>
      </c>
      <c r="N578">
        <v>2</v>
      </c>
      <c r="O578">
        <v>50</v>
      </c>
      <c r="P578">
        <v>100</v>
      </c>
      <c r="Q578">
        <v>1.5</v>
      </c>
      <c r="R578">
        <v>2</v>
      </c>
    </row>
    <row r="579" spans="1:18" x14ac:dyDescent="0.35">
      <c r="A579">
        <v>677</v>
      </c>
      <c r="B579">
        <v>27</v>
      </c>
      <c r="C579">
        <v>10</v>
      </c>
      <c r="D579">
        <v>2023</v>
      </c>
      <c r="E579" t="s">
        <v>1070</v>
      </c>
      <c r="F579" t="s">
        <v>1064</v>
      </c>
      <c r="G579" t="s">
        <v>1061</v>
      </c>
      <c r="H579" s="18">
        <v>45226</v>
      </c>
      <c r="I579" t="s">
        <v>702</v>
      </c>
      <c r="J579" t="s">
        <v>23</v>
      </c>
      <c r="K579" s="46" t="s">
        <v>1034</v>
      </c>
      <c r="L579">
        <v>19</v>
      </c>
      <c r="M579" t="s">
        <v>21</v>
      </c>
      <c r="N579">
        <v>3</v>
      </c>
      <c r="O579">
        <v>500</v>
      </c>
      <c r="P579">
        <v>1500</v>
      </c>
      <c r="Q579">
        <v>22.5</v>
      </c>
      <c r="R579">
        <v>30</v>
      </c>
    </row>
    <row r="580" spans="1:18" x14ac:dyDescent="0.35">
      <c r="A580">
        <v>679</v>
      </c>
      <c r="B580">
        <v>11</v>
      </c>
      <c r="C580">
        <v>1</v>
      </c>
      <c r="D580">
        <v>2023</v>
      </c>
      <c r="E580" t="s">
        <v>1065</v>
      </c>
      <c r="F580" t="s">
        <v>1060</v>
      </c>
      <c r="G580" t="s">
        <v>1061</v>
      </c>
      <c r="H580" s="18">
        <v>44937</v>
      </c>
      <c r="I580" t="s">
        <v>704</v>
      </c>
      <c r="J580" t="s">
        <v>23</v>
      </c>
      <c r="K580" s="46" t="s">
        <v>1034</v>
      </c>
      <c r="L580">
        <v>18</v>
      </c>
      <c r="M580" t="s">
        <v>21</v>
      </c>
      <c r="N580">
        <v>3</v>
      </c>
      <c r="O580">
        <v>30</v>
      </c>
      <c r="P580">
        <v>90</v>
      </c>
      <c r="Q580">
        <v>1.3499999999999999</v>
      </c>
      <c r="R580">
        <v>1.8</v>
      </c>
    </row>
    <row r="581" spans="1:18" x14ac:dyDescent="0.35">
      <c r="A581">
        <v>682</v>
      </c>
      <c r="B581">
        <v>2</v>
      </c>
      <c r="C581">
        <v>9</v>
      </c>
      <c r="D581">
        <v>2023</v>
      </c>
      <c r="E581" t="s">
        <v>1075</v>
      </c>
      <c r="F581" t="s">
        <v>1071</v>
      </c>
      <c r="G581" t="s">
        <v>1061</v>
      </c>
      <c r="H581" s="18">
        <v>45171</v>
      </c>
      <c r="I581" t="s">
        <v>707</v>
      </c>
      <c r="J581" t="s">
        <v>20</v>
      </c>
      <c r="K581" s="46" t="s">
        <v>1030</v>
      </c>
      <c r="L581">
        <v>46</v>
      </c>
      <c r="M581" t="s">
        <v>21</v>
      </c>
      <c r="N581">
        <v>4</v>
      </c>
      <c r="O581">
        <v>300</v>
      </c>
      <c r="P581">
        <v>1200</v>
      </c>
      <c r="Q581">
        <v>18</v>
      </c>
      <c r="R581">
        <v>24</v>
      </c>
    </row>
    <row r="582" spans="1:18" x14ac:dyDescent="0.35">
      <c r="A582">
        <v>683</v>
      </c>
      <c r="B582">
        <v>4</v>
      </c>
      <c r="C582">
        <v>1</v>
      </c>
      <c r="D582">
        <v>2023</v>
      </c>
      <c r="E582" t="s">
        <v>1065</v>
      </c>
      <c r="F582" t="s">
        <v>1060</v>
      </c>
      <c r="G582" t="s">
        <v>1061</v>
      </c>
      <c r="H582" s="18">
        <v>44930</v>
      </c>
      <c r="I582" t="s">
        <v>708</v>
      </c>
      <c r="J582" t="s">
        <v>20</v>
      </c>
      <c r="K582" s="46" t="s">
        <v>1030</v>
      </c>
      <c r="L582">
        <v>38</v>
      </c>
      <c r="M582" t="s">
        <v>21</v>
      </c>
      <c r="N582">
        <v>2</v>
      </c>
      <c r="O582">
        <v>500</v>
      </c>
      <c r="P582">
        <v>1000</v>
      </c>
      <c r="Q582">
        <v>15</v>
      </c>
      <c r="R582">
        <v>20</v>
      </c>
    </row>
    <row r="583" spans="1:18" x14ac:dyDescent="0.35">
      <c r="A583">
        <v>693</v>
      </c>
      <c r="B583">
        <v>23</v>
      </c>
      <c r="C583">
        <v>4</v>
      </c>
      <c r="D583">
        <v>2023</v>
      </c>
      <c r="E583" t="s">
        <v>1063</v>
      </c>
      <c r="F583" t="s">
        <v>1077</v>
      </c>
      <c r="G583" t="s">
        <v>1061</v>
      </c>
      <c r="H583" s="18">
        <v>45039</v>
      </c>
      <c r="I583" t="s">
        <v>718</v>
      </c>
      <c r="J583" t="s">
        <v>20</v>
      </c>
      <c r="K583" s="46" t="s">
        <v>1030</v>
      </c>
      <c r="L583">
        <v>41</v>
      </c>
      <c r="M583" t="s">
        <v>21</v>
      </c>
      <c r="N583">
        <v>3</v>
      </c>
      <c r="O583">
        <v>500</v>
      </c>
      <c r="P583">
        <v>1500</v>
      </c>
      <c r="Q583">
        <v>22.5</v>
      </c>
      <c r="R583">
        <v>30</v>
      </c>
    </row>
    <row r="584" spans="1:18" x14ac:dyDescent="0.35">
      <c r="A584">
        <v>701</v>
      </c>
      <c r="B584">
        <v>14</v>
      </c>
      <c r="C584">
        <v>12</v>
      </c>
      <c r="D584">
        <v>2023</v>
      </c>
      <c r="E584" t="s">
        <v>1072</v>
      </c>
      <c r="F584" t="s">
        <v>1062</v>
      </c>
      <c r="G584" t="s">
        <v>1061</v>
      </c>
      <c r="H584" s="18">
        <v>45274</v>
      </c>
      <c r="I584" t="s">
        <v>726</v>
      </c>
      <c r="J584" t="s">
        <v>23</v>
      </c>
      <c r="K584" s="46" t="s">
        <v>1032</v>
      </c>
      <c r="L584">
        <v>52</v>
      </c>
      <c r="M584" t="s">
        <v>21</v>
      </c>
      <c r="N584">
        <v>2</v>
      </c>
      <c r="O584">
        <v>30</v>
      </c>
      <c r="P584">
        <v>60</v>
      </c>
      <c r="Q584">
        <v>0.89999999999999991</v>
      </c>
      <c r="R584">
        <v>1.2</v>
      </c>
    </row>
    <row r="585" spans="1:18" x14ac:dyDescent="0.35">
      <c r="A585">
        <v>708</v>
      </c>
      <c r="B585">
        <v>14</v>
      </c>
      <c r="C585">
        <v>1</v>
      </c>
      <c r="D585">
        <v>2023</v>
      </c>
      <c r="E585" t="s">
        <v>1075</v>
      </c>
      <c r="F585" t="s">
        <v>1060</v>
      </c>
      <c r="G585" t="s">
        <v>1061</v>
      </c>
      <c r="H585" s="18">
        <v>44940</v>
      </c>
      <c r="I585" t="s">
        <v>733</v>
      </c>
      <c r="J585" t="s">
        <v>23</v>
      </c>
      <c r="K585" s="46" t="s">
        <v>1030</v>
      </c>
      <c r="L585">
        <v>43</v>
      </c>
      <c r="M585" t="s">
        <v>21</v>
      </c>
      <c r="N585">
        <v>3</v>
      </c>
      <c r="O585">
        <v>300</v>
      </c>
      <c r="P585">
        <v>900</v>
      </c>
      <c r="Q585">
        <v>13.5</v>
      </c>
      <c r="R585">
        <v>18</v>
      </c>
    </row>
    <row r="586" spans="1:18" x14ac:dyDescent="0.35">
      <c r="A586">
        <v>712</v>
      </c>
      <c r="B586">
        <v>6</v>
      </c>
      <c r="C586">
        <v>12</v>
      </c>
      <c r="D586">
        <v>2023</v>
      </c>
      <c r="E586" t="s">
        <v>1065</v>
      </c>
      <c r="F586" t="s">
        <v>1062</v>
      </c>
      <c r="G586" t="s">
        <v>1061</v>
      </c>
      <c r="H586" s="18">
        <v>45266</v>
      </c>
      <c r="I586" t="s">
        <v>737</v>
      </c>
      <c r="J586" t="s">
        <v>23</v>
      </c>
      <c r="K586" s="46" t="s">
        <v>1032</v>
      </c>
      <c r="L586">
        <v>57</v>
      </c>
      <c r="M586" t="s">
        <v>21</v>
      </c>
      <c r="N586">
        <v>2</v>
      </c>
      <c r="O586">
        <v>25</v>
      </c>
      <c r="P586">
        <v>50</v>
      </c>
      <c r="Q586">
        <v>0.75</v>
      </c>
      <c r="R586">
        <v>1</v>
      </c>
    </row>
    <row r="587" spans="1:18" x14ac:dyDescent="0.35">
      <c r="A587">
        <v>713</v>
      </c>
      <c r="B587">
        <v>14</v>
      </c>
      <c r="C587">
        <v>1</v>
      </c>
      <c r="D587">
        <v>2023</v>
      </c>
      <c r="E587" t="s">
        <v>1075</v>
      </c>
      <c r="F587" t="s">
        <v>1060</v>
      </c>
      <c r="G587" t="s">
        <v>1061</v>
      </c>
      <c r="H587" s="18">
        <v>44940</v>
      </c>
      <c r="I587" t="s">
        <v>738</v>
      </c>
      <c r="J587" t="s">
        <v>20</v>
      </c>
      <c r="K587" s="46" t="s">
        <v>1030</v>
      </c>
      <c r="L587">
        <v>34</v>
      </c>
      <c r="M587" t="s">
        <v>21</v>
      </c>
      <c r="N587">
        <v>3</v>
      </c>
      <c r="O587">
        <v>25</v>
      </c>
      <c r="P587">
        <v>75</v>
      </c>
      <c r="Q587">
        <v>1.125</v>
      </c>
      <c r="R587">
        <v>1.5</v>
      </c>
    </row>
    <row r="588" spans="1:18" x14ac:dyDescent="0.35">
      <c r="A588">
        <v>715</v>
      </c>
      <c r="B588">
        <v>26</v>
      </c>
      <c r="C588">
        <v>11</v>
      </c>
      <c r="D588">
        <v>2023</v>
      </c>
      <c r="E588" t="s">
        <v>1063</v>
      </c>
      <c r="F588" t="s">
        <v>1068</v>
      </c>
      <c r="G588" t="s">
        <v>1061</v>
      </c>
      <c r="H588" s="18">
        <v>45256</v>
      </c>
      <c r="I588" t="s">
        <v>740</v>
      </c>
      <c r="J588" t="s">
        <v>23</v>
      </c>
      <c r="K588" s="46" t="s">
        <v>1030</v>
      </c>
      <c r="L588">
        <v>42</v>
      </c>
      <c r="M588" t="s">
        <v>21</v>
      </c>
      <c r="N588">
        <v>4</v>
      </c>
      <c r="O588">
        <v>25</v>
      </c>
      <c r="P588">
        <v>100</v>
      </c>
      <c r="Q588">
        <v>1.5</v>
      </c>
      <c r="R588">
        <v>2</v>
      </c>
    </row>
    <row r="589" spans="1:18" x14ac:dyDescent="0.35">
      <c r="A589">
        <v>718</v>
      </c>
      <c r="B589">
        <v>25</v>
      </c>
      <c r="C589">
        <v>8</v>
      </c>
      <c r="D589">
        <v>2023</v>
      </c>
      <c r="E589" t="s">
        <v>1070</v>
      </c>
      <c r="F589" t="s">
        <v>1074</v>
      </c>
      <c r="G589" t="s">
        <v>1061</v>
      </c>
      <c r="H589" s="18">
        <v>45163</v>
      </c>
      <c r="I589" t="s">
        <v>743</v>
      </c>
      <c r="J589" t="s">
        <v>23</v>
      </c>
      <c r="K589" s="46" t="s">
        <v>1032</v>
      </c>
      <c r="L589">
        <v>59</v>
      </c>
      <c r="M589" t="s">
        <v>21</v>
      </c>
      <c r="N589">
        <v>3</v>
      </c>
      <c r="O589">
        <v>25</v>
      </c>
      <c r="P589">
        <v>75</v>
      </c>
      <c r="Q589">
        <v>1.125</v>
      </c>
      <c r="R589">
        <v>1.5</v>
      </c>
    </row>
    <row r="590" spans="1:18" x14ac:dyDescent="0.35">
      <c r="A590">
        <v>720</v>
      </c>
      <c r="B590">
        <v>26</v>
      </c>
      <c r="C590">
        <v>1</v>
      </c>
      <c r="D590">
        <v>2023</v>
      </c>
      <c r="E590" t="s">
        <v>1072</v>
      </c>
      <c r="F590" t="s">
        <v>1060</v>
      </c>
      <c r="G590" t="s">
        <v>1061</v>
      </c>
      <c r="H590" s="18">
        <v>44952</v>
      </c>
      <c r="I590" t="s">
        <v>745</v>
      </c>
      <c r="J590" t="s">
        <v>23</v>
      </c>
      <c r="K590" s="46" t="s">
        <v>1032</v>
      </c>
      <c r="L590">
        <v>56</v>
      </c>
      <c r="M590" t="s">
        <v>21</v>
      </c>
      <c r="N590">
        <v>3</v>
      </c>
      <c r="O590">
        <v>500</v>
      </c>
      <c r="P590">
        <v>1500</v>
      </c>
      <c r="Q590">
        <v>22.5</v>
      </c>
      <c r="R590">
        <v>30</v>
      </c>
    </row>
    <row r="591" spans="1:18" x14ac:dyDescent="0.35">
      <c r="A591">
        <v>722</v>
      </c>
      <c r="B591">
        <v>14</v>
      </c>
      <c r="C591">
        <v>7</v>
      </c>
      <c r="D591">
        <v>2023</v>
      </c>
      <c r="E591" t="s">
        <v>1070</v>
      </c>
      <c r="F591" t="s">
        <v>1078</v>
      </c>
      <c r="G591" t="s">
        <v>1061</v>
      </c>
      <c r="H591" s="18">
        <v>45121</v>
      </c>
      <c r="I591" t="s">
        <v>747</v>
      </c>
      <c r="J591" t="s">
        <v>20</v>
      </c>
      <c r="K591" s="46" t="s">
        <v>1034</v>
      </c>
      <c r="L591">
        <v>20</v>
      </c>
      <c r="M591" t="s">
        <v>21</v>
      </c>
      <c r="N591">
        <v>3</v>
      </c>
      <c r="O591">
        <v>300</v>
      </c>
      <c r="P591">
        <v>900</v>
      </c>
      <c r="Q591">
        <v>13.5</v>
      </c>
      <c r="R591">
        <v>18</v>
      </c>
    </row>
    <row r="592" spans="1:18" x14ac:dyDescent="0.35">
      <c r="A592">
        <v>723</v>
      </c>
      <c r="B592">
        <v>17</v>
      </c>
      <c r="C592">
        <v>6</v>
      </c>
      <c r="D592">
        <v>2023</v>
      </c>
      <c r="E592" t="s">
        <v>1075</v>
      </c>
      <c r="F592" t="s">
        <v>1069</v>
      </c>
      <c r="G592" t="s">
        <v>1061</v>
      </c>
      <c r="H592" s="18">
        <v>45094</v>
      </c>
      <c r="I592" t="s">
        <v>748</v>
      </c>
      <c r="J592" t="s">
        <v>23</v>
      </c>
      <c r="K592" s="46" t="s">
        <v>1032</v>
      </c>
      <c r="L592">
        <v>54</v>
      </c>
      <c r="M592" t="s">
        <v>21</v>
      </c>
      <c r="N592">
        <v>4</v>
      </c>
      <c r="O592">
        <v>50</v>
      </c>
      <c r="P592">
        <v>200</v>
      </c>
      <c r="Q592">
        <v>3</v>
      </c>
      <c r="R592">
        <v>4</v>
      </c>
    </row>
    <row r="593" spans="1:18" x14ac:dyDescent="0.35">
      <c r="A593">
        <v>727</v>
      </c>
      <c r="B593">
        <v>22</v>
      </c>
      <c r="C593">
        <v>6</v>
      </c>
      <c r="D593">
        <v>2023</v>
      </c>
      <c r="E593" t="s">
        <v>1072</v>
      </c>
      <c r="F593" t="s">
        <v>1069</v>
      </c>
      <c r="G593" t="s">
        <v>1061</v>
      </c>
      <c r="H593" s="18">
        <v>45099</v>
      </c>
      <c r="I593" t="s">
        <v>752</v>
      </c>
      <c r="J593" t="s">
        <v>20</v>
      </c>
      <c r="K593" s="46" t="s">
        <v>1032</v>
      </c>
      <c r="L593">
        <v>55</v>
      </c>
      <c r="M593" t="s">
        <v>21</v>
      </c>
      <c r="N593">
        <v>3</v>
      </c>
      <c r="O593">
        <v>300</v>
      </c>
      <c r="P593">
        <v>900</v>
      </c>
      <c r="Q593">
        <v>13.5</v>
      </c>
      <c r="R593">
        <v>18</v>
      </c>
    </row>
    <row r="594" spans="1:18" x14ac:dyDescent="0.35">
      <c r="A594">
        <v>733</v>
      </c>
      <c r="B594">
        <v>29</v>
      </c>
      <c r="C594">
        <v>8</v>
      </c>
      <c r="D594">
        <v>2023</v>
      </c>
      <c r="E594" t="s">
        <v>1059</v>
      </c>
      <c r="F594" t="s">
        <v>1074</v>
      </c>
      <c r="G594" t="s">
        <v>1061</v>
      </c>
      <c r="H594" s="18">
        <v>45167</v>
      </c>
      <c r="I594" t="s">
        <v>758</v>
      </c>
      <c r="J594" t="s">
        <v>20</v>
      </c>
      <c r="K594" s="46" t="s">
        <v>1030</v>
      </c>
      <c r="L594">
        <v>34</v>
      </c>
      <c r="M594" t="s">
        <v>21</v>
      </c>
      <c r="N594">
        <v>1</v>
      </c>
      <c r="O594">
        <v>30</v>
      </c>
      <c r="P594">
        <v>30</v>
      </c>
      <c r="Q594">
        <v>0.44999999999999996</v>
      </c>
      <c r="R594">
        <v>0.6</v>
      </c>
    </row>
    <row r="595" spans="1:18" x14ac:dyDescent="0.35">
      <c r="A595">
        <v>739</v>
      </c>
      <c r="B595">
        <v>29</v>
      </c>
      <c r="C595">
        <v>11</v>
      </c>
      <c r="D595">
        <v>2023</v>
      </c>
      <c r="E595" t="s">
        <v>1065</v>
      </c>
      <c r="F595" t="s">
        <v>1068</v>
      </c>
      <c r="G595" t="s">
        <v>1061</v>
      </c>
      <c r="H595" s="18">
        <v>45259</v>
      </c>
      <c r="I595" t="s">
        <v>764</v>
      </c>
      <c r="J595" t="s">
        <v>20</v>
      </c>
      <c r="K595" s="46" t="s">
        <v>1030</v>
      </c>
      <c r="L595">
        <v>36</v>
      </c>
      <c r="M595" t="s">
        <v>21</v>
      </c>
      <c r="N595">
        <v>1</v>
      </c>
      <c r="O595">
        <v>25</v>
      </c>
      <c r="P595">
        <v>25</v>
      </c>
      <c r="Q595">
        <v>0.375</v>
      </c>
      <c r="R595">
        <v>0.5</v>
      </c>
    </row>
    <row r="596" spans="1:18" x14ac:dyDescent="0.35">
      <c r="A596">
        <v>740</v>
      </c>
      <c r="B596">
        <v>5</v>
      </c>
      <c r="C596">
        <v>2</v>
      </c>
      <c r="D596">
        <v>2023</v>
      </c>
      <c r="E596" t="s">
        <v>1063</v>
      </c>
      <c r="F596" t="s">
        <v>1073</v>
      </c>
      <c r="G596" t="s">
        <v>1061</v>
      </c>
      <c r="H596" s="18">
        <v>44962</v>
      </c>
      <c r="I596" t="s">
        <v>765</v>
      </c>
      <c r="J596" t="s">
        <v>23</v>
      </c>
      <c r="K596" s="46" t="s">
        <v>1034</v>
      </c>
      <c r="L596">
        <v>25</v>
      </c>
      <c r="M596" t="s">
        <v>21</v>
      </c>
      <c r="N596">
        <v>4</v>
      </c>
      <c r="O596">
        <v>50</v>
      </c>
      <c r="P596">
        <v>200</v>
      </c>
      <c r="Q596">
        <v>3</v>
      </c>
      <c r="R596">
        <v>4</v>
      </c>
    </row>
    <row r="597" spans="1:18" x14ac:dyDescent="0.35">
      <c r="A597">
        <v>743</v>
      </c>
      <c r="B597">
        <v>16</v>
      </c>
      <c r="C597">
        <v>1</v>
      </c>
      <c r="D597">
        <v>2023</v>
      </c>
      <c r="E597" t="s">
        <v>1067</v>
      </c>
      <c r="F597" t="s">
        <v>1060</v>
      </c>
      <c r="G597" t="s">
        <v>1061</v>
      </c>
      <c r="H597" s="18">
        <v>44942</v>
      </c>
      <c r="I597" t="s">
        <v>768</v>
      </c>
      <c r="J597" t="s">
        <v>23</v>
      </c>
      <c r="K597" s="46" t="s">
        <v>1030</v>
      </c>
      <c r="L597">
        <v>34</v>
      </c>
      <c r="M597" t="s">
        <v>21</v>
      </c>
      <c r="N597">
        <v>4</v>
      </c>
      <c r="O597">
        <v>500</v>
      </c>
      <c r="P597">
        <v>2000</v>
      </c>
      <c r="Q597">
        <v>30</v>
      </c>
      <c r="R597">
        <v>40</v>
      </c>
    </row>
    <row r="598" spans="1:18" x14ac:dyDescent="0.35">
      <c r="A598">
        <v>745</v>
      </c>
      <c r="B598">
        <v>13</v>
      </c>
      <c r="C598">
        <v>4</v>
      </c>
      <c r="D598">
        <v>2023</v>
      </c>
      <c r="E598" t="s">
        <v>1072</v>
      </c>
      <c r="F598" t="s">
        <v>1077</v>
      </c>
      <c r="G598" t="s">
        <v>1061</v>
      </c>
      <c r="H598" s="18">
        <v>45029</v>
      </c>
      <c r="I598" t="s">
        <v>770</v>
      </c>
      <c r="J598" t="s">
        <v>20</v>
      </c>
      <c r="K598" s="46" t="s">
        <v>1032</v>
      </c>
      <c r="L598">
        <v>54</v>
      </c>
      <c r="M598" t="s">
        <v>21</v>
      </c>
      <c r="N598">
        <v>2</v>
      </c>
      <c r="O598">
        <v>50</v>
      </c>
      <c r="P598">
        <v>100</v>
      </c>
      <c r="Q598">
        <v>1.5</v>
      </c>
      <c r="R598">
        <v>2</v>
      </c>
    </row>
    <row r="599" spans="1:18" x14ac:dyDescent="0.35">
      <c r="A599">
        <v>747</v>
      </c>
      <c r="B599">
        <v>15</v>
      </c>
      <c r="C599">
        <v>11</v>
      </c>
      <c r="D599">
        <v>2023</v>
      </c>
      <c r="E599" t="s">
        <v>1065</v>
      </c>
      <c r="F599" t="s">
        <v>1068</v>
      </c>
      <c r="G599" t="s">
        <v>1061</v>
      </c>
      <c r="H599" s="18">
        <v>45245</v>
      </c>
      <c r="I599" t="s">
        <v>772</v>
      </c>
      <c r="J599" t="s">
        <v>20</v>
      </c>
      <c r="K599" s="46" t="s">
        <v>1034</v>
      </c>
      <c r="L599">
        <v>23</v>
      </c>
      <c r="M599" t="s">
        <v>21</v>
      </c>
      <c r="N599">
        <v>1</v>
      </c>
      <c r="O599">
        <v>30</v>
      </c>
      <c r="P599">
        <v>30</v>
      </c>
      <c r="Q599">
        <v>0.44999999999999996</v>
      </c>
      <c r="R599">
        <v>0.6</v>
      </c>
    </row>
    <row r="600" spans="1:18" x14ac:dyDescent="0.35">
      <c r="A600">
        <v>749</v>
      </c>
      <c r="B600">
        <v>3</v>
      </c>
      <c r="C600">
        <v>5</v>
      </c>
      <c r="D600">
        <v>2023</v>
      </c>
      <c r="E600" t="s">
        <v>1065</v>
      </c>
      <c r="F600" t="s">
        <v>1076</v>
      </c>
      <c r="G600" t="s">
        <v>1061</v>
      </c>
      <c r="H600" s="18">
        <v>45049</v>
      </c>
      <c r="I600" t="s">
        <v>774</v>
      </c>
      <c r="J600" t="s">
        <v>20</v>
      </c>
      <c r="K600" s="46" t="s">
        <v>1030</v>
      </c>
      <c r="L600">
        <v>42</v>
      </c>
      <c r="M600" t="s">
        <v>21</v>
      </c>
      <c r="N600">
        <v>1</v>
      </c>
      <c r="O600">
        <v>30</v>
      </c>
      <c r="P600">
        <v>30</v>
      </c>
      <c r="Q600">
        <v>0.44999999999999996</v>
      </c>
      <c r="R600">
        <v>0.6</v>
      </c>
    </row>
    <row r="601" spans="1:18" x14ac:dyDescent="0.35">
      <c r="A601">
        <v>760</v>
      </c>
      <c r="B601">
        <v>27</v>
      </c>
      <c r="C601">
        <v>3</v>
      </c>
      <c r="D601">
        <v>2023</v>
      </c>
      <c r="E601" t="s">
        <v>1067</v>
      </c>
      <c r="F601" t="s">
        <v>1066</v>
      </c>
      <c r="G601" t="s">
        <v>1061</v>
      </c>
      <c r="H601" s="18">
        <v>45012</v>
      </c>
      <c r="I601" t="s">
        <v>785</v>
      </c>
      <c r="J601" t="s">
        <v>20</v>
      </c>
      <c r="K601" s="46" t="s">
        <v>1034</v>
      </c>
      <c r="L601">
        <v>27</v>
      </c>
      <c r="M601" t="s">
        <v>21</v>
      </c>
      <c r="N601">
        <v>1</v>
      </c>
      <c r="O601">
        <v>500</v>
      </c>
      <c r="P601">
        <v>500</v>
      </c>
      <c r="Q601">
        <v>7.5</v>
      </c>
      <c r="R601">
        <v>10</v>
      </c>
    </row>
    <row r="602" spans="1:18" x14ac:dyDescent="0.35">
      <c r="A602">
        <v>767</v>
      </c>
      <c r="B602">
        <v>24</v>
      </c>
      <c r="C602">
        <v>10</v>
      </c>
      <c r="D602">
        <v>2023</v>
      </c>
      <c r="E602" t="s">
        <v>1059</v>
      </c>
      <c r="F602" t="s">
        <v>1064</v>
      </c>
      <c r="G602" t="s">
        <v>1061</v>
      </c>
      <c r="H602" s="18">
        <v>45223</v>
      </c>
      <c r="I602" t="s">
        <v>792</v>
      </c>
      <c r="J602" t="s">
        <v>20</v>
      </c>
      <c r="K602" s="46" t="s">
        <v>1030</v>
      </c>
      <c r="L602">
        <v>39</v>
      </c>
      <c r="M602" t="s">
        <v>21</v>
      </c>
      <c r="N602">
        <v>3</v>
      </c>
      <c r="O602">
        <v>25</v>
      </c>
      <c r="P602">
        <v>75</v>
      </c>
      <c r="Q602">
        <v>1.125</v>
      </c>
      <c r="R602">
        <v>1.5</v>
      </c>
    </row>
    <row r="603" spans="1:18" x14ac:dyDescent="0.35">
      <c r="A603">
        <v>768</v>
      </c>
      <c r="B603">
        <v>14</v>
      </c>
      <c r="C603">
        <v>1</v>
      </c>
      <c r="D603">
        <v>2023</v>
      </c>
      <c r="E603" t="s">
        <v>1075</v>
      </c>
      <c r="F603" t="s">
        <v>1060</v>
      </c>
      <c r="G603" t="s">
        <v>1061</v>
      </c>
      <c r="H603" s="18">
        <v>44940</v>
      </c>
      <c r="I603" t="s">
        <v>793</v>
      </c>
      <c r="J603" t="s">
        <v>23</v>
      </c>
      <c r="K603" s="46" t="s">
        <v>1034</v>
      </c>
      <c r="L603">
        <v>24</v>
      </c>
      <c r="M603" t="s">
        <v>21</v>
      </c>
      <c r="N603">
        <v>3</v>
      </c>
      <c r="O603">
        <v>25</v>
      </c>
      <c r="P603">
        <v>75</v>
      </c>
      <c r="Q603">
        <v>1.125</v>
      </c>
      <c r="R603">
        <v>1.5</v>
      </c>
    </row>
    <row r="604" spans="1:18" x14ac:dyDescent="0.35">
      <c r="A604">
        <v>778</v>
      </c>
      <c r="B604">
        <v>18</v>
      </c>
      <c r="C604">
        <v>11</v>
      </c>
      <c r="D604">
        <v>2023</v>
      </c>
      <c r="E604" t="s">
        <v>1075</v>
      </c>
      <c r="F604" t="s">
        <v>1068</v>
      </c>
      <c r="G604" t="s">
        <v>1061</v>
      </c>
      <c r="H604" s="18">
        <v>45248</v>
      </c>
      <c r="I604" t="s">
        <v>803</v>
      </c>
      <c r="J604" t="s">
        <v>23</v>
      </c>
      <c r="K604" s="46" t="s">
        <v>1030</v>
      </c>
      <c r="L604">
        <v>47</v>
      </c>
      <c r="M604" t="s">
        <v>21</v>
      </c>
      <c r="N604">
        <v>4</v>
      </c>
      <c r="O604">
        <v>25</v>
      </c>
      <c r="P604">
        <v>100</v>
      </c>
      <c r="Q604">
        <v>1.5</v>
      </c>
      <c r="R604">
        <v>2</v>
      </c>
    </row>
    <row r="605" spans="1:18" x14ac:dyDescent="0.35">
      <c r="A605">
        <v>781</v>
      </c>
      <c r="B605">
        <v>23</v>
      </c>
      <c r="C605">
        <v>12</v>
      </c>
      <c r="D605">
        <v>2023</v>
      </c>
      <c r="E605" t="s">
        <v>1075</v>
      </c>
      <c r="F605" t="s">
        <v>1062</v>
      </c>
      <c r="G605" t="s">
        <v>1061</v>
      </c>
      <c r="H605" s="18">
        <v>45283</v>
      </c>
      <c r="I605" t="s">
        <v>806</v>
      </c>
      <c r="J605" t="s">
        <v>20</v>
      </c>
      <c r="K605" s="46" t="s">
        <v>1030</v>
      </c>
      <c r="L605">
        <v>35</v>
      </c>
      <c r="M605" t="s">
        <v>21</v>
      </c>
      <c r="N605">
        <v>1</v>
      </c>
      <c r="O605">
        <v>500</v>
      </c>
      <c r="P605">
        <v>500</v>
      </c>
      <c r="Q605">
        <v>7.5</v>
      </c>
      <c r="R605">
        <v>10</v>
      </c>
    </row>
    <row r="606" spans="1:18" x14ac:dyDescent="0.35">
      <c r="A606">
        <v>785</v>
      </c>
      <c r="B606">
        <v>3</v>
      </c>
      <c r="C606">
        <v>3</v>
      </c>
      <c r="D606">
        <v>2023</v>
      </c>
      <c r="E606" t="s">
        <v>1070</v>
      </c>
      <c r="F606" t="s">
        <v>1066</v>
      </c>
      <c r="G606" t="s">
        <v>1061</v>
      </c>
      <c r="H606" s="18">
        <v>44988</v>
      </c>
      <c r="I606" t="s">
        <v>810</v>
      </c>
      <c r="J606" t="s">
        <v>23</v>
      </c>
      <c r="K606" s="46" t="s">
        <v>1030</v>
      </c>
      <c r="L606">
        <v>31</v>
      </c>
      <c r="M606" t="s">
        <v>21</v>
      </c>
      <c r="N606">
        <v>4</v>
      </c>
      <c r="O606">
        <v>50</v>
      </c>
      <c r="P606">
        <v>200</v>
      </c>
      <c r="Q606">
        <v>3</v>
      </c>
      <c r="R606">
        <v>4</v>
      </c>
    </row>
    <row r="607" spans="1:18" x14ac:dyDescent="0.35">
      <c r="A607">
        <v>788</v>
      </c>
      <c r="B607">
        <v>27</v>
      </c>
      <c r="C607">
        <v>6</v>
      </c>
      <c r="D607">
        <v>2023</v>
      </c>
      <c r="E607" t="s">
        <v>1059</v>
      </c>
      <c r="F607" t="s">
        <v>1069</v>
      </c>
      <c r="G607" t="s">
        <v>1061</v>
      </c>
      <c r="H607" s="18">
        <v>45104</v>
      </c>
      <c r="I607" t="s">
        <v>813</v>
      </c>
      <c r="J607" t="s">
        <v>23</v>
      </c>
      <c r="K607" s="46" t="s">
        <v>1032</v>
      </c>
      <c r="L607">
        <v>52</v>
      </c>
      <c r="M607" t="s">
        <v>21</v>
      </c>
      <c r="N607">
        <v>3</v>
      </c>
      <c r="O607">
        <v>300</v>
      </c>
      <c r="P607">
        <v>900</v>
      </c>
      <c r="Q607">
        <v>13.5</v>
      </c>
      <c r="R607">
        <v>18</v>
      </c>
    </row>
    <row r="608" spans="1:18" x14ac:dyDescent="0.35">
      <c r="A608">
        <v>791</v>
      </c>
      <c r="B608">
        <v>5</v>
      </c>
      <c r="C608">
        <v>12</v>
      </c>
      <c r="D608">
        <v>2023</v>
      </c>
      <c r="E608" t="s">
        <v>1059</v>
      </c>
      <c r="F608" t="s">
        <v>1062</v>
      </c>
      <c r="G608" t="s">
        <v>1061</v>
      </c>
      <c r="H608" s="18">
        <v>45265</v>
      </c>
      <c r="I608" t="s">
        <v>816</v>
      </c>
      <c r="J608" t="s">
        <v>23</v>
      </c>
      <c r="K608" s="46" t="s">
        <v>1032</v>
      </c>
      <c r="L608">
        <v>51</v>
      </c>
      <c r="M608" t="s">
        <v>21</v>
      </c>
      <c r="N608">
        <v>1</v>
      </c>
      <c r="O608">
        <v>25</v>
      </c>
      <c r="P608">
        <v>25</v>
      </c>
      <c r="Q608">
        <v>0.375</v>
      </c>
      <c r="R608">
        <v>0.5</v>
      </c>
    </row>
    <row r="609" spans="1:18" x14ac:dyDescent="0.35">
      <c r="A609">
        <v>792</v>
      </c>
      <c r="B609">
        <v>9</v>
      </c>
      <c r="C609">
        <v>7</v>
      </c>
      <c r="D609">
        <v>2023</v>
      </c>
      <c r="E609" t="s">
        <v>1063</v>
      </c>
      <c r="F609" t="s">
        <v>1078</v>
      </c>
      <c r="G609" t="s">
        <v>1061</v>
      </c>
      <c r="H609" s="18">
        <v>45116</v>
      </c>
      <c r="I609" t="s">
        <v>817</v>
      </c>
      <c r="J609" t="s">
        <v>23</v>
      </c>
      <c r="K609" s="46" t="s">
        <v>1034</v>
      </c>
      <c r="L609">
        <v>20</v>
      </c>
      <c r="M609" t="s">
        <v>21</v>
      </c>
      <c r="N609">
        <v>1</v>
      </c>
      <c r="O609">
        <v>50</v>
      </c>
      <c r="P609">
        <v>50</v>
      </c>
      <c r="Q609">
        <v>0.75</v>
      </c>
      <c r="R609">
        <v>1</v>
      </c>
    </row>
    <row r="610" spans="1:18" x14ac:dyDescent="0.35">
      <c r="A610">
        <v>793</v>
      </c>
      <c r="B610">
        <v>5</v>
      </c>
      <c r="C610">
        <v>2</v>
      </c>
      <c r="D610">
        <v>2023</v>
      </c>
      <c r="E610" t="s">
        <v>1063</v>
      </c>
      <c r="F610" t="s">
        <v>1073</v>
      </c>
      <c r="G610" t="s">
        <v>1061</v>
      </c>
      <c r="H610" s="18">
        <v>44962</v>
      </c>
      <c r="I610" t="s">
        <v>818</v>
      </c>
      <c r="J610" t="s">
        <v>20</v>
      </c>
      <c r="K610" s="46" t="s">
        <v>1032</v>
      </c>
      <c r="L610">
        <v>54</v>
      </c>
      <c r="M610" t="s">
        <v>21</v>
      </c>
      <c r="N610">
        <v>1</v>
      </c>
      <c r="O610">
        <v>30</v>
      </c>
      <c r="P610">
        <v>30</v>
      </c>
      <c r="Q610">
        <v>0.44999999999999996</v>
      </c>
      <c r="R610">
        <v>0.6</v>
      </c>
    </row>
    <row r="611" spans="1:18" x14ac:dyDescent="0.35">
      <c r="A611">
        <v>794</v>
      </c>
      <c r="B611">
        <v>17</v>
      </c>
      <c r="C611">
        <v>9</v>
      </c>
      <c r="D611">
        <v>2023</v>
      </c>
      <c r="E611" t="s">
        <v>1063</v>
      </c>
      <c r="F611" t="s">
        <v>1071</v>
      </c>
      <c r="G611" t="s">
        <v>1061</v>
      </c>
      <c r="H611" s="18">
        <v>45186</v>
      </c>
      <c r="I611" t="s">
        <v>819</v>
      </c>
      <c r="J611" t="s">
        <v>23</v>
      </c>
      <c r="K611" s="46" t="s">
        <v>1032</v>
      </c>
      <c r="L611">
        <v>60</v>
      </c>
      <c r="M611" t="s">
        <v>21</v>
      </c>
      <c r="N611">
        <v>1</v>
      </c>
      <c r="O611">
        <v>300</v>
      </c>
      <c r="P611">
        <v>300</v>
      </c>
      <c r="Q611">
        <v>4.5</v>
      </c>
      <c r="R611">
        <v>6</v>
      </c>
    </row>
    <row r="612" spans="1:18" x14ac:dyDescent="0.35">
      <c r="A612">
        <v>796</v>
      </c>
      <c r="B612">
        <v>24</v>
      </c>
      <c r="C612">
        <v>6</v>
      </c>
      <c r="D612">
        <v>2023</v>
      </c>
      <c r="E612" t="s">
        <v>1075</v>
      </c>
      <c r="F612" t="s">
        <v>1069</v>
      </c>
      <c r="G612" t="s">
        <v>1061</v>
      </c>
      <c r="H612" s="18">
        <v>45101</v>
      </c>
      <c r="I612" t="s">
        <v>821</v>
      </c>
      <c r="J612" t="s">
        <v>20</v>
      </c>
      <c r="K612" s="46" t="s">
        <v>1030</v>
      </c>
      <c r="L612">
        <v>43</v>
      </c>
      <c r="M612" t="s">
        <v>21</v>
      </c>
      <c r="N612">
        <v>4</v>
      </c>
      <c r="O612">
        <v>30</v>
      </c>
      <c r="P612">
        <v>120</v>
      </c>
      <c r="Q612">
        <v>1.7999999999999998</v>
      </c>
      <c r="R612">
        <v>2.4</v>
      </c>
    </row>
    <row r="613" spans="1:18" x14ac:dyDescent="0.35">
      <c r="A613">
        <v>802</v>
      </c>
      <c r="B613">
        <v>5</v>
      </c>
      <c r="C613">
        <v>7</v>
      </c>
      <c r="D613">
        <v>2023</v>
      </c>
      <c r="E613" t="s">
        <v>1065</v>
      </c>
      <c r="F613" t="s">
        <v>1078</v>
      </c>
      <c r="G613" t="s">
        <v>1061</v>
      </c>
      <c r="H613" s="18">
        <v>45112</v>
      </c>
      <c r="I613" t="s">
        <v>827</v>
      </c>
      <c r="J613" t="s">
        <v>23</v>
      </c>
      <c r="K613" s="46" t="s">
        <v>1030</v>
      </c>
      <c r="L613">
        <v>46</v>
      </c>
      <c r="M613" t="s">
        <v>21</v>
      </c>
      <c r="N613">
        <v>1</v>
      </c>
      <c r="O613">
        <v>30</v>
      </c>
      <c r="P613">
        <v>30</v>
      </c>
      <c r="Q613">
        <v>0.44999999999999996</v>
      </c>
      <c r="R613">
        <v>0.6</v>
      </c>
    </row>
    <row r="614" spans="1:18" x14ac:dyDescent="0.35">
      <c r="A614">
        <v>805</v>
      </c>
      <c r="B614">
        <v>29</v>
      </c>
      <c r="C614">
        <v>12</v>
      </c>
      <c r="D614">
        <v>2023</v>
      </c>
      <c r="E614" t="s">
        <v>1070</v>
      </c>
      <c r="F614" t="s">
        <v>1062</v>
      </c>
      <c r="G614" t="s">
        <v>1061</v>
      </c>
      <c r="H614" s="18">
        <v>45289</v>
      </c>
      <c r="I614" t="s">
        <v>830</v>
      </c>
      <c r="J614" t="s">
        <v>23</v>
      </c>
      <c r="K614" s="46" t="s">
        <v>1030</v>
      </c>
      <c r="L614">
        <v>30</v>
      </c>
      <c r="M614" t="s">
        <v>21</v>
      </c>
      <c r="N614">
        <v>3</v>
      </c>
      <c r="O614">
        <v>500</v>
      </c>
      <c r="P614">
        <v>1500</v>
      </c>
      <c r="Q614">
        <v>22.5</v>
      </c>
      <c r="R614">
        <v>30</v>
      </c>
    </row>
    <row r="615" spans="1:18" x14ac:dyDescent="0.35">
      <c r="A615">
        <v>806</v>
      </c>
      <c r="B615">
        <v>20</v>
      </c>
      <c r="C615">
        <v>3</v>
      </c>
      <c r="D615">
        <v>2023</v>
      </c>
      <c r="E615" t="s">
        <v>1067</v>
      </c>
      <c r="F615" t="s">
        <v>1066</v>
      </c>
      <c r="G615" t="s">
        <v>1061</v>
      </c>
      <c r="H615" s="18">
        <v>45005</v>
      </c>
      <c r="I615" t="s">
        <v>831</v>
      </c>
      <c r="J615" t="s">
        <v>23</v>
      </c>
      <c r="K615" s="46" t="s">
        <v>1030</v>
      </c>
      <c r="L615">
        <v>35</v>
      </c>
      <c r="M615" t="s">
        <v>21</v>
      </c>
      <c r="N615">
        <v>3</v>
      </c>
      <c r="O615">
        <v>300</v>
      </c>
      <c r="P615">
        <v>900</v>
      </c>
      <c r="Q615">
        <v>13.5</v>
      </c>
      <c r="R615">
        <v>18</v>
      </c>
    </row>
    <row r="616" spans="1:18" x14ac:dyDescent="0.35">
      <c r="A616">
        <v>808</v>
      </c>
      <c r="B616">
        <v>1</v>
      </c>
      <c r="C616">
        <v>4</v>
      </c>
      <c r="D616">
        <v>2023</v>
      </c>
      <c r="E616" t="s">
        <v>1075</v>
      </c>
      <c r="F616" t="s">
        <v>1077</v>
      </c>
      <c r="G616" t="s">
        <v>1061</v>
      </c>
      <c r="H616" s="18">
        <v>45017</v>
      </c>
      <c r="I616" t="s">
        <v>833</v>
      </c>
      <c r="J616" t="s">
        <v>20</v>
      </c>
      <c r="K616" s="46" t="s">
        <v>1030</v>
      </c>
      <c r="L616">
        <v>33</v>
      </c>
      <c r="M616" t="s">
        <v>21</v>
      </c>
      <c r="N616">
        <v>4</v>
      </c>
      <c r="O616">
        <v>500</v>
      </c>
      <c r="P616">
        <v>2000</v>
      </c>
      <c r="Q616">
        <v>30</v>
      </c>
      <c r="R616">
        <v>40</v>
      </c>
    </row>
    <row r="617" spans="1:18" x14ac:dyDescent="0.35">
      <c r="A617">
        <v>809</v>
      </c>
      <c r="B617">
        <v>25</v>
      </c>
      <c r="C617">
        <v>9</v>
      </c>
      <c r="D617">
        <v>2023</v>
      </c>
      <c r="E617" t="s">
        <v>1067</v>
      </c>
      <c r="F617" t="s">
        <v>1071</v>
      </c>
      <c r="G617" t="s">
        <v>1061</v>
      </c>
      <c r="H617" s="18">
        <v>45194</v>
      </c>
      <c r="I617" t="s">
        <v>834</v>
      </c>
      <c r="J617" t="s">
        <v>23</v>
      </c>
      <c r="K617" s="46" t="s">
        <v>1032</v>
      </c>
      <c r="L617">
        <v>62</v>
      </c>
      <c r="M617" t="s">
        <v>21</v>
      </c>
      <c r="N617">
        <v>2</v>
      </c>
      <c r="O617">
        <v>50</v>
      </c>
      <c r="P617">
        <v>100</v>
      </c>
      <c r="Q617">
        <v>1.5</v>
      </c>
      <c r="R617">
        <v>2</v>
      </c>
    </row>
    <row r="618" spans="1:18" x14ac:dyDescent="0.35">
      <c r="A618">
        <v>811</v>
      </c>
      <c r="B618">
        <v>19</v>
      </c>
      <c r="C618">
        <v>5</v>
      </c>
      <c r="D618">
        <v>2023</v>
      </c>
      <c r="E618" t="s">
        <v>1070</v>
      </c>
      <c r="F618" t="s">
        <v>1076</v>
      </c>
      <c r="G618" t="s">
        <v>1061</v>
      </c>
      <c r="H618" s="18">
        <v>45065</v>
      </c>
      <c r="I618" t="s">
        <v>836</v>
      </c>
      <c r="J618" t="s">
        <v>20</v>
      </c>
      <c r="K618" s="46" t="s">
        <v>1032</v>
      </c>
      <c r="L618">
        <v>61</v>
      </c>
      <c r="M618" t="s">
        <v>21</v>
      </c>
      <c r="N618">
        <v>2</v>
      </c>
      <c r="O618">
        <v>25</v>
      </c>
      <c r="P618">
        <v>50</v>
      </c>
      <c r="Q618">
        <v>0.75</v>
      </c>
      <c r="R618">
        <v>1</v>
      </c>
    </row>
    <row r="619" spans="1:18" x14ac:dyDescent="0.35">
      <c r="A619">
        <v>816</v>
      </c>
      <c r="B619">
        <v>12</v>
      </c>
      <c r="C619">
        <v>8</v>
      </c>
      <c r="D619">
        <v>2023</v>
      </c>
      <c r="E619" t="s">
        <v>1075</v>
      </c>
      <c r="F619" t="s">
        <v>1074</v>
      </c>
      <c r="G619" t="s">
        <v>1061</v>
      </c>
      <c r="H619" s="18">
        <v>45150</v>
      </c>
      <c r="I619" t="s">
        <v>841</v>
      </c>
      <c r="J619" t="s">
        <v>20</v>
      </c>
      <c r="K619" s="46" t="s">
        <v>1030</v>
      </c>
      <c r="L619">
        <v>47</v>
      </c>
      <c r="M619" t="s">
        <v>21</v>
      </c>
      <c r="N619">
        <v>2</v>
      </c>
      <c r="O619">
        <v>500</v>
      </c>
      <c r="P619">
        <v>1000</v>
      </c>
      <c r="Q619">
        <v>15</v>
      </c>
      <c r="R619">
        <v>20</v>
      </c>
    </row>
    <row r="620" spans="1:18" x14ac:dyDescent="0.35">
      <c r="A620">
        <v>817</v>
      </c>
      <c r="B620">
        <v>31</v>
      </c>
      <c r="C620">
        <v>10</v>
      </c>
      <c r="D620">
        <v>2023</v>
      </c>
      <c r="E620" t="s">
        <v>1059</v>
      </c>
      <c r="F620" t="s">
        <v>1064</v>
      </c>
      <c r="G620" t="s">
        <v>1061</v>
      </c>
      <c r="H620" s="18">
        <v>45230</v>
      </c>
      <c r="I620" t="s">
        <v>842</v>
      </c>
      <c r="J620" t="s">
        <v>20</v>
      </c>
      <c r="K620" s="46" t="s">
        <v>1030</v>
      </c>
      <c r="L620">
        <v>30</v>
      </c>
      <c r="M620" t="s">
        <v>21</v>
      </c>
      <c r="N620">
        <v>4</v>
      </c>
      <c r="O620">
        <v>50</v>
      </c>
      <c r="P620">
        <v>200</v>
      </c>
      <c r="Q620">
        <v>3</v>
      </c>
      <c r="R620">
        <v>4</v>
      </c>
    </row>
    <row r="621" spans="1:18" x14ac:dyDescent="0.35">
      <c r="A621">
        <v>819</v>
      </c>
      <c r="B621">
        <v>15</v>
      </c>
      <c r="C621">
        <v>6</v>
      </c>
      <c r="D621">
        <v>2023</v>
      </c>
      <c r="E621" t="s">
        <v>1072</v>
      </c>
      <c r="F621" t="s">
        <v>1069</v>
      </c>
      <c r="G621" t="s">
        <v>1061</v>
      </c>
      <c r="H621" s="18">
        <v>45092</v>
      </c>
      <c r="I621" t="s">
        <v>844</v>
      </c>
      <c r="J621" t="s">
        <v>23</v>
      </c>
      <c r="K621" s="46" t="s">
        <v>1030</v>
      </c>
      <c r="L621">
        <v>35</v>
      </c>
      <c r="M621" t="s">
        <v>21</v>
      </c>
      <c r="N621">
        <v>2</v>
      </c>
      <c r="O621">
        <v>50</v>
      </c>
      <c r="P621">
        <v>100</v>
      </c>
      <c r="Q621">
        <v>1.5</v>
      </c>
      <c r="R621">
        <v>2</v>
      </c>
    </row>
    <row r="622" spans="1:18" x14ac:dyDescent="0.35">
      <c r="A622">
        <v>822</v>
      </c>
      <c r="B622">
        <v>23</v>
      </c>
      <c r="C622">
        <v>5</v>
      </c>
      <c r="D622">
        <v>2023</v>
      </c>
      <c r="E622" t="s">
        <v>1059</v>
      </c>
      <c r="F622" t="s">
        <v>1076</v>
      </c>
      <c r="G622" t="s">
        <v>1061</v>
      </c>
      <c r="H622" s="18">
        <v>45069</v>
      </c>
      <c r="I622" t="s">
        <v>847</v>
      </c>
      <c r="J622" t="s">
        <v>23</v>
      </c>
      <c r="K622" s="46" t="s">
        <v>1032</v>
      </c>
      <c r="L622">
        <v>52</v>
      </c>
      <c r="M622" t="s">
        <v>21</v>
      </c>
      <c r="N622">
        <v>3</v>
      </c>
      <c r="O622">
        <v>50</v>
      </c>
      <c r="P622">
        <v>150</v>
      </c>
      <c r="Q622">
        <v>2.25</v>
      </c>
      <c r="R622">
        <v>3</v>
      </c>
    </row>
    <row r="623" spans="1:18" x14ac:dyDescent="0.35">
      <c r="A623">
        <v>825</v>
      </c>
      <c r="B623">
        <v>26</v>
      </c>
      <c r="C623">
        <v>8</v>
      </c>
      <c r="D623">
        <v>2023</v>
      </c>
      <c r="E623" t="s">
        <v>1075</v>
      </c>
      <c r="F623" t="s">
        <v>1074</v>
      </c>
      <c r="G623" t="s">
        <v>1061</v>
      </c>
      <c r="H623" s="18">
        <v>45164</v>
      </c>
      <c r="I623" t="s">
        <v>850</v>
      </c>
      <c r="J623" t="s">
        <v>23</v>
      </c>
      <c r="K623" s="46" t="s">
        <v>1030</v>
      </c>
      <c r="L623">
        <v>46</v>
      </c>
      <c r="M623" t="s">
        <v>21</v>
      </c>
      <c r="N623">
        <v>1</v>
      </c>
      <c r="O623">
        <v>25</v>
      </c>
      <c r="P623">
        <v>25</v>
      </c>
      <c r="Q623">
        <v>0.375</v>
      </c>
      <c r="R623">
        <v>0.5</v>
      </c>
    </row>
    <row r="624" spans="1:18" x14ac:dyDescent="0.35">
      <c r="A624">
        <v>827</v>
      </c>
      <c r="B624">
        <v>9</v>
      </c>
      <c r="C624">
        <v>11</v>
      </c>
      <c r="D624">
        <v>2023</v>
      </c>
      <c r="E624" t="s">
        <v>1072</v>
      </c>
      <c r="F624" t="s">
        <v>1068</v>
      </c>
      <c r="G624" t="s">
        <v>1061</v>
      </c>
      <c r="H624" s="18">
        <v>45239</v>
      </c>
      <c r="I624" t="s">
        <v>852</v>
      </c>
      <c r="J624" t="s">
        <v>20</v>
      </c>
      <c r="K624" s="46" t="s">
        <v>1032</v>
      </c>
      <c r="L624">
        <v>61</v>
      </c>
      <c r="M624" t="s">
        <v>21</v>
      </c>
      <c r="N624">
        <v>3</v>
      </c>
      <c r="O624">
        <v>300</v>
      </c>
      <c r="P624">
        <v>900</v>
      </c>
      <c r="Q624">
        <v>13.5</v>
      </c>
      <c r="R624">
        <v>18</v>
      </c>
    </row>
    <row r="625" spans="1:18" x14ac:dyDescent="0.35">
      <c r="A625">
        <v>829</v>
      </c>
      <c r="B625">
        <v>14</v>
      </c>
      <c r="C625">
        <v>7</v>
      </c>
      <c r="D625">
        <v>2023</v>
      </c>
      <c r="E625" t="s">
        <v>1070</v>
      </c>
      <c r="F625" t="s">
        <v>1078</v>
      </c>
      <c r="G625" t="s">
        <v>1061</v>
      </c>
      <c r="H625" s="18">
        <v>45121</v>
      </c>
      <c r="I625" t="s">
        <v>854</v>
      </c>
      <c r="J625" t="s">
        <v>20</v>
      </c>
      <c r="K625" s="46" t="s">
        <v>1032</v>
      </c>
      <c r="L625">
        <v>61</v>
      </c>
      <c r="M625" t="s">
        <v>21</v>
      </c>
      <c r="N625">
        <v>3</v>
      </c>
      <c r="O625">
        <v>30</v>
      </c>
      <c r="P625">
        <v>90</v>
      </c>
      <c r="Q625">
        <v>1.3499999999999999</v>
      </c>
      <c r="R625">
        <v>1.8</v>
      </c>
    </row>
    <row r="626" spans="1:18" x14ac:dyDescent="0.35">
      <c r="A626">
        <v>832</v>
      </c>
      <c r="B626">
        <v>11</v>
      </c>
      <c r="C626">
        <v>9</v>
      </c>
      <c r="D626">
        <v>2023</v>
      </c>
      <c r="E626" t="s">
        <v>1067</v>
      </c>
      <c r="F626" t="s">
        <v>1071</v>
      </c>
      <c r="G626" t="s">
        <v>1061</v>
      </c>
      <c r="H626" s="18">
        <v>45180</v>
      </c>
      <c r="I626" t="s">
        <v>857</v>
      </c>
      <c r="J626" t="s">
        <v>20</v>
      </c>
      <c r="K626" s="46" t="s">
        <v>1030</v>
      </c>
      <c r="L626">
        <v>47</v>
      </c>
      <c r="M626" t="s">
        <v>21</v>
      </c>
      <c r="N626">
        <v>4</v>
      </c>
      <c r="O626">
        <v>500</v>
      </c>
      <c r="P626">
        <v>2000</v>
      </c>
      <c r="Q626">
        <v>30</v>
      </c>
      <c r="R626">
        <v>40</v>
      </c>
    </row>
    <row r="627" spans="1:18" x14ac:dyDescent="0.35">
      <c r="A627">
        <v>833</v>
      </c>
      <c r="B627">
        <v>16</v>
      </c>
      <c r="C627">
        <v>6</v>
      </c>
      <c r="D627">
        <v>2023</v>
      </c>
      <c r="E627" t="s">
        <v>1070</v>
      </c>
      <c r="F627" t="s">
        <v>1069</v>
      </c>
      <c r="G627" t="s">
        <v>1061</v>
      </c>
      <c r="H627" s="18">
        <v>45093</v>
      </c>
      <c r="I627" t="s">
        <v>858</v>
      </c>
      <c r="J627" t="s">
        <v>20</v>
      </c>
      <c r="K627" s="46" t="s">
        <v>1030</v>
      </c>
      <c r="L627">
        <v>42</v>
      </c>
      <c r="M627" t="s">
        <v>21</v>
      </c>
      <c r="N627">
        <v>4</v>
      </c>
      <c r="O627">
        <v>50</v>
      </c>
      <c r="P627">
        <v>200</v>
      </c>
      <c r="Q627">
        <v>3</v>
      </c>
      <c r="R627">
        <v>4</v>
      </c>
    </row>
    <row r="628" spans="1:18" x14ac:dyDescent="0.35">
      <c r="A628">
        <v>834</v>
      </c>
      <c r="B628">
        <v>4</v>
      </c>
      <c r="C628">
        <v>4</v>
      </c>
      <c r="D628">
        <v>2023</v>
      </c>
      <c r="E628" t="s">
        <v>1059</v>
      </c>
      <c r="F628" t="s">
        <v>1077</v>
      </c>
      <c r="G628" t="s">
        <v>1061</v>
      </c>
      <c r="H628" s="18">
        <v>45020</v>
      </c>
      <c r="I628" t="s">
        <v>859</v>
      </c>
      <c r="J628" t="s">
        <v>23</v>
      </c>
      <c r="K628" s="46" t="s">
        <v>1032</v>
      </c>
      <c r="L628">
        <v>56</v>
      </c>
      <c r="M628" t="s">
        <v>21</v>
      </c>
      <c r="N628">
        <v>2</v>
      </c>
      <c r="O628">
        <v>30</v>
      </c>
      <c r="P628">
        <v>60</v>
      </c>
      <c r="Q628">
        <v>0.89999999999999991</v>
      </c>
      <c r="R628">
        <v>1.2</v>
      </c>
    </row>
    <row r="629" spans="1:18" x14ac:dyDescent="0.35">
      <c r="A629">
        <v>837</v>
      </c>
      <c r="B629">
        <v>1</v>
      </c>
      <c r="C629">
        <v>7</v>
      </c>
      <c r="D629">
        <v>2023</v>
      </c>
      <c r="E629" t="s">
        <v>1075</v>
      </c>
      <c r="F629" t="s">
        <v>1078</v>
      </c>
      <c r="G629" t="s">
        <v>1061</v>
      </c>
      <c r="H629" s="18">
        <v>45108</v>
      </c>
      <c r="I629" t="s">
        <v>862</v>
      </c>
      <c r="J629" t="s">
        <v>20</v>
      </c>
      <c r="K629" s="46" t="s">
        <v>1034</v>
      </c>
      <c r="L629">
        <v>18</v>
      </c>
      <c r="M629" t="s">
        <v>21</v>
      </c>
      <c r="N629">
        <v>3</v>
      </c>
      <c r="O629">
        <v>30</v>
      </c>
      <c r="P629">
        <v>90</v>
      </c>
      <c r="Q629">
        <v>1.3499999999999999</v>
      </c>
      <c r="R629">
        <v>1.8</v>
      </c>
    </row>
    <row r="630" spans="1:18" x14ac:dyDescent="0.35">
      <c r="A630">
        <v>843</v>
      </c>
      <c r="B630">
        <v>22</v>
      </c>
      <c r="C630">
        <v>5</v>
      </c>
      <c r="D630">
        <v>2023</v>
      </c>
      <c r="E630" t="s">
        <v>1067</v>
      </c>
      <c r="F630" t="s">
        <v>1076</v>
      </c>
      <c r="G630" t="s">
        <v>1061</v>
      </c>
      <c r="H630" s="18">
        <v>45068</v>
      </c>
      <c r="I630" t="s">
        <v>868</v>
      </c>
      <c r="J630" t="s">
        <v>20</v>
      </c>
      <c r="K630" s="46" t="s">
        <v>1034</v>
      </c>
      <c r="L630">
        <v>21</v>
      </c>
      <c r="M630" t="s">
        <v>21</v>
      </c>
      <c r="N630">
        <v>3</v>
      </c>
      <c r="O630">
        <v>500</v>
      </c>
      <c r="P630">
        <v>1500</v>
      </c>
      <c r="Q630">
        <v>22.5</v>
      </c>
      <c r="R630">
        <v>30</v>
      </c>
    </row>
    <row r="631" spans="1:18" x14ac:dyDescent="0.35">
      <c r="A631">
        <v>846</v>
      </c>
      <c r="B631">
        <v>22</v>
      </c>
      <c r="C631">
        <v>9</v>
      </c>
      <c r="D631">
        <v>2023</v>
      </c>
      <c r="E631" t="s">
        <v>1070</v>
      </c>
      <c r="F631" t="s">
        <v>1071</v>
      </c>
      <c r="G631" t="s">
        <v>1061</v>
      </c>
      <c r="H631" s="18">
        <v>45191</v>
      </c>
      <c r="I631" t="s">
        <v>871</v>
      </c>
      <c r="J631" t="s">
        <v>20</v>
      </c>
      <c r="K631" s="46" t="s">
        <v>1030</v>
      </c>
      <c r="L631">
        <v>42</v>
      </c>
      <c r="M631" t="s">
        <v>21</v>
      </c>
      <c r="N631">
        <v>1</v>
      </c>
      <c r="O631">
        <v>50</v>
      </c>
      <c r="P631">
        <v>50</v>
      </c>
      <c r="Q631">
        <v>0.75</v>
      </c>
      <c r="R631">
        <v>1</v>
      </c>
    </row>
    <row r="632" spans="1:18" x14ac:dyDescent="0.35">
      <c r="A632">
        <v>850</v>
      </c>
      <c r="B632">
        <v>28</v>
      </c>
      <c r="C632">
        <v>7</v>
      </c>
      <c r="D632">
        <v>2023</v>
      </c>
      <c r="E632" t="s">
        <v>1070</v>
      </c>
      <c r="F632" t="s">
        <v>1078</v>
      </c>
      <c r="G632" t="s">
        <v>1061</v>
      </c>
      <c r="H632" s="18">
        <v>45135</v>
      </c>
      <c r="I632" t="s">
        <v>875</v>
      </c>
      <c r="J632" t="s">
        <v>23</v>
      </c>
      <c r="K632" s="46" t="s">
        <v>1034</v>
      </c>
      <c r="L632">
        <v>26</v>
      </c>
      <c r="M632" t="s">
        <v>21</v>
      </c>
      <c r="N632">
        <v>2</v>
      </c>
      <c r="O632">
        <v>500</v>
      </c>
      <c r="P632">
        <v>1000</v>
      </c>
      <c r="Q632">
        <v>15</v>
      </c>
      <c r="R632">
        <v>20</v>
      </c>
    </row>
    <row r="633" spans="1:18" x14ac:dyDescent="0.35">
      <c r="A633">
        <v>853</v>
      </c>
      <c r="B633">
        <v>4</v>
      </c>
      <c r="C633">
        <v>5</v>
      </c>
      <c r="D633">
        <v>2023</v>
      </c>
      <c r="E633" t="s">
        <v>1072</v>
      </c>
      <c r="F633" t="s">
        <v>1076</v>
      </c>
      <c r="G633" t="s">
        <v>1061</v>
      </c>
      <c r="H633" s="18">
        <v>45050</v>
      </c>
      <c r="I633" t="s">
        <v>878</v>
      </c>
      <c r="J633" t="s">
        <v>20</v>
      </c>
      <c r="K633" s="46" t="s">
        <v>1034</v>
      </c>
      <c r="L633">
        <v>21</v>
      </c>
      <c r="M633" t="s">
        <v>21</v>
      </c>
      <c r="N633">
        <v>2</v>
      </c>
      <c r="O633">
        <v>500</v>
      </c>
      <c r="P633">
        <v>1000</v>
      </c>
      <c r="Q633">
        <v>15</v>
      </c>
      <c r="R633">
        <v>20</v>
      </c>
    </row>
    <row r="634" spans="1:18" x14ac:dyDescent="0.35">
      <c r="A634">
        <v>855</v>
      </c>
      <c r="B634">
        <v>1</v>
      </c>
      <c r="C634">
        <v>9</v>
      </c>
      <c r="D634">
        <v>2023</v>
      </c>
      <c r="E634" t="s">
        <v>1070</v>
      </c>
      <c r="F634" t="s">
        <v>1071</v>
      </c>
      <c r="G634" t="s">
        <v>1061</v>
      </c>
      <c r="H634" s="18">
        <v>45170</v>
      </c>
      <c r="I634" t="s">
        <v>880</v>
      </c>
      <c r="J634" t="s">
        <v>20</v>
      </c>
      <c r="K634" s="46" t="s">
        <v>1032</v>
      </c>
      <c r="L634">
        <v>54</v>
      </c>
      <c r="M634" t="s">
        <v>21</v>
      </c>
      <c r="N634">
        <v>1</v>
      </c>
      <c r="O634">
        <v>25</v>
      </c>
      <c r="P634">
        <v>25</v>
      </c>
      <c r="Q634">
        <v>0.375</v>
      </c>
      <c r="R634">
        <v>0.5</v>
      </c>
    </row>
    <row r="635" spans="1:18" x14ac:dyDescent="0.35">
      <c r="A635">
        <v>869</v>
      </c>
      <c r="B635">
        <v>25</v>
      </c>
      <c r="C635">
        <v>10</v>
      </c>
      <c r="D635">
        <v>2023</v>
      </c>
      <c r="E635" t="s">
        <v>1065</v>
      </c>
      <c r="F635" t="s">
        <v>1064</v>
      </c>
      <c r="G635" t="s">
        <v>1061</v>
      </c>
      <c r="H635" s="18">
        <v>45224</v>
      </c>
      <c r="I635" t="s">
        <v>894</v>
      </c>
      <c r="J635" t="s">
        <v>20</v>
      </c>
      <c r="K635" s="46" t="s">
        <v>1030</v>
      </c>
      <c r="L635">
        <v>37</v>
      </c>
      <c r="M635" t="s">
        <v>21</v>
      </c>
      <c r="N635">
        <v>3</v>
      </c>
      <c r="O635">
        <v>500</v>
      </c>
      <c r="P635">
        <v>1500</v>
      </c>
      <c r="Q635">
        <v>22.5</v>
      </c>
      <c r="R635">
        <v>30</v>
      </c>
    </row>
    <row r="636" spans="1:18" x14ac:dyDescent="0.35">
      <c r="A636">
        <v>871</v>
      </c>
      <c r="B636">
        <v>31</v>
      </c>
      <c r="C636">
        <v>8</v>
      </c>
      <c r="D636">
        <v>2023</v>
      </c>
      <c r="E636" t="s">
        <v>1072</v>
      </c>
      <c r="F636" t="s">
        <v>1074</v>
      </c>
      <c r="G636" t="s">
        <v>1061</v>
      </c>
      <c r="H636" s="18">
        <v>45169</v>
      </c>
      <c r="I636" t="s">
        <v>896</v>
      </c>
      <c r="J636" t="s">
        <v>20</v>
      </c>
      <c r="K636" s="46" t="s">
        <v>1032</v>
      </c>
      <c r="L636">
        <v>62</v>
      </c>
      <c r="M636" t="s">
        <v>21</v>
      </c>
      <c r="N636">
        <v>2</v>
      </c>
      <c r="O636">
        <v>30</v>
      </c>
      <c r="P636">
        <v>60</v>
      </c>
      <c r="Q636">
        <v>0.89999999999999991</v>
      </c>
      <c r="R636">
        <v>1.2</v>
      </c>
    </row>
    <row r="637" spans="1:18" x14ac:dyDescent="0.35">
      <c r="A637">
        <v>872</v>
      </c>
      <c r="B637">
        <v>11</v>
      </c>
      <c r="C637">
        <v>10</v>
      </c>
      <c r="D637">
        <v>2023</v>
      </c>
      <c r="E637" t="s">
        <v>1065</v>
      </c>
      <c r="F637" t="s">
        <v>1064</v>
      </c>
      <c r="G637" t="s">
        <v>1061</v>
      </c>
      <c r="H637" s="18">
        <v>45210</v>
      </c>
      <c r="I637" t="s">
        <v>897</v>
      </c>
      <c r="J637" t="s">
        <v>23</v>
      </c>
      <c r="K637" s="46" t="s">
        <v>1032</v>
      </c>
      <c r="L637">
        <v>63</v>
      </c>
      <c r="M637" t="s">
        <v>21</v>
      </c>
      <c r="N637">
        <v>3</v>
      </c>
      <c r="O637">
        <v>25</v>
      </c>
      <c r="P637">
        <v>75</v>
      </c>
      <c r="Q637">
        <v>1.125</v>
      </c>
      <c r="R637">
        <v>1.5</v>
      </c>
    </row>
    <row r="638" spans="1:18" x14ac:dyDescent="0.35">
      <c r="A638">
        <v>874</v>
      </c>
      <c r="B638">
        <v>26</v>
      </c>
      <c r="C638">
        <v>6</v>
      </c>
      <c r="D638">
        <v>2023</v>
      </c>
      <c r="E638" t="s">
        <v>1067</v>
      </c>
      <c r="F638" t="s">
        <v>1069</v>
      </c>
      <c r="G638" t="s">
        <v>1061</v>
      </c>
      <c r="H638" s="18">
        <v>45103</v>
      </c>
      <c r="I638" t="s">
        <v>899</v>
      </c>
      <c r="J638" t="s">
        <v>20</v>
      </c>
      <c r="K638" s="46" t="s">
        <v>1032</v>
      </c>
      <c r="L638">
        <v>60</v>
      </c>
      <c r="M638" t="s">
        <v>21</v>
      </c>
      <c r="N638">
        <v>1</v>
      </c>
      <c r="O638">
        <v>30</v>
      </c>
      <c r="P638">
        <v>30</v>
      </c>
      <c r="Q638">
        <v>0.44999999999999996</v>
      </c>
      <c r="R638">
        <v>0.6</v>
      </c>
    </row>
    <row r="639" spans="1:18" x14ac:dyDescent="0.35">
      <c r="A639">
        <v>880</v>
      </c>
      <c r="B639">
        <v>21</v>
      </c>
      <c r="C639">
        <v>8</v>
      </c>
      <c r="D639">
        <v>2023</v>
      </c>
      <c r="E639" t="s">
        <v>1067</v>
      </c>
      <c r="F639" t="s">
        <v>1074</v>
      </c>
      <c r="G639" t="s">
        <v>1061</v>
      </c>
      <c r="H639" s="18">
        <v>45159</v>
      </c>
      <c r="I639" t="s">
        <v>905</v>
      </c>
      <c r="J639" t="s">
        <v>20</v>
      </c>
      <c r="K639" s="46" t="s">
        <v>1034</v>
      </c>
      <c r="L639">
        <v>22</v>
      </c>
      <c r="M639" t="s">
        <v>21</v>
      </c>
      <c r="N639">
        <v>2</v>
      </c>
      <c r="O639">
        <v>500</v>
      </c>
      <c r="P639">
        <v>1000</v>
      </c>
      <c r="Q639">
        <v>15</v>
      </c>
      <c r="R639">
        <v>20</v>
      </c>
    </row>
    <row r="640" spans="1:18" x14ac:dyDescent="0.35">
      <c r="A640">
        <v>902</v>
      </c>
      <c r="B640">
        <v>1</v>
      </c>
      <c r="C640">
        <v>6</v>
      </c>
      <c r="D640">
        <v>2023</v>
      </c>
      <c r="E640" t="s">
        <v>1072</v>
      </c>
      <c r="F640" t="s">
        <v>1069</v>
      </c>
      <c r="G640" t="s">
        <v>1061</v>
      </c>
      <c r="H640" s="18">
        <v>45078</v>
      </c>
      <c r="I640" t="s">
        <v>927</v>
      </c>
      <c r="J640" t="s">
        <v>23</v>
      </c>
      <c r="K640" s="46" t="s">
        <v>1032</v>
      </c>
      <c r="L640">
        <v>54</v>
      </c>
      <c r="M640" t="s">
        <v>21</v>
      </c>
      <c r="N640">
        <v>1</v>
      </c>
      <c r="O640">
        <v>50</v>
      </c>
      <c r="P640">
        <v>50</v>
      </c>
      <c r="Q640">
        <v>0.75</v>
      </c>
      <c r="R640">
        <v>1</v>
      </c>
    </row>
    <row r="641" spans="1:18" x14ac:dyDescent="0.35">
      <c r="A641">
        <v>903</v>
      </c>
      <c r="B641">
        <v>27</v>
      </c>
      <c r="C641">
        <v>4</v>
      </c>
      <c r="D641">
        <v>2023</v>
      </c>
      <c r="E641" t="s">
        <v>1072</v>
      </c>
      <c r="F641" t="s">
        <v>1077</v>
      </c>
      <c r="G641" t="s">
        <v>1061</v>
      </c>
      <c r="H641" s="18">
        <v>45043</v>
      </c>
      <c r="I641" t="s">
        <v>928</v>
      </c>
      <c r="J641" t="s">
        <v>23</v>
      </c>
      <c r="K641" s="46" t="s">
        <v>1032</v>
      </c>
      <c r="L641">
        <v>51</v>
      </c>
      <c r="M641" t="s">
        <v>21</v>
      </c>
      <c r="N641">
        <v>4</v>
      </c>
      <c r="O641">
        <v>50</v>
      </c>
      <c r="P641">
        <v>200</v>
      </c>
      <c r="Q641">
        <v>3</v>
      </c>
      <c r="R641">
        <v>4</v>
      </c>
    </row>
    <row r="642" spans="1:18" x14ac:dyDescent="0.35">
      <c r="A642">
        <v>905</v>
      </c>
      <c r="B642">
        <v>2</v>
      </c>
      <c r="C642">
        <v>4</v>
      </c>
      <c r="D642">
        <v>2023</v>
      </c>
      <c r="E642" t="s">
        <v>1063</v>
      </c>
      <c r="F642" t="s">
        <v>1077</v>
      </c>
      <c r="G642" t="s">
        <v>1061</v>
      </c>
      <c r="H642" s="18">
        <v>45018</v>
      </c>
      <c r="I642" t="s">
        <v>930</v>
      </c>
      <c r="J642" t="s">
        <v>20</v>
      </c>
      <c r="K642" s="46" t="s">
        <v>1032</v>
      </c>
      <c r="L642">
        <v>58</v>
      </c>
      <c r="M642" t="s">
        <v>21</v>
      </c>
      <c r="N642">
        <v>1</v>
      </c>
      <c r="O642">
        <v>300</v>
      </c>
      <c r="P642">
        <v>300</v>
      </c>
      <c r="Q642">
        <v>4.5</v>
      </c>
      <c r="R642">
        <v>6</v>
      </c>
    </row>
    <row r="643" spans="1:18" x14ac:dyDescent="0.35">
      <c r="A643">
        <v>908</v>
      </c>
      <c r="B643">
        <v>29</v>
      </c>
      <c r="C643">
        <v>12</v>
      </c>
      <c r="D643">
        <v>2023</v>
      </c>
      <c r="E643" t="s">
        <v>1070</v>
      </c>
      <c r="F643" t="s">
        <v>1062</v>
      </c>
      <c r="G643" t="s">
        <v>1061</v>
      </c>
      <c r="H643" s="18">
        <v>45289</v>
      </c>
      <c r="I643" t="s">
        <v>933</v>
      </c>
      <c r="J643" t="s">
        <v>20</v>
      </c>
      <c r="K643" s="46" t="s">
        <v>1030</v>
      </c>
      <c r="L643">
        <v>46</v>
      </c>
      <c r="M643" t="s">
        <v>21</v>
      </c>
      <c r="N643">
        <v>4</v>
      </c>
      <c r="O643">
        <v>300</v>
      </c>
      <c r="P643">
        <v>1200</v>
      </c>
      <c r="Q643">
        <v>18</v>
      </c>
      <c r="R643">
        <v>24</v>
      </c>
    </row>
    <row r="644" spans="1:18" x14ac:dyDescent="0.35">
      <c r="A644">
        <v>910</v>
      </c>
      <c r="B644">
        <v>6</v>
      </c>
      <c r="C644">
        <v>3</v>
      </c>
      <c r="D644">
        <v>2023</v>
      </c>
      <c r="E644" t="s">
        <v>1067</v>
      </c>
      <c r="F644" t="s">
        <v>1066</v>
      </c>
      <c r="G644" t="s">
        <v>1061</v>
      </c>
      <c r="H644" s="18">
        <v>44991</v>
      </c>
      <c r="I644" t="s">
        <v>935</v>
      </c>
      <c r="J644" t="s">
        <v>23</v>
      </c>
      <c r="K644" s="46" t="s">
        <v>1034</v>
      </c>
      <c r="L644">
        <v>20</v>
      </c>
      <c r="M644" t="s">
        <v>21</v>
      </c>
      <c r="N644">
        <v>3</v>
      </c>
      <c r="O644">
        <v>50</v>
      </c>
      <c r="P644">
        <v>150</v>
      </c>
      <c r="Q644">
        <v>2.25</v>
      </c>
      <c r="R644">
        <v>3</v>
      </c>
    </row>
    <row r="645" spans="1:18" x14ac:dyDescent="0.35">
      <c r="A645">
        <v>912</v>
      </c>
      <c r="B645">
        <v>24</v>
      </c>
      <c r="C645">
        <v>1</v>
      </c>
      <c r="D645">
        <v>2023</v>
      </c>
      <c r="E645" t="s">
        <v>1059</v>
      </c>
      <c r="F645" t="s">
        <v>1060</v>
      </c>
      <c r="G645" t="s">
        <v>1061</v>
      </c>
      <c r="H645" s="18">
        <v>44950</v>
      </c>
      <c r="I645" t="s">
        <v>937</v>
      </c>
      <c r="J645" t="s">
        <v>20</v>
      </c>
      <c r="K645" s="46" t="s">
        <v>1032</v>
      </c>
      <c r="L645">
        <v>51</v>
      </c>
      <c r="M645" t="s">
        <v>21</v>
      </c>
      <c r="N645">
        <v>3</v>
      </c>
      <c r="O645">
        <v>50</v>
      </c>
      <c r="P645">
        <v>150</v>
      </c>
      <c r="Q645">
        <v>2.25</v>
      </c>
      <c r="R645">
        <v>3</v>
      </c>
    </row>
    <row r="646" spans="1:18" x14ac:dyDescent="0.35">
      <c r="A646">
        <v>915</v>
      </c>
      <c r="B646">
        <v>30</v>
      </c>
      <c r="C646">
        <v>5</v>
      </c>
      <c r="D646">
        <v>2023</v>
      </c>
      <c r="E646" t="s">
        <v>1059</v>
      </c>
      <c r="F646" t="s">
        <v>1076</v>
      </c>
      <c r="G646" t="s">
        <v>1061</v>
      </c>
      <c r="H646" s="18">
        <v>45076</v>
      </c>
      <c r="I646" t="s">
        <v>940</v>
      </c>
      <c r="J646" t="s">
        <v>23</v>
      </c>
      <c r="K646" s="46" t="s">
        <v>1034</v>
      </c>
      <c r="L646">
        <v>26</v>
      </c>
      <c r="M646" t="s">
        <v>21</v>
      </c>
      <c r="N646">
        <v>3</v>
      </c>
      <c r="O646">
        <v>30</v>
      </c>
      <c r="P646">
        <v>90</v>
      </c>
      <c r="Q646">
        <v>1.3499999999999999</v>
      </c>
      <c r="R646">
        <v>1.8</v>
      </c>
    </row>
    <row r="647" spans="1:18" x14ac:dyDescent="0.35">
      <c r="A647">
        <v>919</v>
      </c>
      <c r="B647">
        <v>9</v>
      </c>
      <c r="C647">
        <v>9</v>
      </c>
      <c r="D647">
        <v>2023</v>
      </c>
      <c r="E647" t="s">
        <v>1075</v>
      </c>
      <c r="F647" t="s">
        <v>1071</v>
      </c>
      <c r="G647" t="s">
        <v>1061</v>
      </c>
      <c r="H647" s="18">
        <v>45178</v>
      </c>
      <c r="I647" t="s">
        <v>944</v>
      </c>
      <c r="J647" t="s">
        <v>23</v>
      </c>
      <c r="K647" s="46" t="s">
        <v>1034</v>
      </c>
      <c r="L647">
        <v>22</v>
      </c>
      <c r="M647" t="s">
        <v>21</v>
      </c>
      <c r="N647">
        <v>2</v>
      </c>
      <c r="O647">
        <v>25</v>
      </c>
      <c r="P647">
        <v>50</v>
      </c>
      <c r="Q647">
        <v>0.75</v>
      </c>
      <c r="R647">
        <v>1</v>
      </c>
    </row>
    <row r="648" spans="1:18" x14ac:dyDescent="0.35">
      <c r="A648">
        <v>920</v>
      </c>
      <c r="B648">
        <v>22</v>
      </c>
      <c r="C648">
        <v>2</v>
      </c>
      <c r="D648">
        <v>2023</v>
      </c>
      <c r="E648" t="s">
        <v>1065</v>
      </c>
      <c r="F648" t="s">
        <v>1073</v>
      </c>
      <c r="G648" t="s">
        <v>1061</v>
      </c>
      <c r="H648" s="18">
        <v>44979</v>
      </c>
      <c r="I648" t="s">
        <v>945</v>
      </c>
      <c r="J648" t="s">
        <v>23</v>
      </c>
      <c r="K648" s="46" t="s">
        <v>1034</v>
      </c>
      <c r="L648">
        <v>28</v>
      </c>
      <c r="M648" t="s">
        <v>21</v>
      </c>
      <c r="N648">
        <v>3</v>
      </c>
      <c r="O648">
        <v>25</v>
      </c>
      <c r="P648">
        <v>75</v>
      </c>
      <c r="Q648">
        <v>1.125</v>
      </c>
      <c r="R648">
        <v>1.5</v>
      </c>
    </row>
    <row r="649" spans="1:18" x14ac:dyDescent="0.35">
      <c r="A649">
        <v>923</v>
      </c>
      <c r="B649">
        <v>26</v>
      </c>
      <c r="C649">
        <v>5</v>
      </c>
      <c r="D649">
        <v>2023</v>
      </c>
      <c r="E649" t="s">
        <v>1070</v>
      </c>
      <c r="F649" t="s">
        <v>1076</v>
      </c>
      <c r="G649" t="s">
        <v>1061</v>
      </c>
      <c r="H649" s="18">
        <v>45072</v>
      </c>
      <c r="I649" t="s">
        <v>948</v>
      </c>
      <c r="J649" t="s">
        <v>20</v>
      </c>
      <c r="K649" s="46" t="s">
        <v>1030</v>
      </c>
      <c r="L649">
        <v>32</v>
      </c>
      <c r="M649" t="s">
        <v>21</v>
      </c>
      <c r="N649">
        <v>3</v>
      </c>
      <c r="O649">
        <v>300</v>
      </c>
      <c r="P649">
        <v>900</v>
      </c>
      <c r="Q649">
        <v>13.5</v>
      </c>
      <c r="R649">
        <v>18</v>
      </c>
    </row>
    <row r="650" spans="1:18" x14ac:dyDescent="0.35">
      <c r="A650">
        <v>924</v>
      </c>
      <c r="B650">
        <v>29</v>
      </c>
      <c r="C650">
        <v>8</v>
      </c>
      <c r="D650">
        <v>2023</v>
      </c>
      <c r="E650" t="s">
        <v>1059</v>
      </c>
      <c r="F650" t="s">
        <v>1074</v>
      </c>
      <c r="G650" t="s">
        <v>1061</v>
      </c>
      <c r="H650" s="18">
        <v>45167</v>
      </c>
      <c r="I650" t="s">
        <v>949</v>
      </c>
      <c r="J650" t="s">
        <v>20</v>
      </c>
      <c r="K650" s="46" t="s">
        <v>1032</v>
      </c>
      <c r="L650">
        <v>55</v>
      </c>
      <c r="M650" t="s">
        <v>21</v>
      </c>
      <c r="N650">
        <v>2</v>
      </c>
      <c r="O650">
        <v>50</v>
      </c>
      <c r="P650">
        <v>100</v>
      </c>
      <c r="Q650">
        <v>1.5</v>
      </c>
      <c r="R650">
        <v>2</v>
      </c>
    </row>
    <row r="651" spans="1:18" x14ac:dyDescent="0.35">
      <c r="A651">
        <v>929</v>
      </c>
      <c r="B651">
        <v>27</v>
      </c>
      <c r="C651">
        <v>1</v>
      </c>
      <c r="D651">
        <v>2023</v>
      </c>
      <c r="E651" t="s">
        <v>1070</v>
      </c>
      <c r="F651" t="s">
        <v>1060</v>
      </c>
      <c r="G651" t="s">
        <v>1061</v>
      </c>
      <c r="H651" s="18">
        <v>44953</v>
      </c>
      <c r="I651" t="s">
        <v>954</v>
      </c>
      <c r="J651" t="s">
        <v>23</v>
      </c>
      <c r="K651" s="46" t="s">
        <v>1034</v>
      </c>
      <c r="L651">
        <v>23</v>
      </c>
      <c r="M651" t="s">
        <v>21</v>
      </c>
      <c r="N651">
        <v>3</v>
      </c>
      <c r="O651">
        <v>25</v>
      </c>
      <c r="P651">
        <v>75</v>
      </c>
      <c r="Q651">
        <v>1.125</v>
      </c>
      <c r="R651">
        <v>1.5</v>
      </c>
    </row>
    <row r="652" spans="1:18" x14ac:dyDescent="0.35">
      <c r="A652">
        <v>931</v>
      </c>
      <c r="B652">
        <v>2</v>
      </c>
      <c r="C652">
        <v>9</v>
      </c>
      <c r="D652">
        <v>2023</v>
      </c>
      <c r="E652" t="s">
        <v>1075</v>
      </c>
      <c r="F652" t="s">
        <v>1071</v>
      </c>
      <c r="G652" t="s">
        <v>1061</v>
      </c>
      <c r="H652" s="18">
        <v>45171</v>
      </c>
      <c r="I652" t="s">
        <v>956</v>
      </c>
      <c r="J652" t="s">
        <v>20</v>
      </c>
      <c r="K652" s="46" t="s">
        <v>1030</v>
      </c>
      <c r="L652">
        <v>30</v>
      </c>
      <c r="M652" t="s">
        <v>21</v>
      </c>
      <c r="N652">
        <v>4</v>
      </c>
      <c r="O652">
        <v>30</v>
      </c>
      <c r="P652">
        <v>120</v>
      </c>
      <c r="Q652">
        <v>1.7999999999999998</v>
      </c>
      <c r="R652">
        <v>2.4</v>
      </c>
    </row>
    <row r="653" spans="1:18" x14ac:dyDescent="0.35">
      <c r="A653">
        <v>932</v>
      </c>
      <c r="B653">
        <v>28</v>
      </c>
      <c r="C653">
        <v>2</v>
      </c>
      <c r="D653">
        <v>2023</v>
      </c>
      <c r="E653" t="s">
        <v>1059</v>
      </c>
      <c r="F653" t="s">
        <v>1073</v>
      </c>
      <c r="G653" t="s">
        <v>1061</v>
      </c>
      <c r="H653" s="18">
        <v>44985</v>
      </c>
      <c r="I653" t="s">
        <v>957</v>
      </c>
      <c r="J653" t="s">
        <v>23</v>
      </c>
      <c r="K653" s="46" t="s">
        <v>1030</v>
      </c>
      <c r="L653">
        <v>45</v>
      </c>
      <c r="M653" t="s">
        <v>21</v>
      </c>
      <c r="N653">
        <v>4</v>
      </c>
      <c r="O653">
        <v>25</v>
      </c>
      <c r="P653">
        <v>100</v>
      </c>
      <c r="Q653">
        <v>1.5</v>
      </c>
      <c r="R653">
        <v>2</v>
      </c>
    </row>
    <row r="654" spans="1:18" x14ac:dyDescent="0.35">
      <c r="A654">
        <v>933</v>
      </c>
      <c r="B654">
        <v>3</v>
      </c>
      <c r="C654">
        <v>2</v>
      </c>
      <c r="D654">
        <v>2023</v>
      </c>
      <c r="E654" t="s">
        <v>1070</v>
      </c>
      <c r="F654" t="s">
        <v>1073</v>
      </c>
      <c r="G654" t="s">
        <v>1061</v>
      </c>
      <c r="H654" s="18">
        <v>44960</v>
      </c>
      <c r="I654" t="s">
        <v>958</v>
      </c>
      <c r="J654" t="s">
        <v>20</v>
      </c>
      <c r="K654" s="46" t="s">
        <v>1034</v>
      </c>
      <c r="L654">
        <v>22</v>
      </c>
      <c r="M654" t="s">
        <v>21</v>
      </c>
      <c r="N654">
        <v>1</v>
      </c>
      <c r="O654">
        <v>30</v>
      </c>
      <c r="P654">
        <v>30</v>
      </c>
      <c r="Q654">
        <v>0.44999999999999996</v>
      </c>
      <c r="R654">
        <v>0.6</v>
      </c>
    </row>
    <row r="655" spans="1:18" x14ac:dyDescent="0.35">
      <c r="A655">
        <v>934</v>
      </c>
      <c r="B655">
        <v>25</v>
      </c>
      <c r="C655">
        <v>7</v>
      </c>
      <c r="D655">
        <v>2023</v>
      </c>
      <c r="E655" t="s">
        <v>1059</v>
      </c>
      <c r="F655" t="s">
        <v>1078</v>
      </c>
      <c r="G655" t="s">
        <v>1061</v>
      </c>
      <c r="H655" s="18">
        <v>45132</v>
      </c>
      <c r="I655" t="s">
        <v>959</v>
      </c>
      <c r="J655" t="s">
        <v>20</v>
      </c>
      <c r="K655" s="46" t="s">
        <v>1030</v>
      </c>
      <c r="L655">
        <v>30</v>
      </c>
      <c r="M655" t="s">
        <v>21</v>
      </c>
      <c r="N655">
        <v>1</v>
      </c>
      <c r="O655">
        <v>500</v>
      </c>
      <c r="P655">
        <v>500</v>
      </c>
      <c r="Q655">
        <v>7.5</v>
      </c>
      <c r="R655">
        <v>10</v>
      </c>
    </row>
    <row r="656" spans="1:18" x14ac:dyDescent="0.35">
      <c r="A656">
        <v>935</v>
      </c>
      <c r="B656">
        <v>9</v>
      </c>
      <c r="C656">
        <v>9</v>
      </c>
      <c r="D656">
        <v>2023</v>
      </c>
      <c r="E656" t="s">
        <v>1075</v>
      </c>
      <c r="F656" t="s">
        <v>1071</v>
      </c>
      <c r="G656" t="s">
        <v>1061</v>
      </c>
      <c r="H656" s="18">
        <v>45178</v>
      </c>
      <c r="I656" t="s">
        <v>960</v>
      </c>
      <c r="J656" t="s">
        <v>23</v>
      </c>
      <c r="K656" s="46" t="s">
        <v>1030</v>
      </c>
      <c r="L656">
        <v>34</v>
      </c>
      <c r="M656" t="s">
        <v>21</v>
      </c>
      <c r="N656">
        <v>1</v>
      </c>
      <c r="O656">
        <v>50</v>
      </c>
      <c r="P656">
        <v>50</v>
      </c>
      <c r="Q656">
        <v>0.75</v>
      </c>
      <c r="R656">
        <v>1</v>
      </c>
    </row>
    <row r="657" spans="1:18" x14ac:dyDescent="0.35">
      <c r="A657">
        <v>936</v>
      </c>
      <c r="B657">
        <v>7</v>
      </c>
      <c r="C657">
        <v>2</v>
      </c>
      <c r="D657">
        <v>2023</v>
      </c>
      <c r="E657" t="s">
        <v>1059</v>
      </c>
      <c r="F657" t="s">
        <v>1073</v>
      </c>
      <c r="G657" t="s">
        <v>1061</v>
      </c>
      <c r="H657" s="18">
        <v>44964</v>
      </c>
      <c r="I657" t="s">
        <v>961</v>
      </c>
      <c r="J657" t="s">
        <v>20</v>
      </c>
      <c r="K657" s="46" t="s">
        <v>1032</v>
      </c>
      <c r="L657">
        <v>57</v>
      </c>
      <c r="M657" t="s">
        <v>21</v>
      </c>
      <c r="N657">
        <v>4</v>
      </c>
      <c r="O657">
        <v>50</v>
      </c>
      <c r="P657">
        <v>200</v>
      </c>
      <c r="Q657">
        <v>3</v>
      </c>
      <c r="R657">
        <v>4</v>
      </c>
    </row>
    <row r="658" spans="1:18" x14ac:dyDescent="0.35">
      <c r="A658">
        <v>937</v>
      </c>
      <c r="B658">
        <v>23</v>
      </c>
      <c r="C658">
        <v>10</v>
      </c>
      <c r="D658">
        <v>2023</v>
      </c>
      <c r="E658" t="s">
        <v>1067</v>
      </c>
      <c r="F658" t="s">
        <v>1064</v>
      </c>
      <c r="G658" t="s">
        <v>1061</v>
      </c>
      <c r="H658" s="18">
        <v>45222</v>
      </c>
      <c r="I658" t="s">
        <v>962</v>
      </c>
      <c r="J658" t="s">
        <v>23</v>
      </c>
      <c r="K658" s="46" t="s">
        <v>1032</v>
      </c>
      <c r="L658">
        <v>62</v>
      </c>
      <c r="M658" t="s">
        <v>21</v>
      </c>
      <c r="N658">
        <v>1</v>
      </c>
      <c r="O658">
        <v>500</v>
      </c>
      <c r="P658">
        <v>500</v>
      </c>
      <c r="Q658">
        <v>7.5</v>
      </c>
      <c r="R658">
        <v>10</v>
      </c>
    </row>
    <row r="659" spans="1:18" x14ac:dyDescent="0.35">
      <c r="A659">
        <v>945</v>
      </c>
      <c r="B659">
        <v>13</v>
      </c>
      <c r="C659">
        <v>2</v>
      </c>
      <c r="D659">
        <v>2023</v>
      </c>
      <c r="E659" t="s">
        <v>1067</v>
      </c>
      <c r="F659" t="s">
        <v>1073</v>
      </c>
      <c r="G659" t="s">
        <v>1061</v>
      </c>
      <c r="H659" s="18">
        <v>44970</v>
      </c>
      <c r="I659" t="s">
        <v>970</v>
      </c>
      <c r="J659" t="s">
        <v>20</v>
      </c>
      <c r="K659" s="46" t="s">
        <v>1030</v>
      </c>
      <c r="L659">
        <v>30</v>
      </c>
      <c r="M659" t="s">
        <v>21</v>
      </c>
      <c r="N659">
        <v>1</v>
      </c>
      <c r="O659">
        <v>25</v>
      </c>
      <c r="P659">
        <v>25</v>
      </c>
      <c r="Q659">
        <v>0.375</v>
      </c>
      <c r="R659">
        <v>0.5</v>
      </c>
    </row>
    <row r="660" spans="1:18" x14ac:dyDescent="0.35">
      <c r="A660">
        <v>947</v>
      </c>
      <c r="B660">
        <v>2</v>
      </c>
      <c r="C660">
        <v>3</v>
      </c>
      <c r="D660">
        <v>2023</v>
      </c>
      <c r="E660" t="s">
        <v>1072</v>
      </c>
      <c r="F660" t="s">
        <v>1066</v>
      </c>
      <c r="G660" t="s">
        <v>1061</v>
      </c>
      <c r="H660" s="18">
        <v>44987</v>
      </c>
      <c r="I660" t="s">
        <v>972</v>
      </c>
      <c r="J660" t="s">
        <v>20</v>
      </c>
      <c r="K660" s="46" t="s">
        <v>1030</v>
      </c>
      <c r="L660">
        <v>50</v>
      </c>
      <c r="M660" t="s">
        <v>21</v>
      </c>
      <c r="N660">
        <v>1</v>
      </c>
      <c r="O660">
        <v>300</v>
      </c>
      <c r="P660">
        <v>300</v>
      </c>
      <c r="Q660">
        <v>4.5</v>
      </c>
      <c r="R660">
        <v>6</v>
      </c>
    </row>
    <row r="661" spans="1:18" x14ac:dyDescent="0.35">
      <c r="A661">
        <v>951</v>
      </c>
      <c r="B661">
        <v>2</v>
      </c>
      <c r="C661">
        <v>11</v>
      </c>
      <c r="D661">
        <v>2023</v>
      </c>
      <c r="E661" t="s">
        <v>1072</v>
      </c>
      <c r="F661" t="s">
        <v>1068</v>
      </c>
      <c r="G661" t="s">
        <v>1061</v>
      </c>
      <c r="H661" s="18">
        <v>45232</v>
      </c>
      <c r="I661" t="s">
        <v>976</v>
      </c>
      <c r="J661" t="s">
        <v>20</v>
      </c>
      <c r="K661" s="46" t="s">
        <v>1030</v>
      </c>
      <c r="L661">
        <v>33</v>
      </c>
      <c r="M661" t="s">
        <v>21</v>
      </c>
      <c r="N661">
        <v>2</v>
      </c>
      <c r="O661">
        <v>50</v>
      </c>
      <c r="P661">
        <v>100</v>
      </c>
      <c r="Q661">
        <v>1.5</v>
      </c>
      <c r="R661">
        <v>2</v>
      </c>
    </row>
    <row r="662" spans="1:18" x14ac:dyDescent="0.35">
      <c r="A662">
        <v>953</v>
      </c>
      <c r="B662">
        <v>26</v>
      </c>
      <c r="C662">
        <v>4</v>
      </c>
      <c r="D662">
        <v>2023</v>
      </c>
      <c r="E662" t="s">
        <v>1065</v>
      </c>
      <c r="F662" t="s">
        <v>1077</v>
      </c>
      <c r="G662" t="s">
        <v>1061</v>
      </c>
      <c r="H662" s="18">
        <v>45042</v>
      </c>
      <c r="I662" t="s">
        <v>978</v>
      </c>
      <c r="J662" t="s">
        <v>20</v>
      </c>
      <c r="K662" s="46" t="s">
        <v>1030</v>
      </c>
      <c r="L662">
        <v>45</v>
      </c>
      <c r="M662" t="s">
        <v>21</v>
      </c>
      <c r="N662">
        <v>3</v>
      </c>
      <c r="O662">
        <v>30</v>
      </c>
      <c r="P662">
        <v>90</v>
      </c>
      <c r="Q662">
        <v>1.3499999999999999</v>
      </c>
      <c r="R662">
        <v>1.8</v>
      </c>
    </row>
    <row r="663" spans="1:18" x14ac:dyDescent="0.35">
      <c r="A663">
        <v>961</v>
      </c>
      <c r="B663">
        <v>6</v>
      </c>
      <c r="C663">
        <v>6</v>
      </c>
      <c r="D663">
        <v>2023</v>
      </c>
      <c r="E663" t="s">
        <v>1059</v>
      </c>
      <c r="F663" t="s">
        <v>1069</v>
      </c>
      <c r="G663" t="s">
        <v>1061</v>
      </c>
      <c r="H663" s="18">
        <v>45083</v>
      </c>
      <c r="I663" t="s">
        <v>986</v>
      </c>
      <c r="J663" t="s">
        <v>20</v>
      </c>
      <c r="K663" s="46" t="s">
        <v>1032</v>
      </c>
      <c r="L663">
        <v>53</v>
      </c>
      <c r="M663" t="s">
        <v>21</v>
      </c>
      <c r="N663">
        <v>4</v>
      </c>
      <c r="O663">
        <v>50</v>
      </c>
      <c r="P663">
        <v>200</v>
      </c>
      <c r="Q663">
        <v>3</v>
      </c>
      <c r="R663">
        <v>4</v>
      </c>
    </row>
    <row r="664" spans="1:18" x14ac:dyDescent="0.35">
      <c r="A664">
        <v>963</v>
      </c>
      <c r="B664">
        <v>14</v>
      </c>
      <c r="C664">
        <v>11</v>
      </c>
      <c r="D664">
        <v>2023</v>
      </c>
      <c r="E664" t="s">
        <v>1059</v>
      </c>
      <c r="F664" t="s">
        <v>1068</v>
      </c>
      <c r="G664" t="s">
        <v>1061</v>
      </c>
      <c r="H664" s="18">
        <v>45244</v>
      </c>
      <c r="I664" t="s">
        <v>988</v>
      </c>
      <c r="J664" t="s">
        <v>23</v>
      </c>
      <c r="K664" s="46" t="s">
        <v>1032</v>
      </c>
      <c r="L664">
        <v>55</v>
      </c>
      <c r="M664" t="s">
        <v>21</v>
      </c>
      <c r="N664">
        <v>1</v>
      </c>
      <c r="O664">
        <v>50</v>
      </c>
      <c r="P664">
        <v>50</v>
      </c>
      <c r="Q664">
        <v>0.75</v>
      </c>
      <c r="R664">
        <v>1</v>
      </c>
    </row>
    <row r="665" spans="1:18" x14ac:dyDescent="0.35">
      <c r="A665">
        <v>967</v>
      </c>
      <c r="B665">
        <v>17</v>
      </c>
      <c r="C665">
        <v>4</v>
      </c>
      <c r="D665">
        <v>2023</v>
      </c>
      <c r="E665" t="s">
        <v>1067</v>
      </c>
      <c r="F665" t="s">
        <v>1077</v>
      </c>
      <c r="G665" t="s">
        <v>1061</v>
      </c>
      <c r="H665" s="18">
        <v>45033</v>
      </c>
      <c r="I665" t="s">
        <v>992</v>
      </c>
      <c r="J665" t="s">
        <v>20</v>
      </c>
      <c r="K665" s="46" t="s">
        <v>1032</v>
      </c>
      <c r="L665">
        <v>62</v>
      </c>
      <c r="M665" t="s">
        <v>21</v>
      </c>
      <c r="N665">
        <v>1</v>
      </c>
      <c r="O665">
        <v>25</v>
      </c>
      <c r="P665">
        <v>25</v>
      </c>
      <c r="Q665">
        <v>0.375</v>
      </c>
      <c r="R665">
        <v>0.5</v>
      </c>
    </row>
    <row r="666" spans="1:18" x14ac:dyDescent="0.35">
      <c r="A666">
        <v>972</v>
      </c>
      <c r="B666">
        <v>11</v>
      </c>
      <c r="C666">
        <v>2</v>
      </c>
      <c r="D666">
        <v>2023</v>
      </c>
      <c r="E666" t="s">
        <v>1075</v>
      </c>
      <c r="F666" t="s">
        <v>1073</v>
      </c>
      <c r="G666" t="s">
        <v>1061</v>
      </c>
      <c r="H666" s="18">
        <v>44968</v>
      </c>
      <c r="I666" t="s">
        <v>997</v>
      </c>
      <c r="J666" t="s">
        <v>20</v>
      </c>
      <c r="K666" s="46" t="s">
        <v>1030</v>
      </c>
      <c r="L666">
        <v>49</v>
      </c>
      <c r="M666" t="s">
        <v>21</v>
      </c>
      <c r="N666">
        <v>4</v>
      </c>
      <c r="O666">
        <v>25</v>
      </c>
      <c r="P666">
        <v>100</v>
      </c>
      <c r="Q666">
        <v>1.5</v>
      </c>
      <c r="R666">
        <v>2</v>
      </c>
    </row>
    <row r="667" spans="1:18" x14ac:dyDescent="0.35">
      <c r="A667">
        <v>974</v>
      </c>
      <c r="B667">
        <v>3</v>
      </c>
      <c r="C667">
        <v>5</v>
      </c>
      <c r="D667">
        <v>2023</v>
      </c>
      <c r="E667" t="s">
        <v>1065</v>
      </c>
      <c r="F667" t="s">
        <v>1076</v>
      </c>
      <c r="G667" t="s">
        <v>1061</v>
      </c>
      <c r="H667" s="18">
        <v>45049</v>
      </c>
      <c r="I667" t="s">
        <v>999</v>
      </c>
      <c r="J667" t="s">
        <v>20</v>
      </c>
      <c r="K667" s="46" t="s">
        <v>1030</v>
      </c>
      <c r="L667">
        <v>47</v>
      </c>
      <c r="M667" t="s">
        <v>21</v>
      </c>
      <c r="N667">
        <v>1</v>
      </c>
      <c r="O667">
        <v>30</v>
      </c>
      <c r="P667">
        <v>30</v>
      </c>
      <c r="Q667">
        <v>0.44999999999999996</v>
      </c>
      <c r="R667">
        <v>0.6</v>
      </c>
    </row>
    <row r="668" spans="1:18" x14ac:dyDescent="0.35">
      <c r="A668">
        <v>976</v>
      </c>
      <c r="B668">
        <v>10</v>
      </c>
      <c r="C668">
        <v>10</v>
      </c>
      <c r="D668">
        <v>2023</v>
      </c>
      <c r="E668" t="s">
        <v>1059</v>
      </c>
      <c r="F668" t="s">
        <v>1064</v>
      </c>
      <c r="G668" t="s">
        <v>1061</v>
      </c>
      <c r="H668" s="18">
        <v>45209</v>
      </c>
      <c r="I668" t="s">
        <v>1001</v>
      </c>
      <c r="J668" t="s">
        <v>23</v>
      </c>
      <c r="K668" s="46" t="s">
        <v>1030</v>
      </c>
      <c r="L668">
        <v>48</v>
      </c>
      <c r="M668" t="s">
        <v>21</v>
      </c>
      <c r="N668">
        <v>2</v>
      </c>
      <c r="O668">
        <v>300</v>
      </c>
      <c r="P668">
        <v>600</v>
      </c>
      <c r="Q668">
        <v>9</v>
      </c>
      <c r="R668">
        <v>12</v>
      </c>
    </row>
    <row r="669" spans="1:18" x14ac:dyDescent="0.35">
      <c r="A669">
        <v>979</v>
      </c>
      <c r="B669">
        <v>2</v>
      </c>
      <c r="C669">
        <v>1</v>
      </c>
      <c r="D669">
        <v>2023</v>
      </c>
      <c r="E669" t="s">
        <v>1067</v>
      </c>
      <c r="F669" t="s">
        <v>1060</v>
      </c>
      <c r="G669" t="s">
        <v>1061</v>
      </c>
      <c r="H669" s="18">
        <v>44928</v>
      </c>
      <c r="I669" t="s">
        <v>1004</v>
      </c>
      <c r="J669" t="s">
        <v>23</v>
      </c>
      <c r="K669" s="46" t="s">
        <v>1034</v>
      </c>
      <c r="L669">
        <v>19</v>
      </c>
      <c r="M669" t="s">
        <v>21</v>
      </c>
      <c r="N669">
        <v>1</v>
      </c>
      <c r="O669">
        <v>25</v>
      </c>
      <c r="P669">
        <v>25</v>
      </c>
      <c r="Q669">
        <v>0.375</v>
      </c>
      <c r="R669">
        <v>0.5</v>
      </c>
    </row>
    <row r="670" spans="1:18" x14ac:dyDescent="0.35">
      <c r="A670">
        <v>982</v>
      </c>
      <c r="B670">
        <v>19</v>
      </c>
      <c r="C670">
        <v>12</v>
      </c>
      <c r="D670">
        <v>2023</v>
      </c>
      <c r="E670" t="s">
        <v>1059</v>
      </c>
      <c r="F670" t="s">
        <v>1062</v>
      </c>
      <c r="G670" t="s">
        <v>1061</v>
      </c>
      <c r="H670" s="18">
        <v>45279</v>
      </c>
      <c r="I670" t="s">
        <v>1007</v>
      </c>
      <c r="J670" t="s">
        <v>23</v>
      </c>
      <c r="K670" s="46" t="s">
        <v>1030</v>
      </c>
      <c r="L670">
        <v>46</v>
      </c>
      <c r="M670" t="s">
        <v>21</v>
      </c>
      <c r="N670">
        <v>3</v>
      </c>
      <c r="O670">
        <v>30</v>
      </c>
      <c r="P670">
        <v>90</v>
      </c>
      <c r="Q670">
        <v>1.3499999999999999</v>
      </c>
      <c r="R670">
        <v>1.8</v>
      </c>
    </row>
    <row r="671" spans="1:18" x14ac:dyDescent="0.35">
      <c r="A671">
        <v>990</v>
      </c>
      <c r="B671">
        <v>25</v>
      </c>
      <c r="C671">
        <v>5</v>
      </c>
      <c r="D671">
        <v>2023</v>
      </c>
      <c r="E671" t="s">
        <v>1072</v>
      </c>
      <c r="F671" t="s">
        <v>1076</v>
      </c>
      <c r="G671" t="s">
        <v>1061</v>
      </c>
      <c r="H671" s="18">
        <v>45071</v>
      </c>
      <c r="I671" t="s">
        <v>1015</v>
      </c>
      <c r="J671" t="s">
        <v>23</v>
      </c>
      <c r="K671" s="46" t="s">
        <v>1032</v>
      </c>
      <c r="L671">
        <v>58</v>
      </c>
      <c r="M671" t="s">
        <v>21</v>
      </c>
      <c r="N671">
        <v>2</v>
      </c>
      <c r="O671">
        <v>500</v>
      </c>
      <c r="P671">
        <v>1000</v>
      </c>
      <c r="Q671">
        <v>15</v>
      </c>
      <c r="R671">
        <v>20</v>
      </c>
    </row>
    <row r="672" spans="1:18" x14ac:dyDescent="0.35">
      <c r="A672">
        <v>994</v>
      </c>
      <c r="B672">
        <v>18</v>
      </c>
      <c r="C672">
        <v>12</v>
      </c>
      <c r="D672">
        <v>2023</v>
      </c>
      <c r="E672" t="s">
        <v>1067</v>
      </c>
      <c r="F672" t="s">
        <v>1062</v>
      </c>
      <c r="G672" t="s">
        <v>1061</v>
      </c>
      <c r="H672" s="18">
        <v>45278</v>
      </c>
      <c r="I672" t="s">
        <v>1019</v>
      </c>
      <c r="J672" t="s">
        <v>23</v>
      </c>
      <c r="K672" s="46" t="s">
        <v>1032</v>
      </c>
      <c r="L672">
        <v>51</v>
      </c>
      <c r="M672" t="s">
        <v>21</v>
      </c>
      <c r="N672">
        <v>2</v>
      </c>
      <c r="O672">
        <v>500</v>
      </c>
      <c r="P672">
        <v>1000</v>
      </c>
      <c r="Q672">
        <v>15</v>
      </c>
      <c r="R672">
        <v>20</v>
      </c>
    </row>
    <row r="673" spans="1:18" x14ac:dyDescent="0.35">
      <c r="A673">
        <v>997</v>
      </c>
      <c r="B673">
        <v>17</v>
      </c>
      <c r="C673">
        <v>11</v>
      </c>
      <c r="D673">
        <v>2023</v>
      </c>
      <c r="E673" t="s">
        <v>1070</v>
      </c>
      <c r="F673" t="s">
        <v>1068</v>
      </c>
      <c r="G673" t="s">
        <v>1061</v>
      </c>
      <c r="H673" s="18">
        <v>45247</v>
      </c>
      <c r="I673" t="s">
        <v>1022</v>
      </c>
      <c r="J673" t="s">
        <v>20</v>
      </c>
      <c r="K673" s="46" t="s">
        <v>1032</v>
      </c>
      <c r="L673">
        <v>52</v>
      </c>
      <c r="M673" t="s">
        <v>21</v>
      </c>
      <c r="N673">
        <v>3</v>
      </c>
      <c r="O673">
        <v>30</v>
      </c>
      <c r="P673">
        <v>90</v>
      </c>
      <c r="Q673">
        <v>1.3499999999999999</v>
      </c>
      <c r="R673">
        <v>1.8</v>
      </c>
    </row>
    <row r="674" spans="1:18" x14ac:dyDescent="0.35">
      <c r="A674">
        <v>998</v>
      </c>
      <c r="B674">
        <v>29</v>
      </c>
      <c r="C674">
        <v>10</v>
      </c>
      <c r="D674">
        <v>2023</v>
      </c>
      <c r="E674" t="s">
        <v>1063</v>
      </c>
      <c r="F674" t="s">
        <v>1064</v>
      </c>
      <c r="G674" t="s">
        <v>1061</v>
      </c>
      <c r="H674" s="18">
        <v>45228</v>
      </c>
      <c r="I674" t="s">
        <v>1023</v>
      </c>
      <c r="J674" t="s">
        <v>23</v>
      </c>
      <c r="K674" s="46" t="s">
        <v>1034</v>
      </c>
      <c r="L674">
        <v>23</v>
      </c>
      <c r="M674" t="s">
        <v>21</v>
      </c>
      <c r="N674">
        <v>4</v>
      </c>
      <c r="O674">
        <v>25</v>
      </c>
      <c r="P674">
        <v>100</v>
      </c>
      <c r="Q674">
        <v>1.5</v>
      </c>
      <c r="R674">
        <v>2</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2:W1011"/>
  <sheetViews>
    <sheetView topLeftCell="G1" workbookViewId="0">
      <selection activeCell="K13" sqref="K13"/>
    </sheetView>
  </sheetViews>
  <sheetFormatPr defaultColWidth="11.25" defaultRowHeight="15.5" x14ac:dyDescent="0.35"/>
  <cols>
    <col min="1" max="1" width="7.83203125" customWidth="1"/>
    <col min="2" max="2" width="8" customWidth="1"/>
    <col min="3" max="3" width="7.33203125" customWidth="1"/>
    <col min="4" max="4" width="8.83203125" customWidth="1"/>
    <col min="5" max="6" width="14.75" customWidth="1"/>
    <col min="7" max="7" width="11.33203125" customWidth="1"/>
    <col min="8" max="8" width="17" customWidth="1"/>
    <col min="9" max="9" width="17.25" customWidth="1"/>
    <col min="11" max="11" width="17.58203125" customWidth="1"/>
    <col min="12" max="12" width="11.9140625" bestFit="1" customWidth="1"/>
    <col min="13" max="13" width="17.08203125" customWidth="1"/>
    <col min="15" max="15" width="14.08203125" customWidth="1"/>
    <col min="17" max="17" width="20.58203125" style="14" customWidth="1"/>
    <col min="18" max="18" width="17.58203125" customWidth="1"/>
    <col min="19" max="19" width="4.08203125" customWidth="1"/>
    <col min="20" max="20" width="15.25" customWidth="1"/>
    <col min="21" max="21" width="13.75" customWidth="1"/>
  </cols>
  <sheetData>
    <row r="2" spans="1:20" x14ac:dyDescent="0.35">
      <c r="H2" s="34"/>
      <c r="I2" s="34" t="s">
        <v>18</v>
      </c>
      <c r="J2" s="39"/>
      <c r="K2" s="40"/>
      <c r="L2" s="41"/>
      <c r="M2" s="34" t="str">
        <f>V22</f>
        <v>Quantity</v>
      </c>
      <c r="N2" s="34" t="str">
        <f>W22</f>
        <v>Quantity</v>
      </c>
    </row>
    <row r="3" spans="1:20" x14ac:dyDescent="0.35">
      <c r="H3" s="34"/>
      <c r="I3" s="35"/>
      <c r="J3" s="39"/>
      <c r="K3" s="34" t="str">
        <f>T23</f>
        <v>Product Category</v>
      </c>
      <c r="L3" s="34" t="str">
        <f>U23</f>
        <v>Sales</v>
      </c>
      <c r="M3" s="34" t="str">
        <f>V23</f>
        <v>Male</v>
      </c>
      <c r="N3" s="34" t="str">
        <f>W23</f>
        <v>Female</v>
      </c>
    </row>
    <row r="4" spans="1:20" x14ac:dyDescent="0.35">
      <c r="H4" s="34" t="s">
        <v>16</v>
      </c>
      <c r="I4" s="36">
        <v>1.4999999999999999E-2</v>
      </c>
      <c r="J4" s="39"/>
      <c r="K4" s="34" t="str">
        <f>T24</f>
        <v>Beauty</v>
      </c>
      <c r="L4" s="42">
        <f>U24</f>
        <v>143515</v>
      </c>
      <c r="M4" s="35">
        <f>V24</f>
        <v>353</v>
      </c>
      <c r="N4" s="35">
        <f>W24</f>
        <v>418</v>
      </c>
    </row>
    <row r="5" spans="1:20" x14ac:dyDescent="0.35">
      <c r="H5" s="34" t="s">
        <v>17</v>
      </c>
      <c r="I5" s="37">
        <v>0.02</v>
      </c>
      <c r="J5" s="39"/>
      <c r="K5" s="34" t="str">
        <f>T25</f>
        <v>Electronics</v>
      </c>
      <c r="L5" s="42">
        <f ca="1">U25</f>
        <v>156905</v>
      </c>
      <c r="M5" s="35">
        <f>V25</f>
        <v>403</v>
      </c>
      <c r="N5" s="35">
        <f>W25</f>
        <v>439</v>
      </c>
    </row>
    <row r="6" spans="1:20" x14ac:dyDescent="0.35">
      <c r="H6" s="39"/>
      <c r="I6" s="39"/>
      <c r="J6" s="39"/>
      <c r="K6" s="34" t="str">
        <f>T26</f>
        <v>Clothing</v>
      </c>
      <c r="L6" s="42">
        <f>U26</f>
        <v>155580</v>
      </c>
      <c r="M6" s="35">
        <f>V26</f>
        <v>453</v>
      </c>
      <c r="N6" s="35">
        <f>W26</f>
        <v>441</v>
      </c>
    </row>
    <row r="7" spans="1:20" x14ac:dyDescent="0.35">
      <c r="H7" s="39"/>
      <c r="I7" s="39"/>
      <c r="J7" s="39"/>
      <c r="K7" s="34" t="str">
        <f>T27</f>
        <v>All products</v>
      </c>
      <c r="L7" s="42">
        <f ca="1">U27</f>
        <v>456000</v>
      </c>
      <c r="M7" s="35">
        <f>V27</f>
        <v>0</v>
      </c>
      <c r="N7" s="35">
        <f>W27</f>
        <v>0</v>
      </c>
    </row>
    <row r="11" spans="1:20" s="1" customFormat="1" x14ac:dyDescent="0.35">
      <c r="A11" s="33" t="s">
        <v>0</v>
      </c>
      <c r="B11" s="33" t="s">
        <v>1</v>
      </c>
      <c r="C11" s="33" t="s">
        <v>2</v>
      </c>
      <c r="D11" s="33" t="s">
        <v>3</v>
      </c>
      <c r="E11" s="33" t="s">
        <v>4</v>
      </c>
      <c r="F11" s="33" t="s">
        <v>5</v>
      </c>
      <c r="G11" s="33" t="s">
        <v>6</v>
      </c>
      <c r="H11" s="33" t="s">
        <v>7</v>
      </c>
      <c r="I11" s="33" t="s">
        <v>8</v>
      </c>
      <c r="J11" s="33" t="s">
        <v>9</v>
      </c>
      <c r="K11" s="33" t="s">
        <v>1082</v>
      </c>
      <c r="L11" s="33" t="s">
        <v>11</v>
      </c>
      <c r="M11" s="33" t="s">
        <v>12</v>
      </c>
      <c r="N11" s="33" t="s">
        <v>13</v>
      </c>
      <c r="O11" s="33" t="s">
        <v>14</v>
      </c>
      <c r="P11" s="27" t="s">
        <v>15</v>
      </c>
      <c r="Q11" s="38" t="s">
        <v>16</v>
      </c>
      <c r="R11" s="38" t="s">
        <v>17</v>
      </c>
      <c r="S11"/>
    </row>
    <row r="12" spans="1:20" x14ac:dyDescent="0.35">
      <c r="A12" s="29">
        <v>1</v>
      </c>
      <c r="B12" s="30">
        <f t="shared" ref="B12:B75" si="0">DAY(H12)</f>
        <v>24</v>
      </c>
      <c r="C12" s="30">
        <f t="shared" ref="C12:C75" si="1">MONTH(H12)</f>
        <v>11</v>
      </c>
      <c r="D12" s="30">
        <f t="shared" ref="D12:D75" si="2">YEAR(H12)</f>
        <v>2023</v>
      </c>
      <c r="E12" s="30" t="str">
        <f t="shared" ref="E12:E75" si="3">TEXT(H12,"DDDD")</f>
        <v>Friday</v>
      </c>
      <c r="F12" s="30" t="str">
        <f t="shared" ref="F12:F75" si="4">TEXT(H12,"MMMM")</f>
        <v>November</v>
      </c>
      <c r="G12" s="30" t="str">
        <f t="shared" ref="G12:G75" si="5">TEXT(H12,"YYYY")</f>
        <v>2023</v>
      </c>
      <c r="H12" s="31">
        <v>45254</v>
      </c>
      <c r="I12" s="30" t="s">
        <v>19</v>
      </c>
      <c r="J12" s="30" t="s">
        <v>20</v>
      </c>
      <c r="K12" s="30" t="str" cm="1">
        <f t="array" ref="K12">_xlfn.IFS(L12&gt;50,"Senior", L12&gt;=30,"Adult", L12&lt;30,"Young Adult")</f>
        <v>Adult</v>
      </c>
      <c r="L12" s="30">
        <v>34</v>
      </c>
      <c r="M12" s="30" t="s">
        <v>21</v>
      </c>
      <c r="N12" s="30">
        <v>3</v>
      </c>
      <c r="O12" s="32">
        <v>50</v>
      </c>
      <c r="P12">
        <f t="shared" ref="P12:P75" si="6">O12*N12</f>
        <v>150</v>
      </c>
      <c r="Q12" s="14">
        <f>P12*$I$4</f>
        <v>2.25</v>
      </c>
      <c r="R12" s="14">
        <f>P12*$I$5</f>
        <v>3</v>
      </c>
    </row>
    <row r="13" spans="1:20" x14ac:dyDescent="0.35">
      <c r="A13" s="2">
        <v>2</v>
      </c>
      <c r="B13" s="4">
        <f t="shared" si="0"/>
        <v>27</v>
      </c>
      <c r="C13" s="4">
        <f t="shared" si="1"/>
        <v>2</v>
      </c>
      <c r="D13" s="4">
        <f t="shared" si="2"/>
        <v>2023</v>
      </c>
      <c r="E13" s="4" t="str">
        <f t="shared" si="3"/>
        <v>Monday</v>
      </c>
      <c r="F13" s="4" t="str">
        <f t="shared" si="4"/>
        <v>February</v>
      </c>
      <c r="G13" s="4" t="str">
        <f t="shared" si="5"/>
        <v>2023</v>
      </c>
      <c r="H13" s="3">
        <v>44984</v>
      </c>
      <c r="I13" s="4" t="s">
        <v>22</v>
      </c>
      <c r="J13" s="4" t="s">
        <v>23</v>
      </c>
      <c r="K13" s="4" t="str" cm="1">
        <f t="array" ref="K13">_xlfn.IFS(L13&gt;50,"Senior", L13&gt;=30,"Adult", L13&lt;30,"Young Adult")</f>
        <v>Young Adult</v>
      </c>
      <c r="L13" s="4">
        <v>26</v>
      </c>
      <c r="M13" s="4" t="s">
        <v>24</v>
      </c>
      <c r="N13" s="4">
        <v>2</v>
      </c>
      <c r="O13" s="5">
        <v>500</v>
      </c>
      <c r="P13">
        <f t="shared" si="6"/>
        <v>1000</v>
      </c>
      <c r="Q13" s="14">
        <f>P13*$I$4</f>
        <v>15</v>
      </c>
      <c r="R13" s="14">
        <f>P13*$I$5</f>
        <v>20</v>
      </c>
      <c r="T13" s="13"/>
    </row>
    <row r="14" spans="1:20" x14ac:dyDescent="0.35">
      <c r="A14" s="2">
        <v>3</v>
      </c>
      <c r="B14" s="4">
        <f t="shared" si="0"/>
        <v>13</v>
      </c>
      <c r="C14" s="4">
        <f t="shared" si="1"/>
        <v>1</v>
      </c>
      <c r="D14" s="4">
        <f t="shared" si="2"/>
        <v>2023</v>
      </c>
      <c r="E14" s="4" t="str">
        <f t="shared" si="3"/>
        <v>Friday</v>
      </c>
      <c r="F14" s="4" t="str">
        <f t="shared" si="4"/>
        <v>January</v>
      </c>
      <c r="G14" s="4" t="str">
        <f t="shared" si="5"/>
        <v>2023</v>
      </c>
      <c r="H14" s="3">
        <v>44939</v>
      </c>
      <c r="I14" s="4" t="s">
        <v>25</v>
      </c>
      <c r="J14" s="4" t="s">
        <v>20</v>
      </c>
      <c r="K14" s="4" t="str" cm="1">
        <f t="array" ref="K14">_xlfn.IFS(L14&gt;50,"Senior", L14&gt;=30,"Adult", L14&lt;30,"Young Adult")</f>
        <v>Adult</v>
      </c>
      <c r="L14" s="4">
        <v>50</v>
      </c>
      <c r="M14" s="4" t="s">
        <v>26</v>
      </c>
      <c r="N14" s="4">
        <v>1</v>
      </c>
      <c r="O14" s="5">
        <v>30</v>
      </c>
      <c r="P14">
        <f t="shared" si="6"/>
        <v>30</v>
      </c>
      <c r="Q14" s="14">
        <f t="shared" ref="Q13:Q76" si="7">P14*$I$4</f>
        <v>0.44999999999999996</v>
      </c>
      <c r="R14" s="14">
        <f t="shared" ref="R13:R76" si="8">P14*$I$5</f>
        <v>0.6</v>
      </c>
      <c r="T14" s="12"/>
    </row>
    <row r="15" spans="1:20" x14ac:dyDescent="0.35">
      <c r="A15" s="2">
        <v>4</v>
      </c>
      <c r="B15" s="4">
        <f t="shared" si="0"/>
        <v>21</v>
      </c>
      <c r="C15" s="4">
        <f t="shared" si="1"/>
        <v>5</v>
      </c>
      <c r="D15" s="4">
        <f t="shared" si="2"/>
        <v>2023</v>
      </c>
      <c r="E15" s="4" t="str">
        <f t="shared" si="3"/>
        <v>Sunday</v>
      </c>
      <c r="F15" s="4" t="str">
        <f t="shared" si="4"/>
        <v>May</v>
      </c>
      <c r="G15" s="4" t="str">
        <f t="shared" si="5"/>
        <v>2023</v>
      </c>
      <c r="H15" s="3">
        <v>45067</v>
      </c>
      <c r="I15" s="4" t="s">
        <v>27</v>
      </c>
      <c r="J15" s="4" t="s">
        <v>20</v>
      </c>
      <c r="K15" s="4" t="str" cm="1">
        <f t="array" ref="K15">_xlfn.IFS(L15&gt;50,"Senior", L15&gt;=30,"Adult", L15&lt;30,"Young Adult")</f>
        <v>Adult</v>
      </c>
      <c r="L15" s="4">
        <v>37</v>
      </c>
      <c r="M15" s="4" t="s">
        <v>24</v>
      </c>
      <c r="N15" s="4">
        <v>1</v>
      </c>
      <c r="O15" s="5">
        <v>500</v>
      </c>
      <c r="P15">
        <f t="shared" si="6"/>
        <v>500</v>
      </c>
      <c r="Q15" s="14">
        <f t="shared" si="7"/>
        <v>7.5</v>
      </c>
      <c r="R15" s="14">
        <f t="shared" si="8"/>
        <v>10</v>
      </c>
    </row>
    <row r="16" spans="1:20" x14ac:dyDescent="0.35">
      <c r="A16" s="2">
        <v>5</v>
      </c>
      <c r="B16" s="4">
        <f t="shared" si="0"/>
        <v>6</v>
      </c>
      <c r="C16" s="4">
        <f t="shared" si="1"/>
        <v>5</v>
      </c>
      <c r="D16" s="4">
        <f t="shared" si="2"/>
        <v>2023</v>
      </c>
      <c r="E16" s="4" t="str">
        <f t="shared" si="3"/>
        <v>Saturday</v>
      </c>
      <c r="F16" s="4" t="str">
        <f t="shared" si="4"/>
        <v>May</v>
      </c>
      <c r="G16" s="4" t="str">
        <f t="shared" si="5"/>
        <v>2023</v>
      </c>
      <c r="H16" s="3">
        <v>45052</v>
      </c>
      <c r="I16" s="4" t="s">
        <v>28</v>
      </c>
      <c r="J16" s="4" t="s">
        <v>20</v>
      </c>
      <c r="K16" s="4" t="str" cm="1">
        <f t="array" ref="K16">_xlfn.IFS(L16&gt;50,"Senior", L16&gt;=30,"Adult", L16&lt;30,"Young Adult")</f>
        <v>Adult</v>
      </c>
      <c r="L16" s="4">
        <v>30</v>
      </c>
      <c r="M16" s="4" t="s">
        <v>21</v>
      </c>
      <c r="N16" s="4">
        <v>2</v>
      </c>
      <c r="O16" s="5">
        <v>50</v>
      </c>
      <c r="P16">
        <f t="shared" si="6"/>
        <v>100</v>
      </c>
      <c r="Q16" s="14">
        <f t="shared" si="7"/>
        <v>1.5</v>
      </c>
      <c r="R16" s="14">
        <f t="shared" si="8"/>
        <v>2</v>
      </c>
    </row>
    <row r="17" spans="1:23" x14ac:dyDescent="0.35">
      <c r="A17" s="2">
        <v>6</v>
      </c>
      <c r="B17" s="4">
        <f t="shared" si="0"/>
        <v>25</v>
      </c>
      <c r="C17" s="4">
        <f t="shared" si="1"/>
        <v>4</v>
      </c>
      <c r="D17" s="4">
        <f t="shared" si="2"/>
        <v>2023</v>
      </c>
      <c r="E17" s="4" t="str">
        <f t="shared" si="3"/>
        <v>Tuesday</v>
      </c>
      <c r="F17" s="4" t="str">
        <f t="shared" si="4"/>
        <v>April</v>
      </c>
      <c r="G17" s="4" t="str">
        <f t="shared" si="5"/>
        <v>2023</v>
      </c>
      <c r="H17" s="3">
        <v>45041</v>
      </c>
      <c r="I17" s="4" t="s">
        <v>29</v>
      </c>
      <c r="J17" s="4" t="s">
        <v>23</v>
      </c>
      <c r="K17" s="4" t="str" cm="1">
        <f t="array" ref="K17">_xlfn.IFS(L17&gt;50,"Senior", L17&gt;=30,"Adult", L17&lt;30,"Young Adult")</f>
        <v>Adult</v>
      </c>
      <c r="L17" s="4">
        <v>45</v>
      </c>
      <c r="M17" s="4" t="s">
        <v>21</v>
      </c>
      <c r="N17" s="4">
        <v>1</v>
      </c>
      <c r="O17" s="5">
        <v>30</v>
      </c>
      <c r="P17">
        <f t="shared" si="6"/>
        <v>30</v>
      </c>
      <c r="Q17" s="14">
        <f t="shared" si="7"/>
        <v>0.44999999999999996</v>
      </c>
      <c r="R17" s="14">
        <f t="shared" si="8"/>
        <v>0.6</v>
      </c>
    </row>
    <row r="18" spans="1:23" x14ac:dyDescent="0.35">
      <c r="A18" s="2">
        <v>7</v>
      </c>
      <c r="B18" s="4">
        <f t="shared" si="0"/>
        <v>13</v>
      </c>
      <c r="C18" s="4">
        <f t="shared" si="1"/>
        <v>3</v>
      </c>
      <c r="D18" s="4">
        <f t="shared" si="2"/>
        <v>2023</v>
      </c>
      <c r="E18" s="4" t="str">
        <f t="shared" si="3"/>
        <v>Monday</v>
      </c>
      <c r="F18" s="4" t="str">
        <f t="shared" si="4"/>
        <v>March</v>
      </c>
      <c r="G18" s="4" t="str">
        <f t="shared" si="5"/>
        <v>2023</v>
      </c>
      <c r="H18" s="3">
        <v>44998</v>
      </c>
      <c r="I18" s="4" t="s">
        <v>30</v>
      </c>
      <c r="J18" s="4" t="s">
        <v>20</v>
      </c>
      <c r="K18" s="4" t="str" cm="1">
        <f t="array" ref="K18">_xlfn.IFS(L18&gt;50,"Senior", L18&gt;=30,"Adult", L18&lt;30,"Young Adult")</f>
        <v>Adult</v>
      </c>
      <c r="L18" s="4">
        <v>46</v>
      </c>
      <c r="M18" s="4" t="s">
        <v>24</v>
      </c>
      <c r="N18" s="4">
        <v>2</v>
      </c>
      <c r="O18" s="5">
        <v>25</v>
      </c>
      <c r="P18">
        <f t="shared" si="6"/>
        <v>50</v>
      </c>
      <c r="Q18" s="14">
        <f t="shared" si="7"/>
        <v>0.75</v>
      </c>
      <c r="R18" s="14">
        <f t="shared" si="8"/>
        <v>1</v>
      </c>
    </row>
    <row r="19" spans="1:23" x14ac:dyDescent="0.35">
      <c r="A19" s="2">
        <v>8</v>
      </c>
      <c r="B19" s="4">
        <f t="shared" si="0"/>
        <v>22</v>
      </c>
      <c r="C19" s="4">
        <f t="shared" si="1"/>
        <v>2</v>
      </c>
      <c r="D19" s="4">
        <f t="shared" si="2"/>
        <v>2023</v>
      </c>
      <c r="E19" s="4" t="str">
        <f t="shared" si="3"/>
        <v>Wednesday</v>
      </c>
      <c r="F19" s="4" t="str">
        <f t="shared" si="4"/>
        <v>February</v>
      </c>
      <c r="G19" s="4" t="str">
        <f t="shared" si="5"/>
        <v>2023</v>
      </c>
      <c r="H19" s="3">
        <v>44979</v>
      </c>
      <c r="I19" s="4" t="s">
        <v>31</v>
      </c>
      <c r="J19" s="4" t="s">
        <v>20</v>
      </c>
      <c r="K19" s="4" t="str" cm="1">
        <f t="array" ref="K19">_xlfn.IFS(L19&gt;50,"Senior", L19&gt;=30,"Adult", L19&lt;30,"Young Adult")</f>
        <v>Adult</v>
      </c>
      <c r="L19" s="4">
        <v>30</v>
      </c>
      <c r="M19" s="4" t="s">
        <v>26</v>
      </c>
      <c r="N19" s="4">
        <v>4</v>
      </c>
      <c r="O19" s="5">
        <v>25</v>
      </c>
      <c r="P19">
        <f t="shared" si="6"/>
        <v>100</v>
      </c>
      <c r="Q19" s="14">
        <f t="shared" si="7"/>
        <v>1.5</v>
      </c>
      <c r="R19" s="14">
        <f t="shared" si="8"/>
        <v>2</v>
      </c>
    </row>
    <row r="20" spans="1:23" x14ac:dyDescent="0.35">
      <c r="A20" s="2">
        <v>9</v>
      </c>
      <c r="B20" s="4">
        <f t="shared" si="0"/>
        <v>13</v>
      </c>
      <c r="C20" s="4">
        <f t="shared" si="1"/>
        <v>12</v>
      </c>
      <c r="D20" s="4">
        <f t="shared" si="2"/>
        <v>2023</v>
      </c>
      <c r="E20" s="4" t="str">
        <f t="shared" si="3"/>
        <v>Wednesday</v>
      </c>
      <c r="F20" s="4" t="str">
        <f t="shared" si="4"/>
        <v>December</v>
      </c>
      <c r="G20" s="4" t="str">
        <f t="shared" si="5"/>
        <v>2023</v>
      </c>
      <c r="H20" s="3">
        <v>45273</v>
      </c>
      <c r="I20" s="4" t="s">
        <v>32</v>
      </c>
      <c r="J20" s="4" t="s">
        <v>20</v>
      </c>
      <c r="K20" s="4" t="str" cm="1">
        <f t="array" ref="K20">_xlfn.IFS(L20&gt;50,"Senior", L20&gt;=30,"Adult", L20&lt;30,"Young Adult")</f>
        <v>Senior</v>
      </c>
      <c r="L20" s="4">
        <v>63</v>
      </c>
      <c r="M20" s="4" t="s">
        <v>26</v>
      </c>
      <c r="N20" s="4">
        <v>2</v>
      </c>
      <c r="O20" s="5">
        <v>300</v>
      </c>
      <c r="P20">
        <f t="shared" si="6"/>
        <v>600</v>
      </c>
      <c r="Q20" s="14">
        <f t="shared" si="7"/>
        <v>9</v>
      </c>
      <c r="R20" s="14">
        <f t="shared" si="8"/>
        <v>12</v>
      </c>
      <c r="T20" s="14"/>
    </row>
    <row r="21" spans="1:23" x14ac:dyDescent="0.35">
      <c r="A21" s="2">
        <v>10</v>
      </c>
      <c r="B21" s="4">
        <f t="shared" si="0"/>
        <v>7</v>
      </c>
      <c r="C21" s="4">
        <f t="shared" si="1"/>
        <v>10</v>
      </c>
      <c r="D21" s="4">
        <f t="shared" si="2"/>
        <v>2023</v>
      </c>
      <c r="E21" s="4" t="str">
        <f t="shared" si="3"/>
        <v>Saturday</v>
      </c>
      <c r="F21" s="4" t="str">
        <f t="shared" si="4"/>
        <v>October</v>
      </c>
      <c r="G21" s="4" t="str">
        <f t="shared" si="5"/>
        <v>2023</v>
      </c>
      <c r="H21" s="3">
        <v>45206</v>
      </c>
      <c r="I21" s="4" t="s">
        <v>33</v>
      </c>
      <c r="J21" s="4" t="s">
        <v>23</v>
      </c>
      <c r="K21" s="4" t="str" cm="1">
        <f t="array" ref="K21">_xlfn.IFS(L21&gt;50,"Senior", L21&gt;=30,"Adult", L21&lt;30,"Young Adult")</f>
        <v>Senior</v>
      </c>
      <c r="L21" s="4">
        <v>52</v>
      </c>
      <c r="M21" s="4" t="s">
        <v>24</v>
      </c>
      <c r="N21" s="4">
        <v>4</v>
      </c>
      <c r="O21" s="5">
        <v>50</v>
      </c>
      <c r="P21">
        <f t="shared" si="6"/>
        <v>200</v>
      </c>
      <c r="Q21" s="14">
        <f t="shared" si="7"/>
        <v>3</v>
      </c>
      <c r="R21" s="14">
        <f t="shared" si="8"/>
        <v>4</v>
      </c>
    </row>
    <row r="22" spans="1:23" x14ac:dyDescent="0.35">
      <c r="A22" s="2">
        <v>11</v>
      </c>
      <c r="B22" s="4">
        <f t="shared" si="0"/>
        <v>14</v>
      </c>
      <c r="C22" s="4">
        <f t="shared" si="1"/>
        <v>2</v>
      </c>
      <c r="D22" s="4">
        <f t="shared" si="2"/>
        <v>2023</v>
      </c>
      <c r="E22" s="4" t="str">
        <f t="shared" si="3"/>
        <v>Tuesday</v>
      </c>
      <c r="F22" s="4" t="str">
        <f t="shared" si="4"/>
        <v>February</v>
      </c>
      <c r="G22" s="4" t="str">
        <f t="shared" si="5"/>
        <v>2023</v>
      </c>
      <c r="H22" s="3">
        <v>44971</v>
      </c>
      <c r="I22" s="4" t="s">
        <v>34</v>
      </c>
      <c r="J22" s="4" t="s">
        <v>20</v>
      </c>
      <c r="K22" s="4" t="str" cm="1">
        <f t="array" ref="K22">_xlfn.IFS(L22&gt;50,"Senior", L22&gt;=30,"Adult", L22&lt;30,"Young Adult")</f>
        <v>Young Adult</v>
      </c>
      <c r="L22" s="4">
        <v>23</v>
      </c>
      <c r="M22" s="4" t="s">
        <v>24</v>
      </c>
      <c r="N22" s="4">
        <v>2</v>
      </c>
      <c r="O22" s="5">
        <v>50</v>
      </c>
      <c r="P22">
        <f t="shared" si="6"/>
        <v>100</v>
      </c>
      <c r="Q22" s="14">
        <f t="shared" si="7"/>
        <v>1.5</v>
      </c>
      <c r="R22" s="14">
        <f t="shared" si="8"/>
        <v>2</v>
      </c>
      <c r="T22" s="1"/>
      <c r="U22" s="1"/>
      <c r="V22" s="1" t="s">
        <v>13</v>
      </c>
      <c r="W22" s="1" t="s">
        <v>13</v>
      </c>
    </row>
    <row r="23" spans="1:23" x14ac:dyDescent="0.35">
      <c r="A23" s="2">
        <v>12</v>
      </c>
      <c r="B23" s="4">
        <f t="shared" si="0"/>
        <v>30</v>
      </c>
      <c r="C23" s="4">
        <f t="shared" si="1"/>
        <v>10</v>
      </c>
      <c r="D23" s="4">
        <f t="shared" si="2"/>
        <v>2023</v>
      </c>
      <c r="E23" s="4" t="str">
        <f t="shared" si="3"/>
        <v>Monday</v>
      </c>
      <c r="F23" s="4" t="str">
        <f t="shared" si="4"/>
        <v>October</v>
      </c>
      <c r="G23" s="4" t="str">
        <f t="shared" si="5"/>
        <v>2023</v>
      </c>
      <c r="H23" s="3">
        <v>45229</v>
      </c>
      <c r="I23" s="4" t="s">
        <v>35</v>
      </c>
      <c r="J23" s="4" t="s">
        <v>20</v>
      </c>
      <c r="K23" s="4" t="str" cm="1">
        <f t="array" ref="K23">_xlfn.IFS(L23&gt;50,"Senior", L23&gt;=30,"Adult", L23&lt;30,"Young Adult")</f>
        <v>Adult</v>
      </c>
      <c r="L23" s="4">
        <v>35</v>
      </c>
      <c r="M23" s="4" t="s">
        <v>21</v>
      </c>
      <c r="N23" s="4">
        <v>3</v>
      </c>
      <c r="O23" s="5">
        <v>25</v>
      </c>
      <c r="P23">
        <f t="shared" si="6"/>
        <v>75</v>
      </c>
      <c r="Q23" s="14">
        <f t="shared" si="7"/>
        <v>1.125</v>
      </c>
      <c r="R23" s="14">
        <f t="shared" si="8"/>
        <v>1.5</v>
      </c>
      <c r="T23" s="24" t="s">
        <v>12</v>
      </c>
      <c r="U23" s="19" t="s">
        <v>36</v>
      </c>
      <c r="V23" s="19" t="s">
        <v>20</v>
      </c>
      <c r="W23" s="19" t="s">
        <v>23</v>
      </c>
    </row>
    <row r="24" spans="1:23" x14ac:dyDescent="0.35">
      <c r="A24" s="2">
        <v>13</v>
      </c>
      <c r="B24" s="4">
        <f t="shared" si="0"/>
        <v>5</v>
      </c>
      <c r="C24" s="4">
        <f t="shared" si="1"/>
        <v>8</v>
      </c>
      <c r="D24" s="4">
        <f t="shared" si="2"/>
        <v>2023</v>
      </c>
      <c r="E24" s="4" t="str">
        <f t="shared" si="3"/>
        <v>Saturday</v>
      </c>
      <c r="F24" s="4" t="str">
        <f t="shared" si="4"/>
        <v>August</v>
      </c>
      <c r="G24" s="4" t="str">
        <f t="shared" si="5"/>
        <v>2023</v>
      </c>
      <c r="H24" s="3">
        <v>45143</v>
      </c>
      <c r="I24" s="4" t="s">
        <v>37</v>
      </c>
      <c r="J24" s="4" t="s">
        <v>20</v>
      </c>
      <c r="K24" s="4" t="str" cm="1">
        <f t="array" ref="K24">_xlfn.IFS(L24&gt;50,"Senior", L24&gt;=30,"Adult", L24&lt;30,"Young Adult")</f>
        <v>Young Adult</v>
      </c>
      <c r="L24" s="4">
        <v>22</v>
      </c>
      <c r="M24" s="4" t="s">
        <v>26</v>
      </c>
      <c r="N24" s="4">
        <v>3</v>
      </c>
      <c r="O24" s="5">
        <v>500</v>
      </c>
      <c r="P24">
        <f t="shared" si="6"/>
        <v>1500</v>
      </c>
      <c r="Q24" s="14">
        <f t="shared" si="7"/>
        <v>22.5</v>
      </c>
      <c r="R24" s="14">
        <f t="shared" si="8"/>
        <v>30</v>
      </c>
      <c r="T24" s="20" t="s">
        <v>21</v>
      </c>
      <c r="U24" s="25">
        <f>SUMIF(M11:M1010, "beauty",P11:P1020)</f>
        <v>143515</v>
      </c>
      <c r="V24" s="20">
        <f>SUMIFS(N12:N1011, J12:J1011, "Male",M12:M1011, "Beauty")</f>
        <v>353</v>
      </c>
      <c r="W24" s="20">
        <f>SUMIFS(N12:N1011, J12:J1011,"Female",M12:M1011,"Beauty")</f>
        <v>418</v>
      </c>
    </row>
    <row r="25" spans="1:23" x14ac:dyDescent="0.35">
      <c r="A25" s="2">
        <v>14</v>
      </c>
      <c r="B25" s="4">
        <f t="shared" si="0"/>
        <v>17</v>
      </c>
      <c r="C25" s="4">
        <f t="shared" si="1"/>
        <v>1</v>
      </c>
      <c r="D25" s="4">
        <f t="shared" si="2"/>
        <v>2023</v>
      </c>
      <c r="E25" s="4" t="str">
        <f t="shared" si="3"/>
        <v>Tuesday</v>
      </c>
      <c r="F25" s="4" t="str">
        <f t="shared" si="4"/>
        <v>January</v>
      </c>
      <c r="G25" s="4" t="str">
        <f t="shared" si="5"/>
        <v>2023</v>
      </c>
      <c r="H25" s="3">
        <v>44943</v>
      </c>
      <c r="I25" s="4" t="s">
        <v>38</v>
      </c>
      <c r="J25" s="4" t="s">
        <v>20</v>
      </c>
      <c r="K25" s="4" t="str" cm="1">
        <f t="array" ref="K25">_xlfn.IFS(L25&gt;50,"Senior", L25&gt;=30,"Adult", L25&lt;30,"Young Adult")</f>
        <v>Senior</v>
      </c>
      <c r="L25" s="4">
        <v>64</v>
      </c>
      <c r="M25" s="4" t="s">
        <v>24</v>
      </c>
      <c r="N25" s="4">
        <v>4</v>
      </c>
      <c r="O25" s="5">
        <v>30</v>
      </c>
      <c r="P25">
        <f t="shared" si="6"/>
        <v>120</v>
      </c>
      <c r="Q25" s="14">
        <f t="shared" si="7"/>
        <v>1.7999999999999998</v>
      </c>
      <c r="R25" s="14">
        <f t="shared" si="8"/>
        <v>2.4</v>
      </c>
      <c r="T25" s="20" t="s">
        <v>26</v>
      </c>
      <c r="U25" s="25">
        <f ca="1">SUMIF(M11:M1021, "electronics",P11:P1020)</f>
        <v>156905</v>
      </c>
      <c r="V25" s="20">
        <f>SUMIFS(N24:N1011, J24:J1011, "Male",M24:M1011, "Electronics")</f>
        <v>403</v>
      </c>
      <c r="W25" s="20">
        <f>SUMIFS(N24:N1011, J24:J1011,"Female",M24:M1011,"Electronics")</f>
        <v>439</v>
      </c>
    </row>
    <row r="26" spans="1:23" x14ac:dyDescent="0.35">
      <c r="A26" s="2">
        <v>15</v>
      </c>
      <c r="B26" s="4">
        <f t="shared" si="0"/>
        <v>16</v>
      </c>
      <c r="C26" s="4">
        <f t="shared" si="1"/>
        <v>1</v>
      </c>
      <c r="D26" s="4">
        <f t="shared" si="2"/>
        <v>2023</v>
      </c>
      <c r="E26" s="4" t="str">
        <f t="shared" si="3"/>
        <v>Monday</v>
      </c>
      <c r="F26" s="4" t="str">
        <f t="shared" si="4"/>
        <v>January</v>
      </c>
      <c r="G26" s="4" t="str">
        <f t="shared" si="5"/>
        <v>2023</v>
      </c>
      <c r="H26" s="3">
        <v>44942</v>
      </c>
      <c r="I26" s="4" t="s">
        <v>39</v>
      </c>
      <c r="J26" s="4" t="s">
        <v>23</v>
      </c>
      <c r="K26" s="4" t="str" cm="1">
        <f t="array" ref="K26">_xlfn.IFS(L26&gt;50,"Senior", L26&gt;=30,"Adult", L26&lt;30,"Young Adult")</f>
        <v>Adult</v>
      </c>
      <c r="L26" s="4">
        <v>42</v>
      </c>
      <c r="M26" s="4" t="s">
        <v>26</v>
      </c>
      <c r="N26" s="4">
        <v>4</v>
      </c>
      <c r="O26" s="5">
        <v>500</v>
      </c>
      <c r="P26">
        <f t="shared" si="6"/>
        <v>2000</v>
      </c>
      <c r="Q26" s="14">
        <f t="shared" si="7"/>
        <v>30</v>
      </c>
      <c r="R26" s="14">
        <f t="shared" si="8"/>
        <v>40</v>
      </c>
      <c r="T26" s="20" t="s">
        <v>24</v>
      </c>
      <c r="U26" s="25">
        <f>SUMIF(M12:M1011, "clothing",P12:P1011)</f>
        <v>155580</v>
      </c>
      <c r="V26" s="20">
        <f>SUMIFS(N12:N1011, J12:J1011, "Male",M12:M1011, "Clothing")</f>
        <v>453</v>
      </c>
      <c r="W26" s="20">
        <f>SUMIFS(N12:N1011, J12:J1011,"Female",M12:M1011,"Clothing")</f>
        <v>441</v>
      </c>
    </row>
    <row r="27" spans="1:23" x14ac:dyDescent="0.35">
      <c r="A27" s="2">
        <v>16</v>
      </c>
      <c r="B27" s="4">
        <f t="shared" si="0"/>
        <v>17</v>
      </c>
      <c r="C27" s="4">
        <f t="shared" si="1"/>
        <v>2</v>
      </c>
      <c r="D27" s="4">
        <f t="shared" si="2"/>
        <v>2023</v>
      </c>
      <c r="E27" s="4" t="str">
        <f t="shared" si="3"/>
        <v>Friday</v>
      </c>
      <c r="F27" s="4" t="str">
        <f t="shared" si="4"/>
        <v>February</v>
      </c>
      <c r="G27" s="4" t="str">
        <f t="shared" si="5"/>
        <v>2023</v>
      </c>
      <c r="H27" s="3">
        <v>44974</v>
      </c>
      <c r="I27" s="4" t="s">
        <v>40</v>
      </c>
      <c r="J27" s="4" t="s">
        <v>20</v>
      </c>
      <c r="K27" s="4" t="str" cm="1">
        <f t="array" ref="K27">_xlfn.IFS(L27&gt;50,"Senior", L27&gt;=30,"Adult", L27&lt;30,"Young Adult")</f>
        <v>Young Adult</v>
      </c>
      <c r="L27" s="4">
        <v>19</v>
      </c>
      <c r="M27" s="4" t="s">
        <v>24</v>
      </c>
      <c r="N27" s="4">
        <v>3</v>
      </c>
      <c r="O27" s="5">
        <v>500</v>
      </c>
      <c r="P27">
        <f t="shared" si="6"/>
        <v>1500</v>
      </c>
      <c r="Q27" s="14">
        <f t="shared" si="7"/>
        <v>22.5</v>
      </c>
      <c r="R27" s="14">
        <f t="shared" si="8"/>
        <v>30</v>
      </c>
      <c r="T27" s="20" t="s">
        <v>41</v>
      </c>
      <c r="U27" s="25">
        <f ca="1">SUM(U24:U26)</f>
        <v>456000</v>
      </c>
      <c r="V27" s="20"/>
      <c r="W27" s="20"/>
    </row>
    <row r="28" spans="1:23" x14ac:dyDescent="0.35">
      <c r="A28" s="2">
        <v>17</v>
      </c>
      <c r="B28" s="4">
        <f t="shared" si="0"/>
        <v>22</v>
      </c>
      <c r="C28" s="4">
        <f t="shared" si="1"/>
        <v>4</v>
      </c>
      <c r="D28" s="4">
        <f t="shared" si="2"/>
        <v>2023</v>
      </c>
      <c r="E28" s="4" t="str">
        <f t="shared" si="3"/>
        <v>Saturday</v>
      </c>
      <c r="F28" s="4" t="str">
        <f t="shared" si="4"/>
        <v>April</v>
      </c>
      <c r="G28" s="4" t="str">
        <f t="shared" si="5"/>
        <v>2023</v>
      </c>
      <c r="H28" s="3">
        <v>45038</v>
      </c>
      <c r="I28" s="4" t="s">
        <v>42</v>
      </c>
      <c r="J28" s="4" t="s">
        <v>23</v>
      </c>
      <c r="K28" s="4" t="str" cm="1">
        <f t="array" ref="K28">_xlfn.IFS(L28&gt;50,"Senior", L28&gt;=30,"Adult", L28&lt;30,"Young Adult")</f>
        <v>Young Adult</v>
      </c>
      <c r="L28" s="4">
        <v>27</v>
      </c>
      <c r="M28" s="4" t="s">
        <v>24</v>
      </c>
      <c r="N28" s="4">
        <v>4</v>
      </c>
      <c r="O28" s="5">
        <v>25</v>
      </c>
      <c r="P28">
        <f t="shared" si="6"/>
        <v>100</v>
      </c>
      <c r="Q28" s="14">
        <f t="shared" si="7"/>
        <v>1.5</v>
      </c>
      <c r="R28" s="14">
        <f t="shared" si="8"/>
        <v>2</v>
      </c>
    </row>
    <row r="29" spans="1:23" x14ac:dyDescent="0.35">
      <c r="A29" s="2">
        <v>18</v>
      </c>
      <c r="B29" s="4">
        <f t="shared" si="0"/>
        <v>30</v>
      </c>
      <c r="C29" s="4">
        <f t="shared" si="1"/>
        <v>4</v>
      </c>
      <c r="D29" s="4">
        <f t="shared" si="2"/>
        <v>2023</v>
      </c>
      <c r="E29" s="4" t="str">
        <f t="shared" si="3"/>
        <v>Sunday</v>
      </c>
      <c r="F29" s="4" t="str">
        <f t="shared" si="4"/>
        <v>April</v>
      </c>
      <c r="G29" s="4" t="str">
        <f t="shared" si="5"/>
        <v>2023</v>
      </c>
      <c r="H29" s="3">
        <v>45046</v>
      </c>
      <c r="I29" s="4" t="s">
        <v>43</v>
      </c>
      <c r="J29" s="4" t="s">
        <v>23</v>
      </c>
      <c r="K29" s="4" t="str" cm="1">
        <f t="array" ref="K29">_xlfn.IFS(L29&gt;50,"Senior", L29&gt;=30,"Adult", L29&lt;30,"Young Adult")</f>
        <v>Adult</v>
      </c>
      <c r="L29" s="4">
        <v>47</v>
      </c>
      <c r="M29" s="4" t="s">
        <v>26</v>
      </c>
      <c r="N29" s="4">
        <v>2</v>
      </c>
      <c r="O29" s="5">
        <v>25</v>
      </c>
      <c r="P29">
        <f t="shared" si="6"/>
        <v>50</v>
      </c>
      <c r="Q29" s="14">
        <f t="shared" si="7"/>
        <v>0.75</v>
      </c>
      <c r="R29" s="14">
        <f t="shared" si="8"/>
        <v>1</v>
      </c>
    </row>
    <row r="30" spans="1:23" x14ac:dyDescent="0.35">
      <c r="A30" s="2">
        <v>19</v>
      </c>
      <c r="B30" s="4">
        <f t="shared" si="0"/>
        <v>16</v>
      </c>
      <c r="C30" s="4">
        <f t="shared" si="1"/>
        <v>9</v>
      </c>
      <c r="D30" s="4">
        <f t="shared" si="2"/>
        <v>2023</v>
      </c>
      <c r="E30" s="4" t="str">
        <f t="shared" si="3"/>
        <v>Saturday</v>
      </c>
      <c r="F30" s="4" t="str">
        <f t="shared" si="4"/>
        <v>September</v>
      </c>
      <c r="G30" s="4" t="str">
        <f t="shared" si="5"/>
        <v>2023</v>
      </c>
      <c r="H30" s="3">
        <v>45185</v>
      </c>
      <c r="I30" s="4" t="s">
        <v>44</v>
      </c>
      <c r="J30" s="4" t="s">
        <v>23</v>
      </c>
      <c r="K30" s="4" t="str" cm="1">
        <f t="array" ref="K30">_xlfn.IFS(L30&gt;50,"Senior", L30&gt;=30,"Adult", L30&lt;30,"Young Adult")</f>
        <v>Senior</v>
      </c>
      <c r="L30" s="4">
        <v>62</v>
      </c>
      <c r="M30" s="4" t="s">
        <v>24</v>
      </c>
      <c r="N30" s="4">
        <v>2</v>
      </c>
      <c r="O30" s="5">
        <v>25</v>
      </c>
      <c r="P30">
        <f t="shared" si="6"/>
        <v>50</v>
      </c>
      <c r="Q30" s="14">
        <f t="shared" si="7"/>
        <v>0.75</v>
      </c>
      <c r="R30" s="14">
        <f t="shared" si="8"/>
        <v>1</v>
      </c>
    </row>
    <row r="31" spans="1:23" x14ac:dyDescent="0.35">
      <c r="A31" s="2">
        <v>20</v>
      </c>
      <c r="B31" s="4">
        <f t="shared" si="0"/>
        <v>5</v>
      </c>
      <c r="C31" s="4">
        <f t="shared" si="1"/>
        <v>11</v>
      </c>
      <c r="D31" s="4">
        <f t="shared" si="2"/>
        <v>2023</v>
      </c>
      <c r="E31" s="4" t="str">
        <f t="shared" si="3"/>
        <v>Sunday</v>
      </c>
      <c r="F31" s="4" t="str">
        <f t="shared" si="4"/>
        <v>November</v>
      </c>
      <c r="G31" s="4" t="str">
        <f t="shared" si="5"/>
        <v>2023</v>
      </c>
      <c r="H31" s="3">
        <v>45235</v>
      </c>
      <c r="I31" s="4" t="s">
        <v>45</v>
      </c>
      <c r="J31" s="4" t="s">
        <v>20</v>
      </c>
      <c r="K31" s="4" t="str" cm="1">
        <f t="array" ref="K31">_xlfn.IFS(L31&gt;50,"Senior", L31&gt;=30,"Adult", L31&lt;30,"Young Adult")</f>
        <v>Young Adult</v>
      </c>
      <c r="L31" s="4">
        <v>22</v>
      </c>
      <c r="M31" s="4" t="s">
        <v>24</v>
      </c>
      <c r="N31" s="4">
        <v>3</v>
      </c>
      <c r="O31" s="5">
        <v>300</v>
      </c>
      <c r="P31">
        <f t="shared" si="6"/>
        <v>900</v>
      </c>
      <c r="Q31" s="14">
        <f t="shared" si="7"/>
        <v>13.5</v>
      </c>
      <c r="R31" s="14">
        <f t="shared" si="8"/>
        <v>18</v>
      </c>
    </row>
    <row r="32" spans="1:23" x14ac:dyDescent="0.35">
      <c r="A32" s="2">
        <v>21</v>
      </c>
      <c r="B32" s="4">
        <f t="shared" si="0"/>
        <v>14</v>
      </c>
      <c r="C32" s="4">
        <f t="shared" si="1"/>
        <v>1</v>
      </c>
      <c r="D32" s="4">
        <f t="shared" si="2"/>
        <v>2023</v>
      </c>
      <c r="E32" s="4" t="str">
        <f t="shared" si="3"/>
        <v>Saturday</v>
      </c>
      <c r="F32" s="4" t="str">
        <f t="shared" si="4"/>
        <v>January</v>
      </c>
      <c r="G32" s="4" t="str">
        <f t="shared" si="5"/>
        <v>2023</v>
      </c>
      <c r="H32" s="3">
        <v>44940</v>
      </c>
      <c r="I32" s="4" t="s">
        <v>46</v>
      </c>
      <c r="J32" s="4" t="s">
        <v>23</v>
      </c>
      <c r="K32" s="4" t="str" cm="1">
        <f t="array" ref="K32">_xlfn.IFS(L32&gt;50,"Senior", L32&gt;=30,"Adult", L32&lt;30,"Young Adult")</f>
        <v>Adult</v>
      </c>
      <c r="L32" s="4">
        <v>50</v>
      </c>
      <c r="M32" s="4" t="s">
        <v>21</v>
      </c>
      <c r="N32" s="4">
        <v>1</v>
      </c>
      <c r="O32" s="5">
        <v>500</v>
      </c>
      <c r="P32">
        <f t="shared" si="6"/>
        <v>500</v>
      </c>
      <c r="Q32" s="14">
        <f t="shared" si="7"/>
        <v>7.5</v>
      </c>
      <c r="R32" s="14">
        <f t="shared" si="8"/>
        <v>10</v>
      </c>
      <c r="T32" s="15"/>
    </row>
    <row r="33" spans="1:18" x14ac:dyDescent="0.35">
      <c r="A33" s="2">
        <v>22</v>
      </c>
      <c r="B33" s="4">
        <f t="shared" si="0"/>
        <v>15</v>
      </c>
      <c r="C33" s="4">
        <f t="shared" si="1"/>
        <v>10</v>
      </c>
      <c r="D33" s="4">
        <f t="shared" si="2"/>
        <v>2023</v>
      </c>
      <c r="E33" s="4" t="str">
        <f t="shared" si="3"/>
        <v>Sunday</v>
      </c>
      <c r="F33" s="4" t="str">
        <f t="shared" si="4"/>
        <v>October</v>
      </c>
      <c r="G33" s="4" t="str">
        <f t="shared" si="5"/>
        <v>2023</v>
      </c>
      <c r="H33" s="3">
        <v>45214</v>
      </c>
      <c r="I33" s="4" t="s">
        <v>47</v>
      </c>
      <c r="J33" s="4" t="s">
        <v>20</v>
      </c>
      <c r="K33" s="4" t="str" cm="1">
        <f t="array" ref="K33">_xlfn.IFS(L33&gt;50,"Senior", L33&gt;=30,"Adult", L33&lt;30,"Young Adult")</f>
        <v>Young Adult</v>
      </c>
      <c r="L33" s="4">
        <v>18</v>
      </c>
      <c r="M33" s="4" t="s">
        <v>24</v>
      </c>
      <c r="N33" s="4">
        <v>2</v>
      </c>
      <c r="O33" s="5">
        <v>50</v>
      </c>
      <c r="P33">
        <f t="shared" si="6"/>
        <v>100</v>
      </c>
      <c r="Q33" s="14">
        <f t="shared" si="7"/>
        <v>1.5</v>
      </c>
      <c r="R33" s="14">
        <f t="shared" si="8"/>
        <v>2</v>
      </c>
    </row>
    <row r="34" spans="1:18" x14ac:dyDescent="0.35">
      <c r="A34" s="2">
        <v>23</v>
      </c>
      <c r="B34" s="4">
        <f t="shared" si="0"/>
        <v>12</v>
      </c>
      <c r="C34" s="4">
        <f t="shared" si="1"/>
        <v>4</v>
      </c>
      <c r="D34" s="4">
        <f t="shared" si="2"/>
        <v>2023</v>
      </c>
      <c r="E34" s="4" t="str">
        <f t="shared" si="3"/>
        <v>Wednesday</v>
      </c>
      <c r="F34" s="4" t="str">
        <f t="shared" si="4"/>
        <v>April</v>
      </c>
      <c r="G34" s="4" t="str">
        <f t="shared" si="5"/>
        <v>2023</v>
      </c>
      <c r="H34" s="3">
        <v>45028</v>
      </c>
      <c r="I34" s="4" t="s">
        <v>48</v>
      </c>
      <c r="J34" s="4" t="s">
        <v>23</v>
      </c>
      <c r="K34" s="4" t="str" cm="1">
        <f t="array" ref="K34">_xlfn.IFS(L34&gt;50,"Senior", L34&gt;=30,"Adult", L34&lt;30,"Young Adult")</f>
        <v>Adult</v>
      </c>
      <c r="L34" s="4">
        <v>35</v>
      </c>
      <c r="M34" s="4" t="s">
        <v>24</v>
      </c>
      <c r="N34" s="4">
        <v>4</v>
      </c>
      <c r="O34" s="5">
        <v>30</v>
      </c>
      <c r="P34">
        <f t="shared" si="6"/>
        <v>120</v>
      </c>
      <c r="Q34" s="14">
        <f t="shared" si="7"/>
        <v>1.7999999999999998</v>
      </c>
      <c r="R34" s="14">
        <f t="shared" si="8"/>
        <v>2.4</v>
      </c>
    </row>
    <row r="35" spans="1:18" x14ac:dyDescent="0.35">
      <c r="A35" s="2">
        <v>24</v>
      </c>
      <c r="B35" s="4">
        <f t="shared" si="0"/>
        <v>29</v>
      </c>
      <c r="C35" s="4">
        <f t="shared" si="1"/>
        <v>11</v>
      </c>
      <c r="D35" s="4">
        <f t="shared" si="2"/>
        <v>2023</v>
      </c>
      <c r="E35" s="4" t="str">
        <f t="shared" si="3"/>
        <v>Wednesday</v>
      </c>
      <c r="F35" s="4" t="str">
        <f t="shared" si="4"/>
        <v>November</v>
      </c>
      <c r="G35" s="4" t="str">
        <f t="shared" si="5"/>
        <v>2023</v>
      </c>
      <c r="H35" s="3">
        <v>45259</v>
      </c>
      <c r="I35" s="4" t="s">
        <v>49</v>
      </c>
      <c r="J35" s="4" t="s">
        <v>23</v>
      </c>
      <c r="K35" s="4" t="str" cm="1">
        <f t="array" ref="K35">_xlfn.IFS(L35&gt;50,"Senior", L35&gt;=30,"Adult", L35&lt;30,"Young Adult")</f>
        <v>Adult</v>
      </c>
      <c r="L35" s="4">
        <v>49</v>
      </c>
      <c r="M35" s="4" t="s">
        <v>24</v>
      </c>
      <c r="N35" s="4">
        <v>1</v>
      </c>
      <c r="O35" s="5">
        <v>300</v>
      </c>
      <c r="P35">
        <f t="shared" si="6"/>
        <v>300</v>
      </c>
      <c r="Q35" s="14">
        <f t="shared" si="7"/>
        <v>4.5</v>
      </c>
      <c r="R35" s="14">
        <f t="shared" si="8"/>
        <v>6</v>
      </c>
    </row>
    <row r="36" spans="1:18" x14ac:dyDescent="0.35">
      <c r="A36" s="2">
        <v>25</v>
      </c>
      <c r="B36" s="4">
        <f t="shared" si="0"/>
        <v>26</v>
      </c>
      <c r="C36" s="4">
        <f t="shared" si="1"/>
        <v>12</v>
      </c>
      <c r="D36" s="4">
        <f t="shared" si="2"/>
        <v>2023</v>
      </c>
      <c r="E36" s="4" t="str">
        <f t="shared" si="3"/>
        <v>Tuesday</v>
      </c>
      <c r="F36" s="4" t="str">
        <f t="shared" si="4"/>
        <v>December</v>
      </c>
      <c r="G36" s="4" t="str">
        <f t="shared" si="5"/>
        <v>2023</v>
      </c>
      <c r="H36" s="3">
        <v>45286</v>
      </c>
      <c r="I36" s="4" t="s">
        <v>50</v>
      </c>
      <c r="J36" s="4" t="s">
        <v>23</v>
      </c>
      <c r="K36" s="4" t="str" cm="1">
        <f t="array" ref="K36">_xlfn.IFS(L36&gt;50,"Senior", L36&gt;=30,"Adult", L36&lt;30,"Young Adult")</f>
        <v>Senior</v>
      </c>
      <c r="L36" s="4">
        <v>64</v>
      </c>
      <c r="M36" s="4" t="s">
        <v>21</v>
      </c>
      <c r="N36" s="4">
        <v>1</v>
      </c>
      <c r="O36" s="5">
        <v>50</v>
      </c>
      <c r="P36">
        <f t="shared" si="6"/>
        <v>50</v>
      </c>
      <c r="Q36" s="14">
        <f t="shared" si="7"/>
        <v>0.75</v>
      </c>
      <c r="R36" s="14">
        <f t="shared" si="8"/>
        <v>1</v>
      </c>
    </row>
    <row r="37" spans="1:18" x14ac:dyDescent="0.35">
      <c r="A37" s="2">
        <v>26</v>
      </c>
      <c r="B37" s="4">
        <f t="shared" si="0"/>
        <v>7</v>
      </c>
      <c r="C37" s="4">
        <f t="shared" si="1"/>
        <v>10</v>
      </c>
      <c r="D37" s="4">
        <f t="shared" si="2"/>
        <v>2023</v>
      </c>
      <c r="E37" s="4" t="str">
        <f t="shared" si="3"/>
        <v>Saturday</v>
      </c>
      <c r="F37" s="4" t="str">
        <f t="shared" si="4"/>
        <v>October</v>
      </c>
      <c r="G37" s="4" t="str">
        <f t="shared" si="5"/>
        <v>2023</v>
      </c>
      <c r="H37" s="3">
        <v>45206</v>
      </c>
      <c r="I37" s="4" t="s">
        <v>51</v>
      </c>
      <c r="J37" s="4" t="s">
        <v>23</v>
      </c>
      <c r="K37" s="4" t="str" cm="1">
        <f t="array" ref="K37">_xlfn.IFS(L37&gt;50,"Senior", L37&gt;=30,"Adult", L37&lt;30,"Young Adult")</f>
        <v>Young Adult</v>
      </c>
      <c r="L37" s="4">
        <v>28</v>
      </c>
      <c r="M37" s="4" t="s">
        <v>26</v>
      </c>
      <c r="N37" s="4">
        <v>2</v>
      </c>
      <c r="O37" s="5">
        <v>500</v>
      </c>
      <c r="P37">
        <f t="shared" si="6"/>
        <v>1000</v>
      </c>
      <c r="Q37" s="14">
        <f t="shared" si="7"/>
        <v>15</v>
      </c>
      <c r="R37" s="14">
        <f t="shared" si="8"/>
        <v>20</v>
      </c>
    </row>
    <row r="38" spans="1:18" x14ac:dyDescent="0.35">
      <c r="A38" s="2">
        <v>27</v>
      </c>
      <c r="B38" s="4">
        <f t="shared" si="0"/>
        <v>3</v>
      </c>
      <c r="C38" s="4">
        <f t="shared" si="1"/>
        <v>8</v>
      </c>
      <c r="D38" s="4">
        <f t="shared" si="2"/>
        <v>2023</v>
      </c>
      <c r="E38" s="4" t="str">
        <f t="shared" si="3"/>
        <v>Thursday</v>
      </c>
      <c r="F38" s="4" t="str">
        <f t="shared" si="4"/>
        <v>August</v>
      </c>
      <c r="G38" s="4" t="str">
        <f t="shared" si="5"/>
        <v>2023</v>
      </c>
      <c r="H38" s="3">
        <v>45141</v>
      </c>
      <c r="I38" s="4" t="s">
        <v>52</v>
      </c>
      <c r="J38" s="4" t="s">
        <v>23</v>
      </c>
      <c r="K38" s="4" t="str" cm="1">
        <f t="array" ref="K38">_xlfn.IFS(L38&gt;50,"Senior", L38&gt;=30,"Adult", L38&lt;30,"Young Adult")</f>
        <v>Adult</v>
      </c>
      <c r="L38" s="4">
        <v>38</v>
      </c>
      <c r="M38" s="4" t="s">
        <v>21</v>
      </c>
      <c r="N38" s="4">
        <v>2</v>
      </c>
      <c r="O38" s="5">
        <v>25</v>
      </c>
      <c r="P38">
        <f t="shared" si="6"/>
        <v>50</v>
      </c>
      <c r="Q38" s="14">
        <f t="shared" si="7"/>
        <v>0.75</v>
      </c>
      <c r="R38" s="14">
        <f t="shared" si="8"/>
        <v>1</v>
      </c>
    </row>
    <row r="39" spans="1:18" x14ac:dyDescent="0.35">
      <c r="A39" s="2">
        <v>28</v>
      </c>
      <c r="B39" s="4">
        <f t="shared" si="0"/>
        <v>23</v>
      </c>
      <c r="C39" s="4">
        <f t="shared" si="1"/>
        <v>4</v>
      </c>
      <c r="D39" s="4">
        <f t="shared" si="2"/>
        <v>2023</v>
      </c>
      <c r="E39" s="4" t="str">
        <f t="shared" si="3"/>
        <v>Sunday</v>
      </c>
      <c r="F39" s="4" t="str">
        <f t="shared" si="4"/>
        <v>April</v>
      </c>
      <c r="G39" s="4" t="str">
        <f t="shared" si="5"/>
        <v>2023</v>
      </c>
      <c r="H39" s="3">
        <v>45039</v>
      </c>
      <c r="I39" s="4" t="s">
        <v>53</v>
      </c>
      <c r="J39" s="4" t="s">
        <v>23</v>
      </c>
      <c r="K39" s="4" t="str" cm="1">
        <f t="array" ref="K39">_xlfn.IFS(L39&gt;50,"Senior", L39&gt;=30,"Adult", L39&lt;30,"Young Adult")</f>
        <v>Adult</v>
      </c>
      <c r="L39" s="4">
        <v>43</v>
      </c>
      <c r="M39" s="4" t="s">
        <v>21</v>
      </c>
      <c r="N39" s="4">
        <v>1</v>
      </c>
      <c r="O39" s="5">
        <v>500</v>
      </c>
      <c r="P39">
        <f t="shared" si="6"/>
        <v>500</v>
      </c>
      <c r="Q39" s="14">
        <f t="shared" si="7"/>
        <v>7.5</v>
      </c>
      <c r="R39" s="14">
        <f t="shared" si="8"/>
        <v>10</v>
      </c>
    </row>
    <row r="40" spans="1:18" x14ac:dyDescent="0.35">
      <c r="A40" s="2">
        <v>29</v>
      </c>
      <c r="B40" s="4">
        <f t="shared" si="0"/>
        <v>18</v>
      </c>
      <c r="C40" s="4">
        <f t="shared" si="1"/>
        <v>8</v>
      </c>
      <c r="D40" s="4">
        <f t="shared" si="2"/>
        <v>2023</v>
      </c>
      <c r="E40" s="4" t="str">
        <f t="shared" si="3"/>
        <v>Friday</v>
      </c>
      <c r="F40" s="4" t="str">
        <f t="shared" si="4"/>
        <v>August</v>
      </c>
      <c r="G40" s="4" t="str">
        <f t="shared" si="5"/>
        <v>2023</v>
      </c>
      <c r="H40" s="3">
        <v>45156</v>
      </c>
      <c r="I40" s="4" t="s">
        <v>54</v>
      </c>
      <c r="J40" s="4" t="s">
        <v>23</v>
      </c>
      <c r="K40" s="4" t="str" cm="1">
        <f t="array" ref="K40">_xlfn.IFS(L40&gt;50,"Senior", L40&gt;=30,"Adult", L40&lt;30,"Young Adult")</f>
        <v>Adult</v>
      </c>
      <c r="L40" s="4">
        <v>42</v>
      </c>
      <c r="M40" s="4" t="s">
        <v>26</v>
      </c>
      <c r="N40" s="4">
        <v>1</v>
      </c>
      <c r="O40" s="5">
        <v>30</v>
      </c>
      <c r="P40">
        <f t="shared" si="6"/>
        <v>30</v>
      </c>
      <c r="Q40" s="14">
        <f t="shared" si="7"/>
        <v>0.44999999999999996</v>
      </c>
      <c r="R40" s="14">
        <f t="shared" si="8"/>
        <v>0.6</v>
      </c>
    </row>
    <row r="41" spans="1:18" x14ac:dyDescent="0.35">
      <c r="A41" s="2">
        <v>30</v>
      </c>
      <c r="B41" s="4">
        <f t="shared" si="0"/>
        <v>29</v>
      </c>
      <c r="C41" s="4">
        <f t="shared" si="1"/>
        <v>10</v>
      </c>
      <c r="D41" s="4">
        <f t="shared" si="2"/>
        <v>2023</v>
      </c>
      <c r="E41" s="4" t="str">
        <f t="shared" si="3"/>
        <v>Sunday</v>
      </c>
      <c r="F41" s="4" t="str">
        <f t="shared" si="4"/>
        <v>October</v>
      </c>
      <c r="G41" s="4" t="str">
        <f t="shared" si="5"/>
        <v>2023</v>
      </c>
      <c r="H41" s="3">
        <v>45228</v>
      </c>
      <c r="I41" s="4" t="s">
        <v>55</v>
      </c>
      <c r="J41" s="4" t="s">
        <v>23</v>
      </c>
      <c r="K41" s="4" t="str" cm="1">
        <f t="array" ref="K41">_xlfn.IFS(L41&gt;50,"Senior", L41&gt;=30,"Adult", L41&lt;30,"Young Adult")</f>
        <v>Adult</v>
      </c>
      <c r="L41" s="4">
        <v>39</v>
      </c>
      <c r="M41" s="4" t="s">
        <v>21</v>
      </c>
      <c r="N41" s="4">
        <v>3</v>
      </c>
      <c r="O41" s="5">
        <v>300</v>
      </c>
      <c r="P41">
        <f t="shared" si="6"/>
        <v>900</v>
      </c>
      <c r="Q41" s="14">
        <f t="shared" si="7"/>
        <v>13.5</v>
      </c>
      <c r="R41" s="14">
        <f t="shared" si="8"/>
        <v>18</v>
      </c>
    </row>
    <row r="42" spans="1:18" x14ac:dyDescent="0.35">
      <c r="A42" s="2">
        <v>31</v>
      </c>
      <c r="B42" s="4">
        <f t="shared" si="0"/>
        <v>23</v>
      </c>
      <c r="C42" s="4">
        <f t="shared" si="1"/>
        <v>5</v>
      </c>
      <c r="D42" s="4">
        <f t="shared" si="2"/>
        <v>2023</v>
      </c>
      <c r="E42" s="4" t="str">
        <f t="shared" si="3"/>
        <v>Tuesday</v>
      </c>
      <c r="F42" s="4" t="str">
        <f t="shared" si="4"/>
        <v>May</v>
      </c>
      <c r="G42" s="4" t="str">
        <f t="shared" si="5"/>
        <v>2023</v>
      </c>
      <c r="H42" s="3">
        <v>45069</v>
      </c>
      <c r="I42" s="4" t="s">
        <v>56</v>
      </c>
      <c r="J42" s="4" t="s">
        <v>20</v>
      </c>
      <c r="K42" s="4" t="str" cm="1">
        <f t="array" ref="K42">_xlfn.IFS(L42&gt;50,"Senior", L42&gt;=30,"Adult", L42&lt;30,"Young Adult")</f>
        <v>Adult</v>
      </c>
      <c r="L42" s="4">
        <v>44</v>
      </c>
      <c r="M42" s="4" t="s">
        <v>26</v>
      </c>
      <c r="N42" s="4">
        <v>4</v>
      </c>
      <c r="O42" s="5">
        <v>300</v>
      </c>
      <c r="P42">
        <f t="shared" si="6"/>
        <v>1200</v>
      </c>
      <c r="Q42" s="14">
        <f t="shared" si="7"/>
        <v>18</v>
      </c>
      <c r="R42" s="14">
        <f t="shared" si="8"/>
        <v>24</v>
      </c>
    </row>
    <row r="43" spans="1:18" x14ac:dyDescent="0.35">
      <c r="A43" s="2">
        <v>32</v>
      </c>
      <c r="B43" s="4">
        <f t="shared" si="0"/>
        <v>4</v>
      </c>
      <c r="C43" s="4">
        <f t="shared" si="1"/>
        <v>1</v>
      </c>
      <c r="D43" s="4">
        <f t="shared" si="2"/>
        <v>2023</v>
      </c>
      <c r="E43" s="4" t="str">
        <f t="shared" si="3"/>
        <v>Wednesday</v>
      </c>
      <c r="F43" s="4" t="str">
        <f t="shared" si="4"/>
        <v>January</v>
      </c>
      <c r="G43" s="4" t="str">
        <f t="shared" si="5"/>
        <v>2023</v>
      </c>
      <c r="H43" s="3">
        <v>44930</v>
      </c>
      <c r="I43" s="4" t="s">
        <v>57</v>
      </c>
      <c r="J43" s="4" t="s">
        <v>20</v>
      </c>
      <c r="K43" s="4" t="str" cm="1">
        <f t="array" ref="K43">_xlfn.IFS(L43&gt;50,"Senior", L43&gt;=30,"Adult", L43&lt;30,"Young Adult")</f>
        <v>Adult</v>
      </c>
      <c r="L43" s="4">
        <v>30</v>
      </c>
      <c r="M43" s="4" t="s">
        <v>21</v>
      </c>
      <c r="N43" s="4">
        <v>3</v>
      </c>
      <c r="O43" s="5">
        <v>30</v>
      </c>
      <c r="P43">
        <f t="shared" si="6"/>
        <v>90</v>
      </c>
      <c r="Q43" s="14">
        <f t="shared" si="7"/>
        <v>1.3499999999999999</v>
      </c>
      <c r="R43" s="14">
        <f t="shared" si="8"/>
        <v>1.8</v>
      </c>
    </row>
    <row r="44" spans="1:18" x14ac:dyDescent="0.35">
      <c r="A44" s="2">
        <v>33</v>
      </c>
      <c r="B44" s="4">
        <f t="shared" si="0"/>
        <v>23</v>
      </c>
      <c r="C44" s="4">
        <f t="shared" si="1"/>
        <v>3</v>
      </c>
      <c r="D44" s="4">
        <f t="shared" si="2"/>
        <v>2023</v>
      </c>
      <c r="E44" s="4" t="str">
        <f t="shared" si="3"/>
        <v>Thursday</v>
      </c>
      <c r="F44" s="4" t="str">
        <f t="shared" si="4"/>
        <v>March</v>
      </c>
      <c r="G44" s="4" t="str">
        <f t="shared" si="5"/>
        <v>2023</v>
      </c>
      <c r="H44" s="3">
        <v>45008</v>
      </c>
      <c r="I44" s="4" t="s">
        <v>58</v>
      </c>
      <c r="J44" s="4" t="s">
        <v>23</v>
      </c>
      <c r="K44" s="4" t="str" cm="1">
        <f t="array" ref="K44">_xlfn.IFS(L44&gt;50,"Senior", L44&gt;=30,"Adult", L44&lt;30,"Young Adult")</f>
        <v>Adult</v>
      </c>
      <c r="L44" s="4">
        <v>50</v>
      </c>
      <c r="M44" s="4" t="s">
        <v>26</v>
      </c>
      <c r="N44" s="4">
        <v>2</v>
      </c>
      <c r="O44" s="5">
        <v>50</v>
      </c>
      <c r="P44">
        <f t="shared" si="6"/>
        <v>100</v>
      </c>
      <c r="Q44" s="14">
        <f t="shared" si="7"/>
        <v>1.5</v>
      </c>
      <c r="R44" s="14">
        <f t="shared" si="8"/>
        <v>2</v>
      </c>
    </row>
    <row r="45" spans="1:18" x14ac:dyDescent="0.35">
      <c r="A45" s="2">
        <v>34</v>
      </c>
      <c r="B45" s="4">
        <f t="shared" si="0"/>
        <v>24</v>
      </c>
      <c r="C45" s="4">
        <f t="shared" si="1"/>
        <v>12</v>
      </c>
      <c r="D45" s="4">
        <f t="shared" si="2"/>
        <v>2023</v>
      </c>
      <c r="E45" s="4" t="str">
        <f t="shared" si="3"/>
        <v>Sunday</v>
      </c>
      <c r="F45" s="4" t="str">
        <f t="shared" si="4"/>
        <v>December</v>
      </c>
      <c r="G45" s="4" t="str">
        <f t="shared" si="5"/>
        <v>2023</v>
      </c>
      <c r="H45" s="3">
        <v>45284</v>
      </c>
      <c r="I45" s="4" t="s">
        <v>59</v>
      </c>
      <c r="J45" s="4" t="s">
        <v>23</v>
      </c>
      <c r="K45" s="4" t="str" cm="1">
        <f t="array" ref="K45">_xlfn.IFS(L45&gt;50,"Senior", L45&gt;=30,"Adult", L45&lt;30,"Young Adult")</f>
        <v>Senior</v>
      </c>
      <c r="L45" s="4">
        <v>51</v>
      </c>
      <c r="M45" s="4" t="s">
        <v>24</v>
      </c>
      <c r="N45" s="4">
        <v>3</v>
      </c>
      <c r="O45" s="5">
        <v>50</v>
      </c>
      <c r="P45">
        <f t="shared" si="6"/>
        <v>150</v>
      </c>
      <c r="Q45" s="14">
        <f t="shared" si="7"/>
        <v>2.25</v>
      </c>
      <c r="R45" s="14">
        <f t="shared" si="8"/>
        <v>3</v>
      </c>
    </row>
    <row r="46" spans="1:18" x14ac:dyDescent="0.35">
      <c r="A46" s="2">
        <v>35</v>
      </c>
      <c r="B46" s="4">
        <f t="shared" si="0"/>
        <v>5</v>
      </c>
      <c r="C46" s="4">
        <f t="shared" si="1"/>
        <v>8</v>
      </c>
      <c r="D46" s="4">
        <f t="shared" si="2"/>
        <v>2023</v>
      </c>
      <c r="E46" s="4" t="str">
        <f t="shared" si="3"/>
        <v>Saturday</v>
      </c>
      <c r="F46" s="4" t="str">
        <f t="shared" si="4"/>
        <v>August</v>
      </c>
      <c r="G46" s="4" t="str">
        <f t="shared" si="5"/>
        <v>2023</v>
      </c>
      <c r="H46" s="3">
        <v>45143</v>
      </c>
      <c r="I46" s="4" t="s">
        <v>60</v>
      </c>
      <c r="J46" s="4" t="s">
        <v>23</v>
      </c>
      <c r="K46" s="4" t="str" cm="1">
        <f t="array" ref="K46">_xlfn.IFS(L46&gt;50,"Senior", L46&gt;=30,"Adult", L46&lt;30,"Young Adult")</f>
        <v>Senior</v>
      </c>
      <c r="L46" s="4">
        <v>58</v>
      </c>
      <c r="M46" s="4" t="s">
        <v>21</v>
      </c>
      <c r="N46" s="4">
        <v>3</v>
      </c>
      <c r="O46" s="5">
        <v>300</v>
      </c>
      <c r="P46">
        <f t="shared" si="6"/>
        <v>900</v>
      </c>
      <c r="Q46" s="14">
        <f t="shared" si="7"/>
        <v>13.5</v>
      </c>
      <c r="R46" s="14">
        <f t="shared" si="8"/>
        <v>18</v>
      </c>
    </row>
    <row r="47" spans="1:18" x14ac:dyDescent="0.35">
      <c r="A47" s="2">
        <v>36</v>
      </c>
      <c r="B47" s="4">
        <f t="shared" si="0"/>
        <v>24</v>
      </c>
      <c r="C47" s="4">
        <f t="shared" si="1"/>
        <v>6</v>
      </c>
      <c r="D47" s="4">
        <f t="shared" si="2"/>
        <v>2023</v>
      </c>
      <c r="E47" s="4" t="str">
        <f t="shared" si="3"/>
        <v>Saturday</v>
      </c>
      <c r="F47" s="4" t="str">
        <f t="shared" si="4"/>
        <v>June</v>
      </c>
      <c r="G47" s="4" t="str">
        <f t="shared" si="5"/>
        <v>2023</v>
      </c>
      <c r="H47" s="3">
        <v>45101</v>
      </c>
      <c r="I47" s="4" t="s">
        <v>61</v>
      </c>
      <c r="J47" s="4" t="s">
        <v>20</v>
      </c>
      <c r="K47" s="4" t="str" cm="1">
        <f t="array" ref="K47">_xlfn.IFS(L47&gt;50,"Senior", L47&gt;=30,"Adult", L47&lt;30,"Young Adult")</f>
        <v>Senior</v>
      </c>
      <c r="L47" s="4">
        <v>52</v>
      </c>
      <c r="M47" s="4" t="s">
        <v>21</v>
      </c>
      <c r="N47" s="4">
        <v>3</v>
      </c>
      <c r="O47" s="5">
        <v>300</v>
      </c>
      <c r="P47">
        <f t="shared" si="6"/>
        <v>900</v>
      </c>
      <c r="Q47" s="14">
        <f t="shared" si="7"/>
        <v>13.5</v>
      </c>
      <c r="R47" s="14">
        <f t="shared" si="8"/>
        <v>18</v>
      </c>
    </row>
    <row r="48" spans="1:18" x14ac:dyDescent="0.35">
      <c r="A48" s="2">
        <v>37</v>
      </c>
      <c r="B48" s="4">
        <f t="shared" si="0"/>
        <v>23</v>
      </c>
      <c r="C48" s="4">
        <f t="shared" si="1"/>
        <v>5</v>
      </c>
      <c r="D48" s="4">
        <f t="shared" si="2"/>
        <v>2023</v>
      </c>
      <c r="E48" s="4" t="str">
        <f t="shared" si="3"/>
        <v>Tuesday</v>
      </c>
      <c r="F48" s="4" t="str">
        <f t="shared" si="4"/>
        <v>May</v>
      </c>
      <c r="G48" s="4" t="str">
        <f t="shared" si="5"/>
        <v>2023</v>
      </c>
      <c r="H48" s="3">
        <v>45069</v>
      </c>
      <c r="I48" s="4" t="s">
        <v>62</v>
      </c>
      <c r="J48" s="4" t="s">
        <v>23</v>
      </c>
      <c r="K48" s="4" t="str" cm="1">
        <f t="array" ref="K48">_xlfn.IFS(L48&gt;50,"Senior", L48&gt;=30,"Adult", L48&lt;30,"Young Adult")</f>
        <v>Young Adult</v>
      </c>
      <c r="L48" s="4">
        <v>18</v>
      </c>
      <c r="M48" s="4" t="s">
        <v>21</v>
      </c>
      <c r="N48" s="4">
        <v>3</v>
      </c>
      <c r="O48" s="5">
        <v>25</v>
      </c>
      <c r="P48">
        <f t="shared" si="6"/>
        <v>75</v>
      </c>
      <c r="Q48" s="14">
        <f t="shared" si="7"/>
        <v>1.125</v>
      </c>
      <c r="R48" s="14">
        <f t="shared" si="8"/>
        <v>1.5</v>
      </c>
    </row>
    <row r="49" spans="1:18" x14ac:dyDescent="0.35">
      <c r="A49" s="2">
        <v>38</v>
      </c>
      <c r="B49" s="4">
        <f t="shared" si="0"/>
        <v>21</v>
      </c>
      <c r="C49" s="4">
        <f t="shared" si="1"/>
        <v>3</v>
      </c>
      <c r="D49" s="4">
        <f t="shared" si="2"/>
        <v>2023</v>
      </c>
      <c r="E49" s="4" t="str">
        <f t="shared" si="3"/>
        <v>Tuesday</v>
      </c>
      <c r="F49" s="4" t="str">
        <f t="shared" si="4"/>
        <v>March</v>
      </c>
      <c r="G49" s="4" t="str">
        <f t="shared" si="5"/>
        <v>2023</v>
      </c>
      <c r="H49" s="3">
        <v>45006</v>
      </c>
      <c r="I49" s="4" t="s">
        <v>63</v>
      </c>
      <c r="J49" s="4" t="s">
        <v>20</v>
      </c>
      <c r="K49" s="4" t="str" cm="1">
        <f t="array" ref="K49">_xlfn.IFS(L49&gt;50,"Senior", L49&gt;=30,"Adult", L49&lt;30,"Young Adult")</f>
        <v>Adult</v>
      </c>
      <c r="L49" s="4">
        <v>38</v>
      </c>
      <c r="M49" s="4" t="s">
        <v>21</v>
      </c>
      <c r="N49" s="4">
        <v>4</v>
      </c>
      <c r="O49" s="5">
        <v>50</v>
      </c>
      <c r="P49">
        <f t="shared" si="6"/>
        <v>200</v>
      </c>
      <c r="Q49" s="14">
        <f t="shared" si="7"/>
        <v>3</v>
      </c>
      <c r="R49" s="14">
        <f t="shared" si="8"/>
        <v>4</v>
      </c>
    </row>
    <row r="50" spans="1:18" x14ac:dyDescent="0.35">
      <c r="A50" s="2">
        <v>39</v>
      </c>
      <c r="B50" s="4">
        <f t="shared" si="0"/>
        <v>21</v>
      </c>
      <c r="C50" s="4">
        <f t="shared" si="1"/>
        <v>4</v>
      </c>
      <c r="D50" s="4">
        <f t="shared" si="2"/>
        <v>2023</v>
      </c>
      <c r="E50" s="4" t="str">
        <f t="shared" si="3"/>
        <v>Friday</v>
      </c>
      <c r="F50" s="4" t="str">
        <f t="shared" si="4"/>
        <v>April</v>
      </c>
      <c r="G50" s="4" t="str">
        <f t="shared" si="5"/>
        <v>2023</v>
      </c>
      <c r="H50" s="3">
        <v>45037</v>
      </c>
      <c r="I50" s="4" t="s">
        <v>64</v>
      </c>
      <c r="J50" s="4" t="s">
        <v>20</v>
      </c>
      <c r="K50" s="4" t="str" cm="1">
        <f t="array" ref="K50">_xlfn.IFS(L50&gt;50,"Senior", L50&gt;=30,"Adult", L50&lt;30,"Young Adult")</f>
        <v>Young Adult</v>
      </c>
      <c r="L50" s="4">
        <v>23</v>
      </c>
      <c r="M50" s="4" t="s">
        <v>24</v>
      </c>
      <c r="N50" s="4">
        <v>4</v>
      </c>
      <c r="O50" s="5">
        <v>30</v>
      </c>
      <c r="P50">
        <f t="shared" si="6"/>
        <v>120</v>
      </c>
      <c r="Q50" s="14">
        <f t="shared" si="7"/>
        <v>1.7999999999999998</v>
      </c>
      <c r="R50" s="14">
        <f t="shared" si="8"/>
        <v>2.4</v>
      </c>
    </row>
    <row r="51" spans="1:18" x14ac:dyDescent="0.35">
      <c r="A51" s="2">
        <v>40</v>
      </c>
      <c r="B51" s="4">
        <f t="shared" si="0"/>
        <v>22</v>
      </c>
      <c r="C51" s="4">
        <f t="shared" si="1"/>
        <v>6</v>
      </c>
      <c r="D51" s="4">
        <f t="shared" si="2"/>
        <v>2023</v>
      </c>
      <c r="E51" s="4" t="str">
        <f t="shared" si="3"/>
        <v>Thursday</v>
      </c>
      <c r="F51" s="4" t="str">
        <f t="shared" si="4"/>
        <v>June</v>
      </c>
      <c r="G51" s="4" t="str">
        <f t="shared" si="5"/>
        <v>2023</v>
      </c>
      <c r="H51" s="3">
        <v>45099</v>
      </c>
      <c r="I51" s="4" t="s">
        <v>65</v>
      </c>
      <c r="J51" s="4" t="s">
        <v>20</v>
      </c>
      <c r="K51" s="4" t="str" cm="1">
        <f t="array" ref="K51">_xlfn.IFS(L51&gt;50,"Senior", L51&gt;=30,"Adult", L51&lt;30,"Young Adult")</f>
        <v>Adult</v>
      </c>
      <c r="L51" s="4">
        <v>45</v>
      </c>
      <c r="M51" s="4" t="s">
        <v>21</v>
      </c>
      <c r="N51" s="4">
        <v>1</v>
      </c>
      <c r="O51" s="5">
        <v>50</v>
      </c>
      <c r="P51">
        <f t="shared" si="6"/>
        <v>50</v>
      </c>
      <c r="Q51" s="14">
        <f t="shared" si="7"/>
        <v>0.75</v>
      </c>
      <c r="R51" s="14">
        <f t="shared" si="8"/>
        <v>1</v>
      </c>
    </row>
    <row r="52" spans="1:18" x14ac:dyDescent="0.35">
      <c r="A52" s="2">
        <v>41</v>
      </c>
      <c r="B52" s="4">
        <f t="shared" si="0"/>
        <v>22</v>
      </c>
      <c r="C52" s="4">
        <f t="shared" si="1"/>
        <v>2</v>
      </c>
      <c r="D52" s="4">
        <f t="shared" si="2"/>
        <v>2023</v>
      </c>
      <c r="E52" s="4" t="str">
        <f t="shared" si="3"/>
        <v>Wednesday</v>
      </c>
      <c r="F52" s="4" t="str">
        <f t="shared" si="4"/>
        <v>February</v>
      </c>
      <c r="G52" s="4" t="str">
        <f t="shared" si="5"/>
        <v>2023</v>
      </c>
      <c r="H52" s="3">
        <v>44979</v>
      </c>
      <c r="I52" s="4" t="s">
        <v>66</v>
      </c>
      <c r="J52" s="4" t="s">
        <v>20</v>
      </c>
      <c r="K52" s="4" t="str" cm="1">
        <f t="array" ref="K52">_xlfn.IFS(L52&gt;50,"Senior", L52&gt;=30,"Adult", L52&lt;30,"Young Adult")</f>
        <v>Adult</v>
      </c>
      <c r="L52" s="4">
        <v>34</v>
      </c>
      <c r="M52" s="4" t="s">
        <v>24</v>
      </c>
      <c r="N52" s="4">
        <v>2</v>
      </c>
      <c r="O52" s="5">
        <v>25</v>
      </c>
      <c r="P52">
        <f t="shared" si="6"/>
        <v>50</v>
      </c>
      <c r="Q52" s="14">
        <f t="shared" si="7"/>
        <v>0.75</v>
      </c>
      <c r="R52" s="14">
        <f t="shared" si="8"/>
        <v>1</v>
      </c>
    </row>
    <row r="53" spans="1:18" x14ac:dyDescent="0.35">
      <c r="A53" s="2">
        <v>42</v>
      </c>
      <c r="B53" s="4">
        <f t="shared" si="0"/>
        <v>17</v>
      </c>
      <c r="C53" s="4">
        <f t="shared" si="1"/>
        <v>2</v>
      </c>
      <c r="D53" s="4">
        <f t="shared" si="2"/>
        <v>2023</v>
      </c>
      <c r="E53" s="4" t="str">
        <f t="shared" si="3"/>
        <v>Friday</v>
      </c>
      <c r="F53" s="4" t="str">
        <f t="shared" si="4"/>
        <v>February</v>
      </c>
      <c r="G53" s="4" t="str">
        <f t="shared" si="5"/>
        <v>2023</v>
      </c>
      <c r="H53" s="3">
        <v>44974</v>
      </c>
      <c r="I53" s="4" t="s">
        <v>67</v>
      </c>
      <c r="J53" s="4" t="s">
        <v>20</v>
      </c>
      <c r="K53" s="4" t="str" cm="1">
        <f t="array" ref="K53">_xlfn.IFS(L53&gt;50,"Senior", L53&gt;=30,"Adult", L53&lt;30,"Young Adult")</f>
        <v>Young Adult</v>
      </c>
      <c r="L53" s="4">
        <v>22</v>
      </c>
      <c r="M53" s="4" t="s">
        <v>24</v>
      </c>
      <c r="N53" s="4">
        <v>3</v>
      </c>
      <c r="O53" s="5">
        <v>300</v>
      </c>
      <c r="P53">
        <f t="shared" si="6"/>
        <v>900</v>
      </c>
      <c r="Q53" s="14">
        <f t="shared" si="7"/>
        <v>13.5</v>
      </c>
      <c r="R53" s="14">
        <f t="shared" si="8"/>
        <v>18</v>
      </c>
    </row>
    <row r="54" spans="1:18" x14ac:dyDescent="0.35">
      <c r="A54" s="2">
        <v>43</v>
      </c>
      <c r="B54" s="4">
        <f t="shared" si="0"/>
        <v>14</v>
      </c>
      <c r="C54" s="4">
        <f t="shared" si="1"/>
        <v>7</v>
      </c>
      <c r="D54" s="4">
        <f t="shared" si="2"/>
        <v>2023</v>
      </c>
      <c r="E54" s="4" t="str">
        <f t="shared" si="3"/>
        <v>Friday</v>
      </c>
      <c r="F54" s="4" t="str">
        <f t="shared" si="4"/>
        <v>July</v>
      </c>
      <c r="G54" s="4" t="str">
        <f t="shared" si="5"/>
        <v>2023</v>
      </c>
      <c r="H54" s="3">
        <v>45121</v>
      </c>
      <c r="I54" s="4" t="s">
        <v>68</v>
      </c>
      <c r="J54" s="4" t="s">
        <v>23</v>
      </c>
      <c r="K54" s="4" t="str" cm="1">
        <f t="array" ref="K54">_xlfn.IFS(L54&gt;50,"Senior", L54&gt;=30,"Adult", L54&lt;30,"Young Adult")</f>
        <v>Adult</v>
      </c>
      <c r="L54" s="4">
        <v>48</v>
      </c>
      <c r="M54" s="4" t="s">
        <v>24</v>
      </c>
      <c r="N54" s="4">
        <v>1</v>
      </c>
      <c r="O54" s="5">
        <v>300</v>
      </c>
      <c r="P54">
        <f t="shared" si="6"/>
        <v>300</v>
      </c>
      <c r="Q54" s="14">
        <f t="shared" si="7"/>
        <v>4.5</v>
      </c>
      <c r="R54" s="14">
        <f t="shared" si="8"/>
        <v>6</v>
      </c>
    </row>
    <row r="55" spans="1:18" x14ac:dyDescent="0.35">
      <c r="A55" s="2">
        <v>44</v>
      </c>
      <c r="B55" s="4">
        <f t="shared" si="0"/>
        <v>19</v>
      </c>
      <c r="C55" s="4">
        <f t="shared" si="1"/>
        <v>2</v>
      </c>
      <c r="D55" s="4">
        <f t="shared" si="2"/>
        <v>2023</v>
      </c>
      <c r="E55" s="4" t="str">
        <f t="shared" si="3"/>
        <v>Sunday</v>
      </c>
      <c r="F55" s="4" t="str">
        <f t="shared" si="4"/>
        <v>February</v>
      </c>
      <c r="G55" s="4" t="str">
        <f t="shared" si="5"/>
        <v>2023</v>
      </c>
      <c r="H55" s="3">
        <v>44976</v>
      </c>
      <c r="I55" s="4" t="s">
        <v>69</v>
      </c>
      <c r="J55" s="4" t="s">
        <v>23</v>
      </c>
      <c r="K55" s="4" t="str" cm="1">
        <f t="array" ref="K55">_xlfn.IFS(L55&gt;50,"Senior", L55&gt;=30,"Adult", L55&lt;30,"Young Adult")</f>
        <v>Young Adult</v>
      </c>
      <c r="L55" s="4">
        <v>22</v>
      </c>
      <c r="M55" s="4" t="s">
        <v>24</v>
      </c>
      <c r="N55" s="4">
        <v>1</v>
      </c>
      <c r="O55" s="5">
        <v>25</v>
      </c>
      <c r="P55">
        <f t="shared" si="6"/>
        <v>25</v>
      </c>
      <c r="Q55" s="14">
        <f t="shared" si="7"/>
        <v>0.375</v>
      </c>
      <c r="R55" s="14">
        <f t="shared" si="8"/>
        <v>0.5</v>
      </c>
    </row>
    <row r="56" spans="1:18" x14ac:dyDescent="0.35">
      <c r="A56" s="2">
        <v>45</v>
      </c>
      <c r="B56" s="4">
        <f t="shared" si="0"/>
        <v>3</v>
      </c>
      <c r="C56" s="4">
        <f t="shared" si="1"/>
        <v>7</v>
      </c>
      <c r="D56" s="4">
        <f t="shared" si="2"/>
        <v>2023</v>
      </c>
      <c r="E56" s="4" t="str">
        <f t="shared" si="3"/>
        <v>Monday</v>
      </c>
      <c r="F56" s="4" t="str">
        <f t="shared" si="4"/>
        <v>July</v>
      </c>
      <c r="G56" s="4" t="str">
        <f t="shared" si="5"/>
        <v>2023</v>
      </c>
      <c r="H56" s="3">
        <v>45110</v>
      </c>
      <c r="I56" s="4" t="s">
        <v>70</v>
      </c>
      <c r="J56" s="4" t="s">
        <v>23</v>
      </c>
      <c r="K56" s="4" t="str" cm="1">
        <f t="array" ref="K56">_xlfn.IFS(L56&gt;50,"Senior", L56&gt;=30,"Adult", L56&lt;30,"Young Adult")</f>
        <v>Senior</v>
      </c>
      <c r="L56" s="4">
        <v>55</v>
      </c>
      <c r="M56" s="4" t="s">
        <v>26</v>
      </c>
      <c r="N56" s="4">
        <v>1</v>
      </c>
      <c r="O56" s="5">
        <v>30</v>
      </c>
      <c r="P56">
        <f t="shared" si="6"/>
        <v>30</v>
      </c>
      <c r="Q56" s="14">
        <f t="shared" si="7"/>
        <v>0.44999999999999996</v>
      </c>
      <c r="R56" s="14">
        <f t="shared" si="8"/>
        <v>0.6</v>
      </c>
    </row>
    <row r="57" spans="1:18" x14ac:dyDescent="0.35">
      <c r="A57" s="2">
        <v>46</v>
      </c>
      <c r="B57" s="4">
        <f t="shared" si="0"/>
        <v>26</v>
      </c>
      <c r="C57" s="4">
        <f t="shared" si="1"/>
        <v>6</v>
      </c>
      <c r="D57" s="4">
        <f t="shared" si="2"/>
        <v>2023</v>
      </c>
      <c r="E57" s="4" t="str">
        <f t="shared" si="3"/>
        <v>Monday</v>
      </c>
      <c r="F57" s="4" t="str">
        <f t="shared" si="4"/>
        <v>June</v>
      </c>
      <c r="G57" s="4" t="str">
        <f t="shared" si="5"/>
        <v>2023</v>
      </c>
      <c r="H57" s="3">
        <v>45103</v>
      </c>
      <c r="I57" s="4" t="s">
        <v>71</v>
      </c>
      <c r="J57" s="4" t="s">
        <v>23</v>
      </c>
      <c r="K57" s="4" t="str" cm="1">
        <f t="array" ref="K57">_xlfn.IFS(L57&gt;50,"Senior", L57&gt;=30,"Adult", L57&lt;30,"Young Adult")</f>
        <v>Young Adult</v>
      </c>
      <c r="L57" s="4">
        <v>20</v>
      </c>
      <c r="M57" s="4" t="s">
        <v>26</v>
      </c>
      <c r="N57" s="4">
        <v>4</v>
      </c>
      <c r="O57" s="5">
        <v>300</v>
      </c>
      <c r="P57">
        <f t="shared" si="6"/>
        <v>1200</v>
      </c>
      <c r="Q57" s="14">
        <f t="shared" si="7"/>
        <v>18</v>
      </c>
      <c r="R57" s="14">
        <f t="shared" si="8"/>
        <v>24</v>
      </c>
    </row>
    <row r="58" spans="1:18" x14ac:dyDescent="0.35">
      <c r="A58" s="2">
        <v>47</v>
      </c>
      <c r="B58" s="4">
        <f t="shared" si="0"/>
        <v>6</v>
      </c>
      <c r="C58" s="4">
        <f t="shared" si="1"/>
        <v>11</v>
      </c>
      <c r="D58" s="4">
        <f t="shared" si="2"/>
        <v>2023</v>
      </c>
      <c r="E58" s="4" t="str">
        <f t="shared" si="3"/>
        <v>Monday</v>
      </c>
      <c r="F58" s="4" t="str">
        <f t="shared" si="4"/>
        <v>November</v>
      </c>
      <c r="G58" s="4" t="str">
        <f t="shared" si="5"/>
        <v>2023</v>
      </c>
      <c r="H58" s="3">
        <v>45236</v>
      </c>
      <c r="I58" s="4" t="s">
        <v>72</v>
      </c>
      <c r="J58" s="4" t="s">
        <v>23</v>
      </c>
      <c r="K58" s="4" t="str" cm="1">
        <f t="array" ref="K58">_xlfn.IFS(L58&gt;50,"Senior", L58&gt;=30,"Adult", L58&lt;30,"Young Adult")</f>
        <v>Adult</v>
      </c>
      <c r="L58" s="4">
        <v>40</v>
      </c>
      <c r="M58" s="4" t="s">
        <v>21</v>
      </c>
      <c r="N58" s="4">
        <v>3</v>
      </c>
      <c r="O58" s="5">
        <v>500</v>
      </c>
      <c r="P58">
        <f t="shared" si="6"/>
        <v>1500</v>
      </c>
      <c r="Q58" s="14">
        <f t="shared" si="7"/>
        <v>22.5</v>
      </c>
      <c r="R58" s="14">
        <f t="shared" si="8"/>
        <v>30</v>
      </c>
    </row>
    <row r="59" spans="1:18" x14ac:dyDescent="0.35">
      <c r="A59" s="2">
        <v>48</v>
      </c>
      <c r="B59" s="4">
        <f t="shared" si="0"/>
        <v>16</v>
      </c>
      <c r="C59" s="4">
        <f t="shared" si="1"/>
        <v>5</v>
      </c>
      <c r="D59" s="4">
        <f t="shared" si="2"/>
        <v>2023</v>
      </c>
      <c r="E59" s="4" t="str">
        <f t="shared" si="3"/>
        <v>Tuesday</v>
      </c>
      <c r="F59" s="4" t="str">
        <f t="shared" si="4"/>
        <v>May</v>
      </c>
      <c r="G59" s="4" t="str">
        <f t="shared" si="5"/>
        <v>2023</v>
      </c>
      <c r="H59" s="3">
        <v>45062</v>
      </c>
      <c r="I59" s="4" t="s">
        <v>73</v>
      </c>
      <c r="J59" s="4" t="s">
        <v>20</v>
      </c>
      <c r="K59" s="4" t="str" cm="1">
        <f t="array" ref="K59">_xlfn.IFS(L59&gt;50,"Senior", L59&gt;=30,"Adult", L59&lt;30,"Young Adult")</f>
        <v>Senior</v>
      </c>
      <c r="L59" s="4">
        <v>54</v>
      </c>
      <c r="M59" s="4" t="s">
        <v>26</v>
      </c>
      <c r="N59" s="4">
        <v>3</v>
      </c>
      <c r="O59" s="5">
        <v>300</v>
      </c>
      <c r="P59">
        <f t="shared" si="6"/>
        <v>900</v>
      </c>
      <c r="Q59" s="14">
        <f t="shared" si="7"/>
        <v>13.5</v>
      </c>
      <c r="R59" s="14">
        <f t="shared" si="8"/>
        <v>18</v>
      </c>
    </row>
    <row r="60" spans="1:18" x14ac:dyDescent="0.35">
      <c r="A60" s="2">
        <v>49</v>
      </c>
      <c r="B60" s="4">
        <f t="shared" si="0"/>
        <v>23</v>
      </c>
      <c r="C60" s="4">
        <f t="shared" si="1"/>
        <v>1</v>
      </c>
      <c r="D60" s="4">
        <f t="shared" si="2"/>
        <v>2023</v>
      </c>
      <c r="E60" s="4" t="str">
        <f t="shared" si="3"/>
        <v>Monday</v>
      </c>
      <c r="F60" s="4" t="str">
        <f t="shared" si="4"/>
        <v>January</v>
      </c>
      <c r="G60" s="4" t="str">
        <f t="shared" si="5"/>
        <v>2023</v>
      </c>
      <c r="H60" s="3">
        <v>44949</v>
      </c>
      <c r="I60" s="4" t="s">
        <v>74</v>
      </c>
      <c r="J60" s="4" t="s">
        <v>23</v>
      </c>
      <c r="K60" s="4" t="str" cm="1">
        <f t="array" ref="K60">_xlfn.IFS(L60&gt;50,"Senior", L60&gt;=30,"Adult", L60&lt;30,"Young Adult")</f>
        <v>Senior</v>
      </c>
      <c r="L60" s="4">
        <v>54</v>
      </c>
      <c r="M60" s="4" t="s">
        <v>26</v>
      </c>
      <c r="N60" s="4">
        <v>2</v>
      </c>
      <c r="O60" s="5">
        <v>500</v>
      </c>
      <c r="P60">
        <f t="shared" si="6"/>
        <v>1000</v>
      </c>
      <c r="Q60" s="14">
        <f t="shared" si="7"/>
        <v>15</v>
      </c>
      <c r="R60" s="14">
        <f t="shared" si="8"/>
        <v>20</v>
      </c>
    </row>
    <row r="61" spans="1:18" x14ac:dyDescent="0.35">
      <c r="A61" s="2">
        <v>50</v>
      </c>
      <c r="B61" s="4">
        <f t="shared" si="0"/>
        <v>24</v>
      </c>
      <c r="C61" s="4">
        <f t="shared" si="1"/>
        <v>8</v>
      </c>
      <c r="D61" s="4">
        <f t="shared" si="2"/>
        <v>2023</v>
      </c>
      <c r="E61" s="4" t="str">
        <f t="shared" si="3"/>
        <v>Thursday</v>
      </c>
      <c r="F61" s="4" t="str">
        <f t="shared" si="4"/>
        <v>August</v>
      </c>
      <c r="G61" s="4" t="str">
        <f t="shared" si="5"/>
        <v>2023</v>
      </c>
      <c r="H61" s="3">
        <v>45162</v>
      </c>
      <c r="I61" s="4" t="s">
        <v>75</v>
      </c>
      <c r="J61" s="4" t="s">
        <v>23</v>
      </c>
      <c r="K61" s="4" t="str" cm="1">
        <f t="array" ref="K61">_xlfn.IFS(L61&gt;50,"Senior", L61&gt;=30,"Adult", L61&lt;30,"Young Adult")</f>
        <v>Young Adult</v>
      </c>
      <c r="L61" s="4">
        <v>27</v>
      </c>
      <c r="M61" s="4" t="s">
        <v>21</v>
      </c>
      <c r="N61" s="4">
        <v>3</v>
      </c>
      <c r="O61" s="5">
        <v>25</v>
      </c>
      <c r="P61">
        <f t="shared" si="6"/>
        <v>75</v>
      </c>
      <c r="Q61" s="14">
        <f t="shared" si="7"/>
        <v>1.125</v>
      </c>
      <c r="R61" s="14">
        <f t="shared" si="8"/>
        <v>1.5</v>
      </c>
    </row>
    <row r="62" spans="1:18" x14ac:dyDescent="0.35">
      <c r="A62" s="2">
        <v>51</v>
      </c>
      <c r="B62" s="4">
        <f t="shared" si="0"/>
        <v>2</v>
      </c>
      <c r="C62" s="4">
        <f t="shared" si="1"/>
        <v>10</v>
      </c>
      <c r="D62" s="4">
        <f t="shared" si="2"/>
        <v>2023</v>
      </c>
      <c r="E62" s="4" t="str">
        <f t="shared" si="3"/>
        <v>Monday</v>
      </c>
      <c r="F62" s="4" t="str">
        <f t="shared" si="4"/>
        <v>October</v>
      </c>
      <c r="G62" s="4" t="str">
        <f t="shared" si="5"/>
        <v>2023</v>
      </c>
      <c r="H62" s="3">
        <v>45201</v>
      </c>
      <c r="I62" s="4" t="s">
        <v>76</v>
      </c>
      <c r="J62" s="4" t="s">
        <v>20</v>
      </c>
      <c r="K62" s="4" t="str" cm="1">
        <f t="array" ref="K62">_xlfn.IFS(L62&gt;50,"Senior", L62&gt;=30,"Adult", L62&lt;30,"Young Adult")</f>
        <v>Young Adult</v>
      </c>
      <c r="L62" s="4">
        <v>27</v>
      </c>
      <c r="M62" s="4" t="s">
        <v>21</v>
      </c>
      <c r="N62" s="4">
        <v>3</v>
      </c>
      <c r="O62" s="5">
        <v>25</v>
      </c>
      <c r="P62">
        <f t="shared" si="6"/>
        <v>75</v>
      </c>
      <c r="Q62" s="14">
        <f t="shared" si="7"/>
        <v>1.125</v>
      </c>
      <c r="R62" s="14">
        <f t="shared" si="8"/>
        <v>1.5</v>
      </c>
    </row>
    <row r="63" spans="1:18" x14ac:dyDescent="0.35">
      <c r="A63" s="2">
        <v>52</v>
      </c>
      <c r="B63" s="4">
        <f t="shared" si="0"/>
        <v>5</v>
      </c>
      <c r="C63" s="4">
        <f t="shared" si="1"/>
        <v>3</v>
      </c>
      <c r="D63" s="4">
        <f t="shared" si="2"/>
        <v>2023</v>
      </c>
      <c r="E63" s="4" t="str">
        <f t="shared" si="3"/>
        <v>Sunday</v>
      </c>
      <c r="F63" s="4" t="str">
        <f t="shared" si="4"/>
        <v>March</v>
      </c>
      <c r="G63" s="4" t="str">
        <f t="shared" si="5"/>
        <v>2023</v>
      </c>
      <c r="H63" s="3">
        <v>44990</v>
      </c>
      <c r="I63" s="4" t="s">
        <v>77</v>
      </c>
      <c r="J63" s="4" t="s">
        <v>23</v>
      </c>
      <c r="K63" s="4" t="str" cm="1">
        <f t="array" ref="K63">_xlfn.IFS(L63&gt;50,"Senior", L63&gt;=30,"Adult", L63&lt;30,"Young Adult")</f>
        <v>Adult</v>
      </c>
      <c r="L63" s="4">
        <v>36</v>
      </c>
      <c r="M63" s="4" t="s">
        <v>21</v>
      </c>
      <c r="N63" s="4">
        <v>1</v>
      </c>
      <c r="O63" s="5">
        <v>300</v>
      </c>
      <c r="P63">
        <f t="shared" si="6"/>
        <v>300</v>
      </c>
      <c r="Q63" s="14">
        <f t="shared" si="7"/>
        <v>4.5</v>
      </c>
      <c r="R63" s="14">
        <f t="shared" si="8"/>
        <v>6</v>
      </c>
    </row>
    <row r="64" spans="1:18" x14ac:dyDescent="0.35">
      <c r="A64" s="2">
        <v>53</v>
      </c>
      <c r="B64" s="4">
        <f t="shared" si="0"/>
        <v>13</v>
      </c>
      <c r="C64" s="4">
        <f t="shared" si="1"/>
        <v>7</v>
      </c>
      <c r="D64" s="4">
        <f t="shared" si="2"/>
        <v>2023</v>
      </c>
      <c r="E64" s="4" t="str">
        <f t="shared" si="3"/>
        <v>Thursday</v>
      </c>
      <c r="F64" s="4" t="str">
        <f t="shared" si="4"/>
        <v>July</v>
      </c>
      <c r="G64" s="4" t="str">
        <f t="shared" si="5"/>
        <v>2023</v>
      </c>
      <c r="H64" s="3">
        <v>45120</v>
      </c>
      <c r="I64" s="4" t="s">
        <v>78</v>
      </c>
      <c r="J64" s="4" t="s">
        <v>20</v>
      </c>
      <c r="K64" s="4" t="str" cm="1">
        <f t="array" ref="K64">_xlfn.IFS(L64&gt;50,"Senior", L64&gt;=30,"Adult", L64&lt;30,"Young Adult")</f>
        <v>Adult</v>
      </c>
      <c r="L64" s="4">
        <v>34</v>
      </c>
      <c r="M64" s="4" t="s">
        <v>26</v>
      </c>
      <c r="N64" s="4">
        <v>2</v>
      </c>
      <c r="O64" s="5">
        <v>50</v>
      </c>
      <c r="P64">
        <f t="shared" si="6"/>
        <v>100</v>
      </c>
      <c r="Q64" s="14">
        <f t="shared" si="7"/>
        <v>1.5</v>
      </c>
      <c r="R64" s="14">
        <f t="shared" si="8"/>
        <v>2</v>
      </c>
    </row>
    <row r="65" spans="1:18" x14ac:dyDescent="0.35">
      <c r="A65" s="2">
        <v>54</v>
      </c>
      <c r="B65" s="4">
        <f t="shared" si="0"/>
        <v>10</v>
      </c>
      <c r="C65" s="4">
        <f t="shared" si="1"/>
        <v>2</v>
      </c>
      <c r="D65" s="4">
        <f t="shared" si="2"/>
        <v>2023</v>
      </c>
      <c r="E65" s="4" t="str">
        <f t="shared" si="3"/>
        <v>Friday</v>
      </c>
      <c r="F65" s="4" t="str">
        <f t="shared" si="4"/>
        <v>February</v>
      </c>
      <c r="G65" s="4" t="str">
        <f t="shared" si="5"/>
        <v>2023</v>
      </c>
      <c r="H65" s="3">
        <v>44967</v>
      </c>
      <c r="I65" s="4" t="s">
        <v>79</v>
      </c>
      <c r="J65" s="4" t="s">
        <v>23</v>
      </c>
      <c r="K65" s="4" t="str" cm="1">
        <f t="array" ref="K65">_xlfn.IFS(L65&gt;50,"Senior", L65&gt;=30,"Adult", L65&lt;30,"Young Adult")</f>
        <v>Adult</v>
      </c>
      <c r="L65" s="4">
        <v>38</v>
      </c>
      <c r="M65" s="4" t="s">
        <v>26</v>
      </c>
      <c r="N65" s="4">
        <v>3</v>
      </c>
      <c r="O65" s="5">
        <v>500</v>
      </c>
      <c r="P65">
        <f t="shared" si="6"/>
        <v>1500</v>
      </c>
      <c r="Q65" s="14">
        <f t="shared" si="7"/>
        <v>22.5</v>
      </c>
      <c r="R65" s="14">
        <f t="shared" si="8"/>
        <v>30</v>
      </c>
    </row>
    <row r="66" spans="1:18" x14ac:dyDescent="0.35">
      <c r="A66" s="2">
        <v>55</v>
      </c>
      <c r="B66" s="4">
        <f t="shared" si="0"/>
        <v>10</v>
      </c>
      <c r="C66" s="4">
        <f t="shared" si="1"/>
        <v>10</v>
      </c>
      <c r="D66" s="4">
        <f t="shared" si="2"/>
        <v>2023</v>
      </c>
      <c r="E66" s="4" t="str">
        <f t="shared" si="3"/>
        <v>Tuesday</v>
      </c>
      <c r="F66" s="4" t="str">
        <f t="shared" si="4"/>
        <v>October</v>
      </c>
      <c r="G66" s="4" t="str">
        <f t="shared" si="5"/>
        <v>2023</v>
      </c>
      <c r="H66" s="3">
        <v>45209</v>
      </c>
      <c r="I66" s="4" t="s">
        <v>80</v>
      </c>
      <c r="J66" s="4" t="s">
        <v>20</v>
      </c>
      <c r="K66" s="4" t="str" cm="1">
        <f t="array" ref="K66">_xlfn.IFS(L66&gt;50,"Senior", L66&gt;=30,"Adult", L66&lt;30,"Young Adult")</f>
        <v>Adult</v>
      </c>
      <c r="L66" s="4">
        <v>31</v>
      </c>
      <c r="M66" s="4" t="s">
        <v>21</v>
      </c>
      <c r="N66" s="4">
        <v>4</v>
      </c>
      <c r="O66" s="5">
        <v>30</v>
      </c>
      <c r="P66">
        <f t="shared" si="6"/>
        <v>120</v>
      </c>
      <c r="Q66" s="14">
        <f t="shared" si="7"/>
        <v>1.7999999999999998</v>
      </c>
      <c r="R66" s="14">
        <f t="shared" si="8"/>
        <v>2.4</v>
      </c>
    </row>
    <row r="67" spans="1:18" x14ac:dyDescent="0.35">
      <c r="A67" s="2">
        <v>56</v>
      </c>
      <c r="B67" s="4">
        <f t="shared" si="0"/>
        <v>31</v>
      </c>
      <c r="C67" s="4">
        <f t="shared" si="1"/>
        <v>5</v>
      </c>
      <c r="D67" s="4">
        <f t="shared" si="2"/>
        <v>2023</v>
      </c>
      <c r="E67" s="4" t="str">
        <f t="shared" si="3"/>
        <v>Wednesday</v>
      </c>
      <c r="F67" s="4" t="str">
        <f t="shared" si="4"/>
        <v>May</v>
      </c>
      <c r="G67" s="4" t="str">
        <f t="shared" si="5"/>
        <v>2023</v>
      </c>
      <c r="H67" s="3">
        <v>45077</v>
      </c>
      <c r="I67" s="4" t="s">
        <v>81</v>
      </c>
      <c r="J67" s="4" t="s">
        <v>23</v>
      </c>
      <c r="K67" s="4" t="str" cm="1">
        <f t="array" ref="K67">_xlfn.IFS(L67&gt;50,"Senior", L67&gt;=30,"Adult", L67&lt;30,"Young Adult")</f>
        <v>Young Adult</v>
      </c>
      <c r="L67" s="4">
        <v>26</v>
      </c>
      <c r="M67" s="4" t="s">
        <v>24</v>
      </c>
      <c r="N67" s="4">
        <v>3</v>
      </c>
      <c r="O67" s="5">
        <v>300</v>
      </c>
      <c r="P67">
        <f t="shared" si="6"/>
        <v>900</v>
      </c>
      <c r="Q67" s="14">
        <f t="shared" si="7"/>
        <v>13.5</v>
      </c>
      <c r="R67" s="14">
        <f t="shared" si="8"/>
        <v>18</v>
      </c>
    </row>
    <row r="68" spans="1:18" x14ac:dyDescent="0.35">
      <c r="A68" s="2">
        <v>57</v>
      </c>
      <c r="B68" s="4">
        <f t="shared" si="0"/>
        <v>18</v>
      </c>
      <c r="C68" s="4">
        <f t="shared" si="1"/>
        <v>11</v>
      </c>
      <c r="D68" s="4">
        <f t="shared" si="2"/>
        <v>2023</v>
      </c>
      <c r="E68" s="4" t="str">
        <f t="shared" si="3"/>
        <v>Saturday</v>
      </c>
      <c r="F68" s="4" t="str">
        <f t="shared" si="4"/>
        <v>November</v>
      </c>
      <c r="G68" s="4" t="str">
        <f t="shared" si="5"/>
        <v>2023</v>
      </c>
      <c r="H68" s="3">
        <v>45248</v>
      </c>
      <c r="I68" s="4" t="s">
        <v>82</v>
      </c>
      <c r="J68" s="4" t="s">
        <v>23</v>
      </c>
      <c r="K68" s="4" t="str" cm="1">
        <f t="array" ref="K68">_xlfn.IFS(L68&gt;50,"Senior", L68&gt;=30,"Adult", L68&lt;30,"Young Adult")</f>
        <v>Senior</v>
      </c>
      <c r="L68" s="4">
        <v>63</v>
      </c>
      <c r="M68" s="4" t="s">
        <v>21</v>
      </c>
      <c r="N68" s="4">
        <v>1</v>
      </c>
      <c r="O68" s="5">
        <v>30</v>
      </c>
      <c r="P68">
        <f t="shared" si="6"/>
        <v>30</v>
      </c>
      <c r="Q68" s="14">
        <f t="shared" si="7"/>
        <v>0.44999999999999996</v>
      </c>
      <c r="R68" s="14">
        <f t="shared" si="8"/>
        <v>0.6</v>
      </c>
    </row>
    <row r="69" spans="1:18" x14ac:dyDescent="0.35">
      <c r="A69" s="2">
        <v>58</v>
      </c>
      <c r="B69" s="4">
        <f t="shared" si="0"/>
        <v>13</v>
      </c>
      <c r="C69" s="4">
        <f t="shared" si="1"/>
        <v>11</v>
      </c>
      <c r="D69" s="4">
        <f t="shared" si="2"/>
        <v>2023</v>
      </c>
      <c r="E69" s="4" t="str">
        <f t="shared" si="3"/>
        <v>Monday</v>
      </c>
      <c r="F69" s="4" t="str">
        <f t="shared" si="4"/>
        <v>November</v>
      </c>
      <c r="G69" s="4" t="str">
        <f t="shared" si="5"/>
        <v>2023</v>
      </c>
      <c r="H69" s="3">
        <v>45243</v>
      </c>
      <c r="I69" s="4" t="s">
        <v>83</v>
      </c>
      <c r="J69" s="4" t="s">
        <v>20</v>
      </c>
      <c r="K69" s="4" t="str" cm="1">
        <f t="array" ref="K69">_xlfn.IFS(L69&gt;50,"Senior", L69&gt;=30,"Adult", L69&lt;30,"Young Adult")</f>
        <v>Young Adult</v>
      </c>
      <c r="L69" s="4">
        <v>18</v>
      </c>
      <c r="M69" s="4" t="s">
        <v>24</v>
      </c>
      <c r="N69" s="4">
        <v>4</v>
      </c>
      <c r="O69" s="5">
        <v>300</v>
      </c>
      <c r="P69">
        <f t="shared" si="6"/>
        <v>1200</v>
      </c>
      <c r="Q69" s="14">
        <f t="shared" si="7"/>
        <v>18</v>
      </c>
      <c r="R69" s="14">
        <f t="shared" si="8"/>
        <v>24</v>
      </c>
    </row>
    <row r="70" spans="1:18" x14ac:dyDescent="0.35">
      <c r="A70" s="2">
        <v>59</v>
      </c>
      <c r="B70" s="4">
        <f t="shared" si="0"/>
        <v>5</v>
      </c>
      <c r="C70" s="4">
        <f t="shared" si="1"/>
        <v>7</v>
      </c>
      <c r="D70" s="4">
        <f t="shared" si="2"/>
        <v>2023</v>
      </c>
      <c r="E70" s="4" t="str">
        <f t="shared" si="3"/>
        <v>Wednesday</v>
      </c>
      <c r="F70" s="4" t="str">
        <f t="shared" si="4"/>
        <v>July</v>
      </c>
      <c r="G70" s="4" t="str">
        <f t="shared" si="5"/>
        <v>2023</v>
      </c>
      <c r="H70" s="3">
        <v>45112</v>
      </c>
      <c r="I70" s="4" t="s">
        <v>84</v>
      </c>
      <c r="J70" s="4" t="s">
        <v>20</v>
      </c>
      <c r="K70" s="4" t="str" cm="1">
        <f t="array" ref="K70">_xlfn.IFS(L70&gt;50,"Senior", L70&gt;=30,"Adult", L70&lt;30,"Young Adult")</f>
        <v>Senior</v>
      </c>
      <c r="L70" s="4">
        <v>62</v>
      </c>
      <c r="M70" s="4" t="s">
        <v>24</v>
      </c>
      <c r="N70" s="4">
        <v>1</v>
      </c>
      <c r="O70" s="5">
        <v>50</v>
      </c>
      <c r="P70">
        <f t="shared" si="6"/>
        <v>50</v>
      </c>
      <c r="Q70" s="14">
        <f t="shared" si="7"/>
        <v>0.75</v>
      </c>
      <c r="R70" s="14">
        <f t="shared" si="8"/>
        <v>1</v>
      </c>
    </row>
    <row r="71" spans="1:18" x14ac:dyDescent="0.35">
      <c r="A71" s="2">
        <v>60</v>
      </c>
      <c r="B71" s="4">
        <f t="shared" si="0"/>
        <v>23</v>
      </c>
      <c r="C71" s="4">
        <f t="shared" si="1"/>
        <v>10</v>
      </c>
      <c r="D71" s="4">
        <f t="shared" si="2"/>
        <v>2023</v>
      </c>
      <c r="E71" s="4" t="str">
        <f t="shared" si="3"/>
        <v>Monday</v>
      </c>
      <c r="F71" s="4" t="str">
        <f t="shared" si="4"/>
        <v>October</v>
      </c>
      <c r="G71" s="4" t="str">
        <f t="shared" si="5"/>
        <v>2023</v>
      </c>
      <c r="H71" s="3">
        <v>45222</v>
      </c>
      <c r="I71" s="4" t="s">
        <v>85</v>
      </c>
      <c r="J71" s="4" t="s">
        <v>20</v>
      </c>
      <c r="K71" s="4" t="str" cm="1">
        <f t="array" ref="K71">_xlfn.IFS(L71&gt;50,"Senior", L71&gt;=30,"Adult", L71&lt;30,"Young Adult")</f>
        <v>Adult</v>
      </c>
      <c r="L71" s="4">
        <v>30</v>
      </c>
      <c r="M71" s="4" t="s">
        <v>21</v>
      </c>
      <c r="N71" s="4">
        <v>3</v>
      </c>
      <c r="O71" s="5">
        <v>50</v>
      </c>
      <c r="P71">
        <f t="shared" si="6"/>
        <v>150</v>
      </c>
      <c r="Q71" s="14">
        <f t="shared" si="7"/>
        <v>2.25</v>
      </c>
      <c r="R71" s="14">
        <f t="shared" si="8"/>
        <v>3</v>
      </c>
    </row>
    <row r="72" spans="1:18" x14ac:dyDescent="0.35">
      <c r="A72" s="2">
        <v>61</v>
      </c>
      <c r="B72" s="4">
        <f t="shared" si="0"/>
        <v>9</v>
      </c>
      <c r="C72" s="4">
        <f t="shared" si="1"/>
        <v>4</v>
      </c>
      <c r="D72" s="4">
        <f t="shared" si="2"/>
        <v>2023</v>
      </c>
      <c r="E72" s="4" t="str">
        <f t="shared" si="3"/>
        <v>Sunday</v>
      </c>
      <c r="F72" s="4" t="str">
        <f t="shared" si="4"/>
        <v>April</v>
      </c>
      <c r="G72" s="4" t="str">
        <f t="shared" si="5"/>
        <v>2023</v>
      </c>
      <c r="H72" s="3">
        <v>45025</v>
      </c>
      <c r="I72" s="4" t="s">
        <v>86</v>
      </c>
      <c r="J72" s="4" t="s">
        <v>20</v>
      </c>
      <c r="K72" s="4" t="str" cm="1">
        <f t="array" ref="K72">_xlfn.IFS(L72&gt;50,"Senior", L72&gt;=30,"Adult", L72&lt;30,"Young Adult")</f>
        <v>Young Adult</v>
      </c>
      <c r="L72" s="4">
        <v>21</v>
      </c>
      <c r="M72" s="4" t="s">
        <v>21</v>
      </c>
      <c r="N72" s="4">
        <v>4</v>
      </c>
      <c r="O72" s="5">
        <v>50</v>
      </c>
      <c r="P72">
        <f t="shared" si="6"/>
        <v>200</v>
      </c>
      <c r="Q72" s="14">
        <f t="shared" si="7"/>
        <v>3</v>
      </c>
      <c r="R72" s="14">
        <f t="shared" si="8"/>
        <v>4</v>
      </c>
    </row>
    <row r="73" spans="1:18" x14ac:dyDescent="0.35">
      <c r="A73" s="2">
        <v>62</v>
      </c>
      <c r="B73" s="4">
        <f t="shared" si="0"/>
        <v>27</v>
      </c>
      <c r="C73" s="4">
        <f t="shared" si="1"/>
        <v>12</v>
      </c>
      <c r="D73" s="4">
        <f t="shared" si="2"/>
        <v>2023</v>
      </c>
      <c r="E73" s="4" t="str">
        <f t="shared" si="3"/>
        <v>Wednesday</v>
      </c>
      <c r="F73" s="4" t="str">
        <f t="shared" si="4"/>
        <v>December</v>
      </c>
      <c r="G73" s="4" t="str">
        <f t="shared" si="5"/>
        <v>2023</v>
      </c>
      <c r="H73" s="3">
        <v>45287</v>
      </c>
      <c r="I73" s="4" t="s">
        <v>87</v>
      </c>
      <c r="J73" s="4" t="s">
        <v>20</v>
      </c>
      <c r="K73" s="4" t="str" cm="1">
        <f t="array" ref="K73">_xlfn.IFS(L73&gt;50,"Senior", L73&gt;=30,"Adult", L73&lt;30,"Young Adult")</f>
        <v>Young Adult</v>
      </c>
      <c r="L73" s="4">
        <v>18</v>
      </c>
      <c r="M73" s="4" t="s">
        <v>21</v>
      </c>
      <c r="N73" s="4">
        <v>2</v>
      </c>
      <c r="O73" s="5">
        <v>50</v>
      </c>
      <c r="P73">
        <f t="shared" si="6"/>
        <v>100</v>
      </c>
      <c r="Q73" s="14">
        <f t="shared" si="7"/>
        <v>1.5</v>
      </c>
      <c r="R73" s="14">
        <f t="shared" si="8"/>
        <v>2</v>
      </c>
    </row>
    <row r="74" spans="1:18" x14ac:dyDescent="0.35">
      <c r="A74" s="2">
        <v>63</v>
      </c>
      <c r="B74" s="4">
        <f t="shared" si="0"/>
        <v>5</v>
      </c>
      <c r="C74" s="4">
        <f t="shared" si="1"/>
        <v>2</v>
      </c>
      <c r="D74" s="4">
        <f t="shared" si="2"/>
        <v>2023</v>
      </c>
      <c r="E74" s="4" t="str">
        <f t="shared" si="3"/>
        <v>Sunday</v>
      </c>
      <c r="F74" s="4" t="str">
        <f t="shared" si="4"/>
        <v>February</v>
      </c>
      <c r="G74" s="4" t="str">
        <f t="shared" si="5"/>
        <v>2023</v>
      </c>
      <c r="H74" s="3">
        <v>44962</v>
      </c>
      <c r="I74" s="4" t="s">
        <v>88</v>
      </c>
      <c r="J74" s="4" t="s">
        <v>20</v>
      </c>
      <c r="K74" s="4" t="str" cm="1">
        <f t="array" ref="K74">_xlfn.IFS(L74&gt;50,"Senior", L74&gt;=30,"Adult", L74&lt;30,"Young Adult")</f>
        <v>Senior</v>
      </c>
      <c r="L74" s="4">
        <v>57</v>
      </c>
      <c r="M74" s="4" t="s">
        <v>26</v>
      </c>
      <c r="N74" s="4">
        <v>2</v>
      </c>
      <c r="O74" s="5">
        <v>25</v>
      </c>
      <c r="P74">
        <f t="shared" si="6"/>
        <v>50</v>
      </c>
      <c r="Q74" s="14">
        <f t="shared" si="7"/>
        <v>0.75</v>
      </c>
      <c r="R74" s="14">
        <f t="shared" si="8"/>
        <v>1</v>
      </c>
    </row>
    <row r="75" spans="1:18" x14ac:dyDescent="0.35">
      <c r="A75" s="2">
        <v>64</v>
      </c>
      <c r="B75" s="4">
        <f t="shared" si="0"/>
        <v>24</v>
      </c>
      <c r="C75" s="4">
        <f t="shared" si="1"/>
        <v>1</v>
      </c>
      <c r="D75" s="4">
        <f t="shared" si="2"/>
        <v>2023</v>
      </c>
      <c r="E75" s="4" t="str">
        <f t="shared" si="3"/>
        <v>Tuesday</v>
      </c>
      <c r="F75" s="4" t="str">
        <f t="shared" si="4"/>
        <v>January</v>
      </c>
      <c r="G75" s="4" t="str">
        <f t="shared" si="5"/>
        <v>2023</v>
      </c>
      <c r="H75" s="3">
        <v>44950</v>
      </c>
      <c r="I75" s="4" t="s">
        <v>89</v>
      </c>
      <c r="J75" s="4" t="s">
        <v>20</v>
      </c>
      <c r="K75" s="4" t="str" cm="1">
        <f t="array" ref="K75">_xlfn.IFS(L75&gt;50,"Senior", L75&gt;=30,"Adult", L75&lt;30,"Young Adult")</f>
        <v>Adult</v>
      </c>
      <c r="L75" s="4">
        <v>49</v>
      </c>
      <c r="M75" s="4" t="s">
        <v>24</v>
      </c>
      <c r="N75" s="4">
        <v>4</v>
      </c>
      <c r="O75" s="5">
        <v>25</v>
      </c>
      <c r="P75">
        <f t="shared" si="6"/>
        <v>100</v>
      </c>
      <c r="Q75" s="14">
        <f t="shared" si="7"/>
        <v>1.5</v>
      </c>
      <c r="R75" s="14">
        <f t="shared" si="8"/>
        <v>2</v>
      </c>
    </row>
    <row r="76" spans="1:18" x14ac:dyDescent="0.35">
      <c r="A76" s="2">
        <v>65</v>
      </c>
      <c r="B76" s="4">
        <f t="shared" ref="B76:B139" si="9">DAY(H76)</f>
        <v>5</v>
      </c>
      <c r="C76" s="4">
        <f t="shared" ref="C76:C139" si="10">MONTH(H76)</f>
        <v>12</v>
      </c>
      <c r="D76" s="4">
        <f t="shared" ref="D76:D139" si="11">YEAR(H76)</f>
        <v>2023</v>
      </c>
      <c r="E76" s="4" t="str">
        <f t="shared" ref="E76:E139" si="12">TEXT(H76,"DDDD")</f>
        <v>Tuesday</v>
      </c>
      <c r="F76" s="4" t="str">
        <f t="shared" ref="F76:F139" si="13">TEXT(H76,"MMMM")</f>
        <v>December</v>
      </c>
      <c r="G76" s="4" t="str">
        <f t="shared" ref="G76:G139" si="14">TEXT(H76,"YYYY")</f>
        <v>2023</v>
      </c>
      <c r="H76" s="3">
        <v>45265</v>
      </c>
      <c r="I76" s="4" t="s">
        <v>90</v>
      </c>
      <c r="J76" s="4" t="s">
        <v>20</v>
      </c>
      <c r="K76" s="4" t="str" cm="1">
        <f t="array" ref="K76">_xlfn.IFS(L76&gt;50,"Senior", L76&gt;=30,"Adult", L76&lt;30,"Young Adult")</f>
        <v>Senior</v>
      </c>
      <c r="L76" s="4">
        <v>51</v>
      </c>
      <c r="M76" s="4" t="s">
        <v>26</v>
      </c>
      <c r="N76" s="4">
        <v>4</v>
      </c>
      <c r="O76" s="5">
        <v>500</v>
      </c>
      <c r="P76">
        <f t="shared" ref="P76:P139" si="15">O76*N76</f>
        <v>2000</v>
      </c>
      <c r="Q76" s="14">
        <f t="shared" si="7"/>
        <v>30</v>
      </c>
      <c r="R76" s="14">
        <f t="shared" si="8"/>
        <v>40</v>
      </c>
    </row>
    <row r="77" spans="1:18" x14ac:dyDescent="0.35">
      <c r="A77" s="2">
        <v>66</v>
      </c>
      <c r="B77" s="4">
        <f t="shared" si="9"/>
        <v>27</v>
      </c>
      <c r="C77" s="4">
        <f t="shared" si="10"/>
        <v>4</v>
      </c>
      <c r="D77" s="4">
        <f t="shared" si="11"/>
        <v>2023</v>
      </c>
      <c r="E77" s="4" t="str">
        <f t="shared" si="12"/>
        <v>Thursday</v>
      </c>
      <c r="F77" s="4" t="str">
        <f t="shared" si="13"/>
        <v>April</v>
      </c>
      <c r="G77" s="4" t="str">
        <f t="shared" si="14"/>
        <v>2023</v>
      </c>
      <c r="H77" s="3">
        <v>45043</v>
      </c>
      <c r="I77" s="4" t="s">
        <v>91</v>
      </c>
      <c r="J77" s="4" t="s">
        <v>23</v>
      </c>
      <c r="K77" s="4" t="str" cm="1">
        <f t="array" ref="K77">_xlfn.IFS(L77&gt;50,"Senior", L77&gt;=30,"Adult", L77&lt;30,"Young Adult")</f>
        <v>Adult</v>
      </c>
      <c r="L77" s="4">
        <v>45</v>
      </c>
      <c r="M77" s="4" t="s">
        <v>26</v>
      </c>
      <c r="N77" s="4">
        <v>1</v>
      </c>
      <c r="O77" s="5">
        <v>30</v>
      </c>
      <c r="P77">
        <f t="shared" si="15"/>
        <v>30</v>
      </c>
      <c r="Q77" s="14">
        <f t="shared" ref="Q77:Q140" si="16">P77*$I$4</f>
        <v>0.44999999999999996</v>
      </c>
      <c r="R77" s="14">
        <f t="shared" ref="R77:R140" si="17">P77*$I$5</f>
        <v>0.6</v>
      </c>
    </row>
    <row r="78" spans="1:18" x14ac:dyDescent="0.35">
      <c r="A78" s="2">
        <v>67</v>
      </c>
      <c r="B78" s="4">
        <f t="shared" si="9"/>
        <v>29</v>
      </c>
      <c r="C78" s="4">
        <f t="shared" si="10"/>
        <v>5</v>
      </c>
      <c r="D78" s="4">
        <f t="shared" si="11"/>
        <v>2023</v>
      </c>
      <c r="E78" s="4" t="str">
        <f t="shared" si="12"/>
        <v>Monday</v>
      </c>
      <c r="F78" s="4" t="str">
        <f t="shared" si="13"/>
        <v>May</v>
      </c>
      <c r="G78" s="4" t="str">
        <f t="shared" si="14"/>
        <v>2023</v>
      </c>
      <c r="H78" s="3">
        <v>45075</v>
      </c>
      <c r="I78" s="4" t="s">
        <v>92</v>
      </c>
      <c r="J78" s="4" t="s">
        <v>23</v>
      </c>
      <c r="K78" s="4" t="str" cm="1">
        <f t="array" ref="K78">_xlfn.IFS(L78&gt;50,"Senior", L78&gt;=30,"Adult", L78&lt;30,"Young Adult")</f>
        <v>Adult</v>
      </c>
      <c r="L78" s="4">
        <v>48</v>
      </c>
      <c r="M78" s="4" t="s">
        <v>21</v>
      </c>
      <c r="N78" s="4">
        <v>4</v>
      </c>
      <c r="O78" s="5">
        <v>300</v>
      </c>
      <c r="P78">
        <f t="shared" si="15"/>
        <v>1200</v>
      </c>
      <c r="Q78" s="14">
        <f t="shared" si="16"/>
        <v>18</v>
      </c>
      <c r="R78" s="14">
        <f t="shared" si="17"/>
        <v>24</v>
      </c>
    </row>
    <row r="79" spans="1:18" x14ac:dyDescent="0.35">
      <c r="A79" s="2">
        <v>68</v>
      </c>
      <c r="B79" s="4">
        <f t="shared" si="9"/>
        <v>10</v>
      </c>
      <c r="C79" s="4">
        <f t="shared" si="10"/>
        <v>2</v>
      </c>
      <c r="D79" s="4">
        <f t="shared" si="11"/>
        <v>2023</v>
      </c>
      <c r="E79" s="4" t="str">
        <f t="shared" si="12"/>
        <v>Friday</v>
      </c>
      <c r="F79" s="4" t="str">
        <f t="shared" si="13"/>
        <v>February</v>
      </c>
      <c r="G79" s="4" t="str">
        <f t="shared" si="14"/>
        <v>2023</v>
      </c>
      <c r="H79" s="3">
        <v>44967</v>
      </c>
      <c r="I79" s="4" t="s">
        <v>93</v>
      </c>
      <c r="J79" s="4" t="s">
        <v>20</v>
      </c>
      <c r="K79" s="4" t="str" cm="1">
        <f t="array" ref="K79">_xlfn.IFS(L79&gt;50,"Senior", L79&gt;=30,"Adult", L79&lt;30,"Young Adult")</f>
        <v>Young Adult</v>
      </c>
      <c r="L79" s="4">
        <v>25</v>
      </c>
      <c r="M79" s="4" t="s">
        <v>26</v>
      </c>
      <c r="N79" s="4">
        <v>1</v>
      </c>
      <c r="O79" s="5">
        <v>300</v>
      </c>
      <c r="P79">
        <f t="shared" si="15"/>
        <v>300</v>
      </c>
      <c r="Q79" s="14">
        <f t="shared" si="16"/>
        <v>4.5</v>
      </c>
      <c r="R79" s="14">
        <f t="shared" si="17"/>
        <v>6</v>
      </c>
    </row>
    <row r="80" spans="1:18" x14ac:dyDescent="0.35">
      <c r="A80" s="2">
        <v>69</v>
      </c>
      <c r="B80" s="4">
        <f t="shared" si="9"/>
        <v>30</v>
      </c>
      <c r="C80" s="4">
        <f t="shared" si="10"/>
        <v>4</v>
      </c>
      <c r="D80" s="4">
        <f t="shared" si="11"/>
        <v>2023</v>
      </c>
      <c r="E80" s="4" t="str">
        <f t="shared" si="12"/>
        <v>Sunday</v>
      </c>
      <c r="F80" s="4" t="str">
        <f t="shared" si="13"/>
        <v>April</v>
      </c>
      <c r="G80" s="4" t="str">
        <f t="shared" si="14"/>
        <v>2023</v>
      </c>
      <c r="H80" s="3">
        <v>45046</v>
      </c>
      <c r="I80" s="4" t="s">
        <v>94</v>
      </c>
      <c r="J80" s="4" t="s">
        <v>23</v>
      </c>
      <c r="K80" s="4" t="str" cm="1">
        <f t="array" ref="K80">_xlfn.IFS(L80&gt;50,"Senior", L80&gt;=30,"Adult", L80&lt;30,"Young Adult")</f>
        <v>Senior</v>
      </c>
      <c r="L80" s="4">
        <v>56</v>
      </c>
      <c r="M80" s="4" t="s">
        <v>21</v>
      </c>
      <c r="N80" s="4">
        <v>3</v>
      </c>
      <c r="O80" s="5">
        <v>25</v>
      </c>
      <c r="P80">
        <f t="shared" si="15"/>
        <v>75</v>
      </c>
      <c r="Q80" s="14">
        <f t="shared" si="16"/>
        <v>1.125</v>
      </c>
      <c r="R80" s="14">
        <f t="shared" si="17"/>
        <v>1.5</v>
      </c>
    </row>
    <row r="81" spans="1:18" x14ac:dyDescent="0.35">
      <c r="A81" s="2">
        <v>70</v>
      </c>
      <c r="B81" s="4">
        <f t="shared" si="9"/>
        <v>21</v>
      </c>
      <c r="C81" s="4">
        <f t="shared" si="10"/>
        <v>2</v>
      </c>
      <c r="D81" s="4">
        <f t="shared" si="11"/>
        <v>2023</v>
      </c>
      <c r="E81" s="4" t="str">
        <f t="shared" si="12"/>
        <v>Tuesday</v>
      </c>
      <c r="F81" s="4" t="str">
        <f t="shared" si="13"/>
        <v>February</v>
      </c>
      <c r="G81" s="4" t="str">
        <f t="shared" si="14"/>
        <v>2023</v>
      </c>
      <c r="H81" s="3">
        <v>44978</v>
      </c>
      <c r="I81" s="4" t="s">
        <v>95</v>
      </c>
      <c r="J81" s="4" t="s">
        <v>23</v>
      </c>
      <c r="K81" s="4" t="str" cm="1">
        <f t="array" ref="K81">_xlfn.IFS(L81&gt;50,"Senior", L81&gt;=30,"Adult", L81&lt;30,"Young Adult")</f>
        <v>Adult</v>
      </c>
      <c r="L81" s="4">
        <v>43</v>
      </c>
      <c r="M81" s="4" t="s">
        <v>24</v>
      </c>
      <c r="N81" s="4">
        <v>1</v>
      </c>
      <c r="O81" s="5">
        <v>300</v>
      </c>
      <c r="P81">
        <f t="shared" si="15"/>
        <v>300</v>
      </c>
      <c r="Q81" s="14">
        <f t="shared" si="16"/>
        <v>4.5</v>
      </c>
      <c r="R81" s="14">
        <f t="shared" si="17"/>
        <v>6</v>
      </c>
    </row>
    <row r="82" spans="1:18" x14ac:dyDescent="0.35">
      <c r="A82" s="2">
        <v>71</v>
      </c>
      <c r="B82" s="4">
        <f t="shared" si="9"/>
        <v>14</v>
      </c>
      <c r="C82" s="4">
        <f t="shared" si="10"/>
        <v>7</v>
      </c>
      <c r="D82" s="4">
        <f t="shared" si="11"/>
        <v>2023</v>
      </c>
      <c r="E82" s="4" t="str">
        <f t="shared" si="12"/>
        <v>Friday</v>
      </c>
      <c r="F82" s="4" t="str">
        <f t="shared" si="13"/>
        <v>July</v>
      </c>
      <c r="G82" s="4" t="str">
        <f t="shared" si="14"/>
        <v>2023</v>
      </c>
      <c r="H82" s="3">
        <v>45121</v>
      </c>
      <c r="I82" s="4" t="s">
        <v>96</v>
      </c>
      <c r="J82" s="4" t="s">
        <v>23</v>
      </c>
      <c r="K82" s="4" t="str" cm="1">
        <f t="array" ref="K82">_xlfn.IFS(L82&gt;50,"Senior", L82&gt;=30,"Adult", L82&lt;30,"Young Adult")</f>
        <v>Senior</v>
      </c>
      <c r="L82" s="4">
        <v>51</v>
      </c>
      <c r="M82" s="4" t="s">
        <v>21</v>
      </c>
      <c r="N82" s="4">
        <v>4</v>
      </c>
      <c r="O82" s="5">
        <v>25</v>
      </c>
      <c r="P82">
        <f t="shared" si="15"/>
        <v>100</v>
      </c>
      <c r="Q82" s="14">
        <f t="shared" si="16"/>
        <v>1.5</v>
      </c>
      <c r="R82" s="14">
        <f t="shared" si="17"/>
        <v>2</v>
      </c>
    </row>
    <row r="83" spans="1:18" x14ac:dyDescent="0.35">
      <c r="A83" s="2">
        <v>72</v>
      </c>
      <c r="B83" s="4">
        <f t="shared" si="9"/>
        <v>23</v>
      </c>
      <c r="C83" s="4">
        <f t="shared" si="10"/>
        <v>5</v>
      </c>
      <c r="D83" s="4">
        <f t="shared" si="11"/>
        <v>2023</v>
      </c>
      <c r="E83" s="4" t="str">
        <f t="shared" si="12"/>
        <v>Tuesday</v>
      </c>
      <c r="F83" s="4" t="str">
        <f t="shared" si="13"/>
        <v>May</v>
      </c>
      <c r="G83" s="4" t="str">
        <f t="shared" si="14"/>
        <v>2023</v>
      </c>
      <c r="H83" s="3">
        <v>45069</v>
      </c>
      <c r="I83" s="4" t="s">
        <v>97</v>
      </c>
      <c r="J83" s="4" t="s">
        <v>23</v>
      </c>
      <c r="K83" s="4" t="str" cm="1">
        <f t="array" ref="K83">_xlfn.IFS(L83&gt;50,"Senior", L83&gt;=30,"Adult", L83&lt;30,"Young Adult")</f>
        <v>Young Adult</v>
      </c>
      <c r="L83" s="4">
        <v>20</v>
      </c>
      <c r="M83" s="4" t="s">
        <v>26</v>
      </c>
      <c r="N83" s="4">
        <v>4</v>
      </c>
      <c r="O83" s="5">
        <v>500</v>
      </c>
      <c r="P83">
        <f t="shared" si="15"/>
        <v>2000</v>
      </c>
      <c r="Q83" s="14">
        <f t="shared" si="16"/>
        <v>30</v>
      </c>
      <c r="R83" s="14">
        <f t="shared" si="17"/>
        <v>40</v>
      </c>
    </row>
    <row r="84" spans="1:18" x14ac:dyDescent="0.35">
      <c r="A84" s="2">
        <v>73</v>
      </c>
      <c r="B84" s="4">
        <f t="shared" si="9"/>
        <v>21</v>
      </c>
      <c r="C84" s="4">
        <f t="shared" si="10"/>
        <v>8</v>
      </c>
      <c r="D84" s="4">
        <f t="shared" si="11"/>
        <v>2023</v>
      </c>
      <c r="E84" s="4" t="str">
        <f t="shared" si="12"/>
        <v>Monday</v>
      </c>
      <c r="F84" s="4" t="str">
        <f t="shared" si="13"/>
        <v>August</v>
      </c>
      <c r="G84" s="4" t="str">
        <f t="shared" si="14"/>
        <v>2023</v>
      </c>
      <c r="H84" s="3">
        <v>45159</v>
      </c>
      <c r="I84" s="4" t="s">
        <v>98</v>
      </c>
      <c r="J84" s="4" t="s">
        <v>20</v>
      </c>
      <c r="K84" s="4" t="str" cm="1">
        <f t="array" ref="K84">_xlfn.IFS(L84&gt;50,"Senior", L84&gt;=30,"Adult", L84&lt;30,"Young Adult")</f>
        <v>Young Adult</v>
      </c>
      <c r="L84" s="4">
        <v>29</v>
      </c>
      <c r="M84" s="4" t="s">
        <v>26</v>
      </c>
      <c r="N84" s="4">
        <v>3</v>
      </c>
      <c r="O84" s="5">
        <v>30</v>
      </c>
      <c r="P84">
        <f t="shared" si="15"/>
        <v>90</v>
      </c>
      <c r="Q84" s="14">
        <f t="shared" si="16"/>
        <v>1.3499999999999999</v>
      </c>
      <c r="R84" s="14">
        <f t="shared" si="17"/>
        <v>1.8</v>
      </c>
    </row>
    <row r="85" spans="1:18" x14ac:dyDescent="0.35">
      <c r="A85" s="2">
        <v>74</v>
      </c>
      <c r="B85" s="4">
        <f t="shared" si="9"/>
        <v>22</v>
      </c>
      <c r="C85" s="4">
        <f t="shared" si="10"/>
        <v>11</v>
      </c>
      <c r="D85" s="4">
        <f t="shared" si="11"/>
        <v>2023</v>
      </c>
      <c r="E85" s="4" t="str">
        <f t="shared" si="12"/>
        <v>Wednesday</v>
      </c>
      <c r="F85" s="4" t="str">
        <f t="shared" si="13"/>
        <v>November</v>
      </c>
      <c r="G85" s="4" t="str">
        <f t="shared" si="14"/>
        <v>2023</v>
      </c>
      <c r="H85" s="3">
        <v>45252</v>
      </c>
      <c r="I85" s="4" t="s">
        <v>99</v>
      </c>
      <c r="J85" s="4" t="s">
        <v>23</v>
      </c>
      <c r="K85" s="4" t="str" cm="1">
        <f t="array" ref="K85">_xlfn.IFS(L85&gt;50,"Senior", L85&gt;=30,"Adult", L85&lt;30,"Young Adult")</f>
        <v>Young Adult</v>
      </c>
      <c r="L85" s="4">
        <v>18</v>
      </c>
      <c r="M85" s="4" t="s">
        <v>21</v>
      </c>
      <c r="N85" s="4">
        <v>4</v>
      </c>
      <c r="O85" s="5">
        <v>500</v>
      </c>
      <c r="P85">
        <f t="shared" si="15"/>
        <v>2000</v>
      </c>
      <c r="Q85" s="14">
        <f t="shared" si="16"/>
        <v>30</v>
      </c>
      <c r="R85" s="14">
        <f t="shared" si="17"/>
        <v>40</v>
      </c>
    </row>
    <row r="86" spans="1:18" x14ac:dyDescent="0.35">
      <c r="A86" s="2">
        <v>75</v>
      </c>
      <c r="B86" s="4">
        <f t="shared" si="9"/>
        <v>6</v>
      </c>
      <c r="C86" s="4">
        <f t="shared" si="10"/>
        <v>7</v>
      </c>
      <c r="D86" s="4">
        <f t="shared" si="11"/>
        <v>2023</v>
      </c>
      <c r="E86" s="4" t="str">
        <f t="shared" si="12"/>
        <v>Thursday</v>
      </c>
      <c r="F86" s="4" t="str">
        <f t="shared" si="13"/>
        <v>July</v>
      </c>
      <c r="G86" s="4" t="str">
        <f t="shared" si="14"/>
        <v>2023</v>
      </c>
      <c r="H86" s="3">
        <v>45113</v>
      </c>
      <c r="I86" s="4" t="s">
        <v>100</v>
      </c>
      <c r="J86" s="4" t="s">
        <v>20</v>
      </c>
      <c r="K86" s="4" t="str" cm="1">
        <f t="array" ref="K86">_xlfn.IFS(L86&gt;50,"Senior", L86&gt;=30,"Adult", L86&lt;30,"Young Adult")</f>
        <v>Senior</v>
      </c>
      <c r="L86" s="4">
        <v>61</v>
      </c>
      <c r="M86" s="4" t="s">
        <v>21</v>
      </c>
      <c r="N86" s="4">
        <v>4</v>
      </c>
      <c r="O86" s="5">
        <v>50</v>
      </c>
      <c r="P86">
        <f t="shared" si="15"/>
        <v>200</v>
      </c>
      <c r="Q86" s="14">
        <f t="shared" si="16"/>
        <v>3</v>
      </c>
      <c r="R86" s="14">
        <f t="shared" si="17"/>
        <v>4</v>
      </c>
    </row>
    <row r="87" spans="1:18" x14ac:dyDescent="0.35">
      <c r="A87" s="2">
        <v>76</v>
      </c>
      <c r="B87" s="4">
        <f t="shared" si="9"/>
        <v>25</v>
      </c>
      <c r="C87" s="4">
        <f t="shared" si="10"/>
        <v>3</v>
      </c>
      <c r="D87" s="4">
        <f t="shared" si="11"/>
        <v>2023</v>
      </c>
      <c r="E87" s="4" t="str">
        <f t="shared" si="12"/>
        <v>Saturday</v>
      </c>
      <c r="F87" s="4" t="str">
        <f t="shared" si="13"/>
        <v>March</v>
      </c>
      <c r="G87" s="4" t="str">
        <f t="shared" si="14"/>
        <v>2023</v>
      </c>
      <c r="H87" s="3">
        <v>45010</v>
      </c>
      <c r="I87" s="4" t="s">
        <v>101</v>
      </c>
      <c r="J87" s="4" t="s">
        <v>23</v>
      </c>
      <c r="K87" s="4" t="str" cm="1">
        <f t="array" ref="K87">_xlfn.IFS(L87&gt;50,"Senior", L87&gt;=30,"Adult", L87&lt;30,"Young Adult")</f>
        <v>Young Adult</v>
      </c>
      <c r="L87" s="4">
        <v>22</v>
      </c>
      <c r="M87" s="4" t="s">
        <v>26</v>
      </c>
      <c r="N87" s="4">
        <v>2</v>
      </c>
      <c r="O87" s="5">
        <v>50</v>
      </c>
      <c r="P87">
        <f t="shared" si="15"/>
        <v>100</v>
      </c>
      <c r="Q87" s="14">
        <f t="shared" si="16"/>
        <v>1.5</v>
      </c>
      <c r="R87" s="14">
        <f t="shared" si="17"/>
        <v>2</v>
      </c>
    </row>
    <row r="88" spans="1:18" x14ac:dyDescent="0.35">
      <c r="A88" s="2">
        <v>77</v>
      </c>
      <c r="B88" s="4">
        <f t="shared" si="9"/>
        <v>9</v>
      </c>
      <c r="C88" s="4">
        <f t="shared" si="10"/>
        <v>7</v>
      </c>
      <c r="D88" s="4">
        <f t="shared" si="11"/>
        <v>2023</v>
      </c>
      <c r="E88" s="4" t="str">
        <f t="shared" si="12"/>
        <v>Sunday</v>
      </c>
      <c r="F88" s="4" t="str">
        <f t="shared" si="13"/>
        <v>July</v>
      </c>
      <c r="G88" s="4" t="str">
        <f t="shared" si="14"/>
        <v>2023</v>
      </c>
      <c r="H88" s="3">
        <v>45116</v>
      </c>
      <c r="I88" s="4" t="s">
        <v>102</v>
      </c>
      <c r="J88" s="4" t="s">
        <v>23</v>
      </c>
      <c r="K88" s="4" t="str" cm="1">
        <f t="array" ref="K88">_xlfn.IFS(L88&gt;50,"Senior", L88&gt;=30,"Adult", L88&lt;30,"Young Adult")</f>
        <v>Adult</v>
      </c>
      <c r="L88" s="4">
        <v>47</v>
      </c>
      <c r="M88" s="4" t="s">
        <v>24</v>
      </c>
      <c r="N88" s="4">
        <v>2</v>
      </c>
      <c r="O88" s="5">
        <v>50</v>
      </c>
      <c r="P88">
        <f t="shared" si="15"/>
        <v>100</v>
      </c>
      <c r="Q88" s="14">
        <f t="shared" si="16"/>
        <v>1.5</v>
      </c>
      <c r="R88" s="14">
        <f t="shared" si="17"/>
        <v>2</v>
      </c>
    </row>
    <row r="89" spans="1:18" x14ac:dyDescent="0.35">
      <c r="A89" s="2">
        <v>78</v>
      </c>
      <c r="B89" s="4">
        <f t="shared" si="9"/>
        <v>1</v>
      </c>
      <c r="C89" s="4">
        <f t="shared" si="10"/>
        <v>7</v>
      </c>
      <c r="D89" s="4">
        <f t="shared" si="11"/>
        <v>2023</v>
      </c>
      <c r="E89" s="4" t="str">
        <f t="shared" si="12"/>
        <v>Saturday</v>
      </c>
      <c r="F89" s="4" t="str">
        <f t="shared" si="13"/>
        <v>July</v>
      </c>
      <c r="G89" s="4" t="str">
        <f t="shared" si="14"/>
        <v>2023</v>
      </c>
      <c r="H89" s="3">
        <v>45108</v>
      </c>
      <c r="I89" s="4" t="s">
        <v>103</v>
      </c>
      <c r="J89" s="4" t="s">
        <v>23</v>
      </c>
      <c r="K89" s="4" t="str" cm="1">
        <f t="array" ref="K89">_xlfn.IFS(L89&gt;50,"Senior", L89&gt;=30,"Adult", L89&lt;30,"Young Adult")</f>
        <v>Adult</v>
      </c>
      <c r="L89" s="4">
        <v>47</v>
      </c>
      <c r="M89" s="4" t="s">
        <v>24</v>
      </c>
      <c r="N89" s="4">
        <v>3</v>
      </c>
      <c r="O89" s="5">
        <v>500</v>
      </c>
      <c r="P89">
        <f t="shared" si="15"/>
        <v>1500</v>
      </c>
      <c r="Q89" s="14">
        <f t="shared" si="16"/>
        <v>22.5</v>
      </c>
      <c r="R89" s="14">
        <f t="shared" si="17"/>
        <v>30</v>
      </c>
    </row>
    <row r="90" spans="1:18" x14ac:dyDescent="0.35">
      <c r="A90" s="2">
        <v>79</v>
      </c>
      <c r="B90" s="4">
        <f t="shared" si="9"/>
        <v>18</v>
      </c>
      <c r="C90" s="4">
        <f t="shared" si="10"/>
        <v>4</v>
      </c>
      <c r="D90" s="4">
        <f t="shared" si="11"/>
        <v>2023</v>
      </c>
      <c r="E90" s="4" t="str">
        <f t="shared" si="12"/>
        <v>Tuesday</v>
      </c>
      <c r="F90" s="4" t="str">
        <f t="shared" si="13"/>
        <v>April</v>
      </c>
      <c r="G90" s="4" t="str">
        <f t="shared" si="14"/>
        <v>2023</v>
      </c>
      <c r="H90" s="3">
        <v>45034</v>
      </c>
      <c r="I90" s="4" t="s">
        <v>104</v>
      </c>
      <c r="J90" s="4" t="s">
        <v>20</v>
      </c>
      <c r="K90" s="4" t="str" cm="1">
        <f t="array" ref="K90">_xlfn.IFS(L90&gt;50,"Senior", L90&gt;=30,"Adult", L90&lt;30,"Young Adult")</f>
        <v>Adult</v>
      </c>
      <c r="L90" s="4">
        <v>34</v>
      </c>
      <c r="M90" s="4" t="s">
        <v>21</v>
      </c>
      <c r="N90" s="4">
        <v>1</v>
      </c>
      <c r="O90" s="5">
        <v>300</v>
      </c>
      <c r="P90">
        <f t="shared" si="15"/>
        <v>300</v>
      </c>
      <c r="Q90" s="14">
        <f t="shared" si="16"/>
        <v>4.5</v>
      </c>
      <c r="R90" s="14">
        <f t="shared" si="17"/>
        <v>6</v>
      </c>
    </row>
    <row r="91" spans="1:18" x14ac:dyDescent="0.35">
      <c r="A91" s="2">
        <v>80</v>
      </c>
      <c r="B91" s="4">
        <f t="shared" si="9"/>
        <v>10</v>
      </c>
      <c r="C91" s="4">
        <f t="shared" si="10"/>
        <v>12</v>
      </c>
      <c r="D91" s="4">
        <f t="shared" si="11"/>
        <v>2023</v>
      </c>
      <c r="E91" s="4" t="str">
        <f t="shared" si="12"/>
        <v>Sunday</v>
      </c>
      <c r="F91" s="4" t="str">
        <f t="shared" si="13"/>
        <v>December</v>
      </c>
      <c r="G91" s="4" t="str">
        <f t="shared" si="14"/>
        <v>2023</v>
      </c>
      <c r="H91" s="3">
        <v>45270</v>
      </c>
      <c r="I91" s="4" t="s">
        <v>105</v>
      </c>
      <c r="J91" s="4" t="s">
        <v>23</v>
      </c>
      <c r="K91" s="4" t="str" cm="1">
        <f t="array" ref="K91">_xlfn.IFS(L91&gt;50,"Senior", L91&gt;=30,"Adult", L91&lt;30,"Young Adult")</f>
        <v>Senior</v>
      </c>
      <c r="L91" s="4">
        <v>64</v>
      </c>
      <c r="M91" s="4" t="s">
        <v>24</v>
      </c>
      <c r="N91" s="4">
        <v>2</v>
      </c>
      <c r="O91" s="5">
        <v>30</v>
      </c>
      <c r="P91">
        <f t="shared" si="15"/>
        <v>60</v>
      </c>
      <c r="Q91" s="14">
        <f t="shared" si="16"/>
        <v>0.89999999999999991</v>
      </c>
      <c r="R91" s="14">
        <f t="shared" si="17"/>
        <v>1.2</v>
      </c>
    </row>
    <row r="92" spans="1:18" x14ac:dyDescent="0.35">
      <c r="A92" s="2">
        <v>81</v>
      </c>
      <c r="B92" s="4">
        <f t="shared" si="9"/>
        <v>17</v>
      </c>
      <c r="C92" s="4">
        <f t="shared" si="10"/>
        <v>5</v>
      </c>
      <c r="D92" s="4">
        <f t="shared" si="11"/>
        <v>2023</v>
      </c>
      <c r="E92" s="4" t="str">
        <f t="shared" si="12"/>
        <v>Wednesday</v>
      </c>
      <c r="F92" s="4" t="str">
        <f t="shared" si="13"/>
        <v>May</v>
      </c>
      <c r="G92" s="4" t="str">
        <f t="shared" si="14"/>
        <v>2023</v>
      </c>
      <c r="H92" s="3">
        <v>45063</v>
      </c>
      <c r="I92" s="4" t="s">
        <v>106</v>
      </c>
      <c r="J92" s="4" t="s">
        <v>20</v>
      </c>
      <c r="K92" s="4" t="str" cm="1">
        <f t="array" ref="K92">_xlfn.IFS(L92&gt;50,"Senior", L92&gt;=30,"Adult", L92&lt;30,"Young Adult")</f>
        <v>Adult</v>
      </c>
      <c r="L92" s="4">
        <v>40</v>
      </c>
      <c r="M92" s="4" t="s">
        <v>26</v>
      </c>
      <c r="N92" s="4">
        <v>1</v>
      </c>
      <c r="O92" s="5">
        <v>50</v>
      </c>
      <c r="P92">
        <f t="shared" si="15"/>
        <v>50</v>
      </c>
      <c r="Q92" s="14">
        <f t="shared" si="16"/>
        <v>0.75</v>
      </c>
      <c r="R92" s="14">
        <f t="shared" si="17"/>
        <v>1</v>
      </c>
    </row>
    <row r="93" spans="1:18" x14ac:dyDescent="0.35">
      <c r="A93" s="2">
        <v>82</v>
      </c>
      <c r="B93" s="4">
        <f t="shared" si="9"/>
        <v>26</v>
      </c>
      <c r="C93" s="4">
        <f t="shared" si="10"/>
        <v>12</v>
      </c>
      <c r="D93" s="4">
        <f t="shared" si="11"/>
        <v>2023</v>
      </c>
      <c r="E93" s="4" t="str">
        <f t="shared" si="12"/>
        <v>Tuesday</v>
      </c>
      <c r="F93" s="4" t="str">
        <f t="shared" si="13"/>
        <v>December</v>
      </c>
      <c r="G93" s="4" t="str">
        <f t="shared" si="14"/>
        <v>2023</v>
      </c>
      <c r="H93" s="3">
        <v>45286</v>
      </c>
      <c r="I93" s="4" t="s">
        <v>107</v>
      </c>
      <c r="J93" s="4" t="s">
        <v>23</v>
      </c>
      <c r="K93" s="4" t="str" cm="1">
        <f t="array" ref="K93">_xlfn.IFS(L93&gt;50,"Senior", L93&gt;=30,"Adult", L93&lt;30,"Young Adult")</f>
        <v>Adult</v>
      </c>
      <c r="L93" s="4">
        <v>32</v>
      </c>
      <c r="M93" s="4" t="s">
        <v>21</v>
      </c>
      <c r="N93" s="4">
        <v>4</v>
      </c>
      <c r="O93" s="5">
        <v>50</v>
      </c>
      <c r="P93">
        <f t="shared" si="15"/>
        <v>200</v>
      </c>
      <c r="Q93" s="14">
        <f t="shared" si="16"/>
        <v>3</v>
      </c>
      <c r="R93" s="14">
        <f t="shared" si="17"/>
        <v>4</v>
      </c>
    </row>
    <row r="94" spans="1:18" x14ac:dyDescent="0.35">
      <c r="A94" s="2">
        <v>83</v>
      </c>
      <c r="B94" s="4">
        <f t="shared" si="9"/>
        <v>16</v>
      </c>
      <c r="C94" s="4">
        <f t="shared" si="10"/>
        <v>12</v>
      </c>
      <c r="D94" s="4">
        <f t="shared" si="11"/>
        <v>2023</v>
      </c>
      <c r="E94" s="4" t="str">
        <f t="shared" si="12"/>
        <v>Saturday</v>
      </c>
      <c r="F94" s="4" t="str">
        <f t="shared" si="13"/>
        <v>December</v>
      </c>
      <c r="G94" s="4" t="str">
        <f t="shared" si="14"/>
        <v>2023</v>
      </c>
      <c r="H94" s="3">
        <v>45276</v>
      </c>
      <c r="I94" s="4" t="s">
        <v>108</v>
      </c>
      <c r="J94" s="4" t="s">
        <v>20</v>
      </c>
      <c r="K94" s="4" t="str" cm="1">
        <f t="array" ref="K94">_xlfn.IFS(L94&gt;50,"Senior", L94&gt;=30,"Adult", L94&lt;30,"Young Adult")</f>
        <v>Senior</v>
      </c>
      <c r="L94" s="4">
        <v>54</v>
      </c>
      <c r="M94" s="4" t="s">
        <v>26</v>
      </c>
      <c r="N94" s="4">
        <v>2</v>
      </c>
      <c r="O94" s="5">
        <v>50</v>
      </c>
      <c r="P94">
        <f t="shared" si="15"/>
        <v>100</v>
      </c>
      <c r="Q94" s="14">
        <f t="shared" si="16"/>
        <v>1.5</v>
      </c>
      <c r="R94" s="14">
        <f t="shared" si="17"/>
        <v>2</v>
      </c>
    </row>
    <row r="95" spans="1:18" x14ac:dyDescent="0.35">
      <c r="A95" s="2">
        <v>84</v>
      </c>
      <c r="B95" s="4">
        <f t="shared" si="9"/>
        <v>28</v>
      </c>
      <c r="C95" s="4">
        <f t="shared" si="10"/>
        <v>11</v>
      </c>
      <c r="D95" s="4">
        <f t="shared" si="11"/>
        <v>2023</v>
      </c>
      <c r="E95" s="4" t="str">
        <f t="shared" si="12"/>
        <v>Tuesday</v>
      </c>
      <c r="F95" s="4" t="str">
        <f t="shared" si="13"/>
        <v>November</v>
      </c>
      <c r="G95" s="4" t="str">
        <f t="shared" si="14"/>
        <v>2023</v>
      </c>
      <c r="H95" s="3">
        <v>45258</v>
      </c>
      <c r="I95" s="4" t="s">
        <v>109</v>
      </c>
      <c r="J95" s="4" t="s">
        <v>23</v>
      </c>
      <c r="K95" s="4" t="str" cm="1">
        <f t="array" ref="K95">_xlfn.IFS(L95&gt;50,"Senior", L95&gt;=30,"Adult", L95&lt;30,"Young Adult")</f>
        <v>Adult</v>
      </c>
      <c r="L95" s="4">
        <v>38</v>
      </c>
      <c r="M95" s="4" t="s">
        <v>26</v>
      </c>
      <c r="N95" s="4">
        <v>3</v>
      </c>
      <c r="O95" s="5">
        <v>30</v>
      </c>
      <c r="P95">
        <f t="shared" si="15"/>
        <v>90</v>
      </c>
      <c r="Q95" s="14">
        <f t="shared" si="16"/>
        <v>1.3499999999999999</v>
      </c>
      <c r="R95" s="14">
        <f t="shared" si="17"/>
        <v>1.8</v>
      </c>
    </row>
    <row r="96" spans="1:18" x14ac:dyDescent="0.35">
      <c r="A96" s="2">
        <v>85</v>
      </c>
      <c r="B96" s="4">
        <f t="shared" si="9"/>
        <v>6</v>
      </c>
      <c r="C96" s="4">
        <f t="shared" si="10"/>
        <v>2</v>
      </c>
      <c r="D96" s="4">
        <f t="shared" si="11"/>
        <v>2023</v>
      </c>
      <c r="E96" s="4" t="str">
        <f t="shared" si="12"/>
        <v>Monday</v>
      </c>
      <c r="F96" s="4" t="str">
        <f t="shared" si="13"/>
        <v>February</v>
      </c>
      <c r="G96" s="4" t="str">
        <f t="shared" si="14"/>
        <v>2023</v>
      </c>
      <c r="H96" s="3">
        <v>44963</v>
      </c>
      <c r="I96" s="4" t="s">
        <v>110</v>
      </c>
      <c r="J96" s="4" t="s">
        <v>20</v>
      </c>
      <c r="K96" s="4" t="str" cm="1">
        <f t="array" ref="K96">_xlfn.IFS(L96&gt;50,"Senior", L96&gt;=30,"Adult", L96&lt;30,"Young Adult")</f>
        <v>Adult</v>
      </c>
      <c r="L96" s="4">
        <v>31</v>
      </c>
      <c r="M96" s="4" t="s">
        <v>24</v>
      </c>
      <c r="N96" s="4">
        <v>3</v>
      </c>
      <c r="O96" s="5">
        <v>50</v>
      </c>
      <c r="P96">
        <f t="shared" si="15"/>
        <v>150</v>
      </c>
      <c r="Q96" s="14">
        <f t="shared" si="16"/>
        <v>2.25</v>
      </c>
      <c r="R96" s="14">
        <f t="shared" si="17"/>
        <v>3</v>
      </c>
    </row>
    <row r="97" spans="1:18" x14ac:dyDescent="0.35">
      <c r="A97" s="2">
        <v>86</v>
      </c>
      <c r="B97" s="4">
        <f t="shared" si="9"/>
        <v>8</v>
      </c>
      <c r="C97" s="4">
        <f t="shared" si="10"/>
        <v>11</v>
      </c>
      <c r="D97" s="4">
        <f t="shared" si="11"/>
        <v>2023</v>
      </c>
      <c r="E97" s="4" t="str">
        <f t="shared" si="12"/>
        <v>Wednesday</v>
      </c>
      <c r="F97" s="4" t="str">
        <f t="shared" si="13"/>
        <v>November</v>
      </c>
      <c r="G97" s="4" t="str">
        <f t="shared" si="14"/>
        <v>2023</v>
      </c>
      <c r="H97" s="3">
        <v>45238</v>
      </c>
      <c r="I97" s="4" t="s">
        <v>111</v>
      </c>
      <c r="J97" s="4" t="s">
        <v>20</v>
      </c>
      <c r="K97" s="4" t="str" cm="1">
        <f t="array" ref="K97">_xlfn.IFS(L97&gt;50,"Senior", L97&gt;=30,"Adult", L97&lt;30,"Young Adult")</f>
        <v>Young Adult</v>
      </c>
      <c r="L97" s="4">
        <v>19</v>
      </c>
      <c r="M97" s="4" t="s">
        <v>21</v>
      </c>
      <c r="N97" s="4">
        <v>3</v>
      </c>
      <c r="O97" s="5">
        <v>30</v>
      </c>
      <c r="P97">
        <f t="shared" si="15"/>
        <v>90</v>
      </c>
      <c r="Q97" s="14">
        <f t="shared" si="16"/>
        <v>1.3499999999999999</v>
      </c>
      <c r="R97" s="14">
        <f t="shared" si="17"/>
        <v>1.8</v>
      </c>
    </row>
    <row r="98" spans="1:18" x14ac:dyDescent="0.35">
      <c r="A98" s="2">
        <v>87</v>
      </c>
      <c r="B98" s="4">
        <f t="shared" si="9"/>
        <v>22</v>
      </c>
      <c r="C98" s="4">
        <f t="shared" si="10"/>
        <v>11</v>
      </c>
      <c r="D98" s="4">
        <f t="shared" si="11"/>
        <v>2023</v>
      </c>
      <c r="E98" s="4" t="str">
        <f t="shared" si="12"/>
        <v>Wednesday</v>
      </c>
      <c r="F98" s="4" t="str">
        <f t="shared" si="13"/>
        <v>November</v>
      </c>
      <c r="G98" s="4" t="str">
        <f t="shared" si="14"/>
        <v>2023</v>
      </c>
      <c r="H98" s="3">
        <v>45252</v>
      </c>
      <c r="I98" s="4" t="s">
        <v>112</v>
      </c>
      <c r="J98" s="4" t="s">
        <v>23</v>
      </c>
      <c r="K98" s="4" t="str" cm="1">
        <f t="array" ref="K98">_xlfn.IFS(L98&gt;50,"Senior", L98&gt;=30,"Adult", L98&lt;30,"Young Adult")</f>
        <v>Young Adult</v>
      </c>
      <c r="L98" s="4">
        <v>28</v>
      </c>
      <c r="M98" s="4" t="s">
        <v>21</v>
      </c>
      <c r="N98" s="4">
        <v>2</v>
      </c>
      <c r="O98" s="5">
        <v>50</v>
      </c>
      <c r="P98">
        <f t="shared" si="15"/>
        <v>100</v>
      </c>
      <c r="Q98" s="14">
        <f t="shared" si="16"/>
        <v>1.5</v>
      </c>
      <c r="R98" s="14">
        <f t="shared" si="17"/>
        <v>2</v>
      </c>
    </row>
    <row r="99" spans="1:18" x14ac:dyDescent="0.35">
      <c r="A99" s="2">
        <v>88</v>
      </c>
      <c r="B99" s="4">
        <f t="shared" si="9"/>
        <v>29</v>
      </c>
      <c r="C99" s="4">
        <f t="shared" si="10"/>
        <v>3</v>
      </c>
      <c r="D99" s="4">
        <f t="shared" si="11"/>
        <v>2023</v>
      </c>
      <c r="E99" s="4" t="str">
        <f t="shared" si="12"/>
        <v>Wednesday</v>
      </c>
      <c r="F99" s="4" t="str">
        <f t="shared" si="13"/>
        <v>March</v>
      </c>
      <c r="G99" s="4" t="str">
        <f t="shared" si="14"/>
        <v>2023</v>
      </c>
      <c r="H99" s="3">
        <v>45014</v>
      </c>
      <c r="I99" s="4" t="s">
        <v>113</v>
      </c>
      <c r="J99" s="4" t="s">
        <v>20</v>
      </c>
      <c r="K99" s="4" t="str" cm="1">
        <f t="array" ref="K99">_xlfn.IFS(L99&gt;50,"Senior", L99&gt;=30,"Adult", L99&lt;30,"Young Adult")</f>
        <v>Senior</v>
      </c>
      <c r="L99" s="4">
        <v>56</v>
      </c>
      <c r="M99" s="4" t="s">
        <v>24</v>
      </c>
      <c r="N99" s="4">
        <v>1</v>
      </c>
      <c r="O99" s="5">
        <v>500</v>
      </c>
      <c r="P99">
        <f t="shared" si="15"/>
        <v>500</v>
      </c>
      <c r="Q99" s="14">
        <f t="shared" si="16"/>
        <v>7.5</v>
      </c>
      <c r="R99" s="14">
        <f t="shared" si="17"/>
        <v>10</v>
      </c>
    </row>
    <row r="100" spans="1:18" x14ac:dyDescent="0.35">
      <c r="A100" s="2">
        <v>89</v>
      </c>
      <c r="B100" s="4">
        <f t="shared" si="9"/>
        <v>1</v>
      </c>
      <c r="C100" s="4">
        <f t="shared" si="10"/>
        <v>10</v>
      </c>
      <c r="D100" s="4">
        <f t="shared" si="11"/>
        <v>2023</v>
      </c>
      <c r="E100" s="4" t="str">
        <f t="shared" si="12"/>
        <v>Sunday</v>
      </c>
      <c r="F100" s="4" t="str">
        <f t="shared" si="13"/>
        <v>October</v>
      </c>
      <c r="G100" s="4" t="str">
        <f t="shared" si="14"/>
        <v>2023</v>
      </c>
      <c r="H100" s="3">
        <v>45200</v>
      </c>
      <c r="I100" s="4" t="s">
        <v>114</v>
      </c>
      <c r="J100" s="4" t="s">
        <v>23</v>
      </c>
      <c r="K100" s="4" t="str" cm="1">
        <f t="array" ref="K100">_xlfn.IFS(L100&gt;50,"Senior", L100&gt;=30,"Adult", L100&lt;30,"Young Adult")</f>
        <v>Senior</v>
      </c>
      <c r="L100" s="4">
        <v>55</v>
      </c>
      <c r="M100" s="4" t="s">
        <v>26</v>
      </c>
      <c r="N100" s="4">
        <v>4</v>
      </c>
      <c r="O100" s="5">
        <v>500</v>
      </c>
      <c r="P100">
        <f t="shared" si="15"/>
        <v>2000</v>
      </c>
      <c r="Q100" s="14">
        <f t="shared" si="16"/>
        <v>30</v>
      </c>
      <c r="R100" s="14">
        <f t="shared" si="17"/>
        <v>40</v>
      </c>
    </row>
    <row r="101" spans="1:18" x14ac:dyDescent="0.35">
      <c r="A101" s="2">
        <v>90</v>
      </c>
      <c r="B101" s="4">
        <f t="shared" si="9"/>
        <v>6</v>
      </c>
      <c r="C101" s="4">
        <f t="shared" si="10"/>
        <v>5</v>
      </c>
      <c r="D101" s="4">
        <f t="shared" si="11"/>
        <v>2023</v>
      </c>
      <c r="E101" s="4" t="str">
        <f t="shared" si="12"/>
        <v>Saturday</v>
      </c>
      <c r="F101" s="4" t="str">
        <f t="shared" si="13"/>
        <v>May</v>
      </c>
      <c r="G101" s="4" t="str">
        <f t="shared" si="14"/>
        <v>2023</v>
      </c>
      <c r="H101" s="3">
        <v>45052</v>
      </c>
      <c r="I101" s="4" t="s">
        <v>115</v>
      </c>
      <c r="J101" s="4" t="s">
        <v>23</v>
      </c>
      <c r="K101" s="4" t="str" cm="1">
        <f t="array" ref="K101">_xlfn.IFS(L101&gt;50,"Senior", L101&gt;=30,"Adult", L101&lt;30,"Young Adult")</f>
        <v>Senior</v>
      </c>
      <c r="L101" s="4">
        <v>51</v>
      </c>
      <c r="M101" s="4" t="s">
        <v>26</v>
      </c>
      <c r="N101" s="4">
        <v>1</v>
      </c>
      <c r="O101" s="5">
        <v>30</v>
      </c>
      <c r="P101">
        <f t="shared" si="15"/>
        <v>30</v>
      </c>
      <c r="Q101" s="14">
        <f t="shared" si="16"/>
        <v>0.44999999999999996</v>
      </c>
      <c r="R101" s="14">
        <f t="shared" si="17"/>
        <v>0.6</v>
      </c>
    </row>
    <row r="102" spans="1:18" x14ac:dyDescent="0.35">
      <c r="A102" s="2">
        <v>91</v>
      </c>
      <c r="B102" s="4">
        <f t="shared" si="9"/>
        <v>25</v>
      </c>
      <c r="C102" s="4">
        <f t="shared" si="10"/>
        <v>3</v>
      </c>
      <c r="D102" s="4">
        <f t="shared" si="11"/>
        <v>2023</v>
      </c>
      <c r="E102" s="4" t="str">
        <f t="shared" si="12"/>
        <v>Saturday</v>
      </c>
      <c r="F102" s="4" t="str">
        <f t="shared" si="13"/>
        <v>March</v>
      </c>
      <c r="G102" s="4" t="str">
        <f t="shared" si="14"/>
        <v>2023</v>
      </c>
      <c r="H102" s="3">
        <v>45010</v>
      </c>
      <c r="I102" s="4" t="s">
        <v>116</v>
      </c>
      <c r="J102" s="4" t="s">
        <v>23</v>
      </c>
      <c r="K102" s="4" t="str" cm="1">
        <f t="array" ref="K102">_xlfn.IFS(L102&gt;50,"Senior", L102&gt;=30,"Adult", L102&lt;30,"Young Adult")</f>
        <v>Senior</v>
      </c>
      <c r="L102" s="4">
        <v>55</v>
      </c>
      <c r="M102" s="4" t="s">
        <v>26</v>
      </c>
      <c r="N102" s="4">
        <v>1</v>
      </c>
      <c r="O102" s="5">
        <v>500</v>
      </c>
      <c r="P102">
        <f t="shared" si="15"/>
        <v>500</v>
      </c>
      <c r="Q102" s="14">
        <f t="shared" si="16"/>
        <v>7.5</v>
      </c>
      <c r="R102" s="14">
        <f t="shared" si="17"/>
        <v>10</v>
      </c>
    </row>
    <row r="103" spans="1:18" x14ac:dyDescent="0.35">
      <c r="A103" s="2">
        <v>92</v>
      </c>
      <c r="B103" s="4">
        <f t="shared" si="9"/>
        <v>25</v>
      </c>
      <c r="C103" s="4">
        <f t="shared" si="10"/>
        <v>8</v>
      </c>
      <c r="D103" s="4">
        <f t="shared" si="11"/>
        <v>2023</v>
      </c>
      <c r="E103" s="4" t="str">
        <f t="shared" si="12"/>
        <v>Friday</v>
      </c>
      <c r="F103" s="4" t="str">
        <f t="shared" si="13"/>
        <v>August</v>
      </c>
      <c r="G103" s="4" t="str">
        <f t="shared" si="14"/>
        <v>2023</v>
      </c>
      <c r="H103" s="3">
        <v>45163</v>
      </c>
      <c r="I103" s="4" t="s">
        <v>117</v>
      </c>
      <c r="J103" s="4" t="s">
        <v>23</v>
      </c>
      <c r="K103" s="4" t="str" cm="1">
        <f t="array" ref="K103">_xlfn.IFS(L103&gt;50,"Senior", L103&gt;=30,"Adult", L103&lt;30,"Young Adult")</f>
        <v>Senior</v>
      </c>
      <c r="L103" s="4">
        <v>51</v>
      </c>
      <c r="M103" s="4" t="s">
        <v>26</v>
      </c>
      <c r="N103" s="4">
        <v>4</v>
      </c>
      <c r="O103" s="5">
        <v>30</v>
      </c>
      <c r="P103">
        <f t="shared" si="15"/>
        <v>120</v>
      </c>
      <c r="Q103" s="14">
        <f t="shared" si="16"/>
        <v>1.7999999999999998</v>
      </c>
      <c r="R103" s="14">
        <f t="shared" si="17"/>
        <v>2.4</v>
      </c>
    </row>
    <row r="104" spans="1:18" x14ac:dyDescent="0.35">
      <c r="A104" s="2">
        <v>93</v>
      </c>
      <c r="B104" s="4">
        <f t="shared" si="9"/>
        <v>14</v>
      </c>
      <c r="C104" s="4">
        <f t="shared" si="10"/>
        <v>7</v>
      </c>
      <c r="D104" s="4">
        <f t="shared" si="11"/>
        <v>2023</v>
      </c>
      <c r="E104" s="4" t="str">
        <f t="shared" si="12"/>
        <v>Friday</v>
      </c>
      <c r="F104" s="4" t="str">
        <f t="shared" si="13"/>
        <v>July</v>
      </c>
      <c r="G104" s="4" t="str">
        <f t="shared" si="14"/>
        <v>2023</v>
      </c>
      <c r="H104" s="3">
        <v>45121</v>
      </c>
      <c r="I104" s="4" t="s">
        <v>118</v>
      </c>
      <c r="J104" s="4" t="s">
        <v>23</v>
      </c>
      <c r="K104" s="4" t="str" cm="1">
        <f t="array" ref="K104">_xlfn.IFS(L104&gt;50,"Senior", L104&gt;=30,"Adult", L104&lt;30,"Young Adult")</f>
        <v>Adult</v>
      </c>
      <c r="L104" s="4">
        <v>35</v>
      </c>
      <c r="M104" s="4" t="s">
        <v>21</v>
      </c>
      <c r="N104" s="4">
        <v>4</v>
      </c>
      <c r="O104" s="5">
        <v>500</v>
      </c>
      <c r="P104">
        <f t="shared" si="15"/>
        <v>2000</v>
      </c>
      <c r="Q104" s="14">
        <f t="shared" si="16"/>
        <v>30</v>
      </c>
      <c r="R104" s="14">
        <f t="shared" si="17"/>
        <v>40</v>
      </c>
    </row>
    <row r="105" spans="1:18" x14ac:dyDescent="0.35">
      <c r="A105" s="2">
        <v>94</v>
      </c>
      <c r="B105" s="4">
        <f t="shared" si="9"/>
        <v>19</v>
      </c>
      <c r="C105" s="4">
        <f t="shared" si="10"/>
        <v>5</v>
      </c>
      <c r="D105" s="4">
        <f t="shared" si="11"/>
        <v>2023</v>
      </c>
      <c r="E105" s="4" t="str">
        <f t="shared" si="12"/>
        <v>Friday</v>
      </c>
      <c r="F105" s="4" t="str">
        <f t="shared" si="13"/>
        <v>May</v>
      </c>
      <c r="G105" s="4" t="str">
        <f t="shared" si="14"/>
        <v>2023</v>
      </c>
      <c r="H105" s="3">
        <v>45065</v>
      </c>
      <c r="I105" s="4" t="s">
        <v>119</v>
      </c>
      <c r="J105" s="4" t="s">
        <v>23</v>
      </c>
      <c r="K105" s="4" t="str" cm="1">
        <f t="array" ref="K105">_xlfn.IFS(L105&gt;50,"Senior", L105&gt;=30,"Adult", L105&lt;30,"Young Adult")</f>
        <v>Adult</v>
      </c>
      <c r="L105" s="4">
        <v>47</v>
      </c>
      <c r="M105" s="4" t="s">
        <v>21</v>
      </c>
      <c r="N105" s="4">
        <v>2</v>
      </c>
      <c r="O105" s="5">
        <v>500</v>
      </c>
      <c r="P105">
        <f t="shared" si="15"/>
        <v>1000</v>
      </c>
      <c r="Q105" s="14">
        <f t="shared" si="16"/>
        <v>15</v>
      </c>
      <c r="R105" s="14">
        <f t="shared" si="17"/>
        <v>20</v>
      </c>
    </row>
    <row r="106" spans="1:18" x14ac:dyDescent="0.35">
      <c r="A106" s="2">
        <v>95</v>
      </c>
      <c r="B106" s="4">
        <f t="shared" si="9"/>
        <v>24</v>
      </c>
      <c r="C106" s="4">
        <f t="shared" si="10"/>
        <v>11</v>
      </c>
      <c r="D106" s="4">
        <f t="shared" si="11"/>
        <v>2023</v>
      </c>
      <c r="E106" s="4" t="str">
        <f t="shared" si="12"/>
        <v>Friday</v>
      </c>
      <c r="F106" s="4" t="str">
        <f t="shared" si="13"/>
        <v>November</v>
      </c>
      <c r="G106" s="4" t="str">
        <f t="shared" si="14"/>
        <v>2023</v>
      </c>
      <c r="H106" s="3">
        <v>45254</v>
      </c>
      <c r="I106" s="4" t="s">
        <v>120</v>
      </c>
      <c r="J106" s="4" t="s">
        <v>23</v>
      </c>
      <c r="K106" s="4" t="str" cm="1">
        <f t="array" ref="K106">_xlfn.IFS(L106&gt;50,"Senior", L106&gt;=30,"Adult", L106&lt;30,"Young Adult")</f>
        <v>Adult</v>
      </c>
      <c r="L106" s="4">
        <v>32</v>
      </c>
      <c r="M106" s="4" t="s">
        <v>24</v>
      </c>
      <c r="N106" s="4">
        <v>2</v>
      </c>
      <c r="O106" s="5">
        <v>30</v>
      </c>
      <c r="P106">
        <f t="shared" si="15"/>
        <v>60</v>
      </c>
      <c r="Q106" s="14">
        <f t="shared" si="16"/>
        <v>0.89999999999999991</v>
      </c>
      <c r="R106" s="14">
        <f t="shared" si="17"/>
        <v>1.2</v>
      </c>
    </row>
    <row r="107" spans="1:18" x14ac:dyDescent="0.35">
      <c r="A107" s="2">
        <v>96</v>
      </c>
      <c r="B107" s="4">
        <f t="shared" si="9"/>
        <v>19</v>
      </c>
      <c r="C107" s="4">
        <f t="shared" si="10"/>
        <v>12</v>
      </c>
      <c r="D107" s="4">
        <f t="shared" si="11"/>
        <v>2023</v>
      </c>
      <c r="E107" s="4" t="str">
        <f t="shared" si="12"/>
        <v>Tuesday</v>
      </c>
      <c r="F107" s="4" t="str">
        <f t="shared" si="13"/>
        <v>December</v>
      </c>
      <c r="G107" s="4" t="str">
        <f t="shared" si="14"/>
        <v>2023</v>
      </c>
      <c r="H107" s="3">
        <v>45279</v>
      </c>
      <c r="I107" s="4" t="s">
        <v>121</v>
      </c>
      <c r="J107" s="4" t="s">
        <v>23</v>
      </c>
      <c r="K107" s="4" t="str" cm="1">
        <f t="array" ref="K107">_xlfn.IFS(L107&gt;50,"Senior", L107&gt;=30,"Adult", L107&lt;30,"Young Adult")</f>
        <v>Adult</v>
      </c>
      <c r="L107" s="4">
        <v>44</v>
      </c>
      <c r="M107" s="4" t="s">
        <v>24</v>
      </c>
      <c r="N107" s="4">
        <v>2</v>
      </c>
      <c r="O107" s="5">
        <v>300</v>
      </c>
      <c r="P107">
        <f t="shared" si="15"/>
        <v>600</v>
      </c>
      <c r="Q107" s="14">
        <f t="shared" si="16"/>
        <v>9</v>
      </c>
      <c r="R107" s="14">
        <f t="shared" si="17"/>
        <v>12</v>
      </c>
    </row>
    <row r="108" spans="1:18" x14ac:dyDescent="0.35">
      <c r="A108" s="2">
        <v>97</v>
      </c>
      <c r="B108" s="4">
        <f t="shared" si="9"/>
        <v>13</v>
      </c>
      <c r="C108" s="4">
        <f t="shared" si="10"/>
        <v>10</v>
      </c>
      <c r="D108" s="4">
        <f t="shared" si="11"/>
        <v>2023</v>
      </c>
      <c r="E108" s="4" t="str">
        <f t="shared" si="12"/>
        <v>Friday</v>
      </c>
      <c r="F108" s="4" t="str">
        <f t="shared" si="13"/>
        <v>October</v>
      </c>
      <c r="G108" s="4" t="str">
        <f t="shared" si="14"/>
        <v>2023</v>
      </c>
      <c r="H108" s="3">
        <v>45212</v>
      </c>
      <c r="I108" s="4" t="s">
        <v>122</v>
      </c>
      <c r="J108" s="4" t="s">
        <v>23</v>
      </c>
      <c r="K108" s="4" t="str" cm="1">
        <f t="array" ref="K108">_xlfn.IFS(L108&gt;50,"Senior", L108&gt;=30,"Adult", L108&lt;30,"Young Adult")</f>
        <v>Senior</v>
      </c>
      <c r="L108" s="4">
        <v>51</v>
      </c>
      <c r="M108" s="4" t="s">
        <v>21</v>
      </c>
      <c r="N108" s="4">
        <v>2</v>
      </c>
      <c r="O108" s="5">
        <v>500</v>
      </c>
      <c r="P108">
        <f t="shared" si="15"/>
        <v>1000</v>
      </c>
      <c r="Q108" s="14">
        <f t="shared" si="16"/>
        <v>15</v>
      </c>
      <c r="R108" s="14">
        <f t="shared" si="17"/>
        <v>20</v>
      </c>
    </row>
    <row r="109" spans="1:18" x14ac:dyDescent="0.35">
      <c r="A109" s="2">
        <v>98</v>
      </c>
      <c r="B109" s="4">
        <f t="shared" si="9"/>
        <v>23</v>
      </c>
      <c r="C109" s="4">
        <f t="shared" si="10"/>
        <v>4</v>
      </c>
      <c r="D109" s="4">
        <f t="shared" si="11"/>
        <v>2023</v>
      </c>
      <c r="E109" s="4" t="str">
        <f t="shared" si="12"/>
        <v>Sunday</v>
      </c>
      <c r="F109" s="4" t="str">
        <f t="shared" si="13"/>
        <v>April</v>
      </c>
      <c r="G109" s="4" t="str">
        <f t="shared" si="14"/>
        <v>2023</v>
      </c>
      <c r="H109" s="3">
        <v>45039</v>
      </c>
      <c r="I109" s="4" t="s">
        <v>123</v>
      </c>
      <c r="J109" s="4" t="s">
        <v>23</v>
      </c>
      <c r="K109" s="4" t="str" cm="1">
        <f t="array" ref="K109">_xlfn.IFS(L109&gt;50,"Senior", L109&gt;=30,"Adult", L109&lt;30,"Young Adult")</f>
        <v>Senior</v>
      </c>
      <c r="L109" s="4">
        <v>55</v>
      </c>
      <c r="M109" s="4" t="s">
        <v>21</v>
      </c>
      <c r="N109" s="4">
        <v>2</v>
      </c>
      <c r="O109" s="5">
        <v>50</v>
      </c>
      <c r="P109">
        <f t="shared" si="15"/>
        <v>100</v>
      </c>
      <c r="Q109" s="14">
        <f t="shared" si="16"/>
        <v>1.5</v>
      </c>
      <c r="R109" s="14">
        <f t="shared" si="17"/>
        <v>2</v>
      </c>
    </row>
    <row r="110" spans="1:18" x14ac:dyDescent="0.35">
      <c r="A110" s="2">
        <v>99</v>
      </c>
      <c r="B110" s="4">
        <f t="shared" si="9"/>
        <v>17</v>
      </c>
      <c r="C110" s="4">
        <f t="shared" si="10"/>
        <v>12</v>
      </c>
      <c r="D110" s="4">
        <f t="shared" si="11"/>
        <v>2023</v>
      </c>
      <c r="E110" s="4" t="str">
        <f t="shared" si="12"/>
        <v>Sunday</v>
      </c>
      <c r="F110" s="4" t="str">
        <f t="shared" si="13"/>
        <v>December</v>
      </c>
      <c r="G110" s="4" t="str">
        <f t="shared" si="14"/>
        <v>2023</v>
      </c>
      <c r="H110" s="3">
        <v>45277</v>
      </c>
      <c r="I110" s="4" t="s">
        <v>124</v>
      </c>
      <c r="J110" s="4" t="s">
        <v>23</v>
      </c>
      <c r="K110" s="4" t="str" cm="1">
        <f t="array" ref="K110">_xlfn.IFS(L110&gt;50,"Senior", L110&gt;=30,"Adult", L110&lt;30,"Young Adult")</f>
        <v>Adult</v>
      </c>
      <c r="L110" s="4">
        <v>50</v>
      </c>
      <c r="M110" s="4" t="s">
        <v>26</v>
      </c>
      <c r="N110" s="4">
        <v>4</v>
      </c>
      <c r="O110" s="5">
        <v>300</v>
      </c>
      <c r="P110">
        <f t="shared" si="15"/>
        <v>1200</v>
      </c>
      <c r="Q110" s="14">
        <f t="shared" si="16"/>
        <v>18</v>
      </c>
      <c r="R110" s="14">
        <f t="shared" si="17"/>
        <v>24</v>
      </c>
    </row>
    <row r="111" spans="1:18" x14ac:dyDescent="0.35">
      <c r="A111" s="2">
        <v>100</v>
      </c>
      <c r="B111" s="4">
        <f t="shared" si="9"/>
        <v>16</v>
      </c>
      <c r="C111" s="4">
        <f t="shared" si="10"/>
        <v>6</v>
      </c>
      <c r="D111" s="4">
        <f t="shared" si="11"/>
        <v>2023</v>
      </c>
      <c r="E111" s="4" t="str">
        <f t="shared" si="12"/>
        <v>Friday</v>
      </c>
      <c r="F111" s="4" t="str">
        <f t="shared" si="13"/>
        <v>June</v>
      </c>
      <c r="G111" s="4" t="str">
        <f t="shared" si="14"/>
        <v>2023</v>
      </c>
      <c r="H111" s="3">
        <v>45093</v>
      </c>
      <c r="I111" s="4" t="s">
        <v>125</v>
      </c>
      <c r="J111" s="4" t="s">
        <v>20</v>
      </c>
      <c r="K111" s="4" t="str" cm="1">
        <f t="array" ref="K111">_xlfn.IFS(L111&gt;50,"Senior", L111&gt;=30,"Adult", L111&lt;30,"Young Adult")</f>
        <v>Adult</v>
      </c>
      <c r="L111" s="4">
        <v>41</v>
      </c>
      <c r="M111" s="4" t="s">
        <v>26</v>
      </c>
      <c r="N111" s="4">
        <v>1</v>
      </c>
      <c r="O111" s="5">
        <v>30</v>
      </c>
      <c r="P111">
        <f t="shared" si="15"/>
        <v>30</v>
      </c>
      <c r="Q111" s="14">
        <f t="shared" si="16"/>
        <v>0.44999999999999996</v>
      </c>
      <c r="R111" s="14">
        <f t="shared" si="17"/>
        <v>0.6</v>
      </c>
    </row>
    <row r="112" spans="1:18" x14ac:dyDescent="0.35">
      <c r="A112" s="2">
        <v>101</v>
      </c>
      <c r="B112" s="4">
        <f t="shared" si="9"/>
        <v>29</v>
      </c>
      <c r="C112" s="4">
        <f t="shared" si="10"/>
        <v>1</v>
      </c>
      <c r="D112" s="4">
        <f t="shared" si="11"/>
        <v>2023</v>
      </c>
      <c r="E112" s="4" t="str">
        <f t="shared" si="12"/>
        <v>Sunday</v>
      </c>
      <c r="F112" s="4" t="str">
        <f t="shared" si="13"/>
        <v>January</v>
      </c>
      <c r="G112" s="4" t="str">
        <f t="shared" si="14"/>
        <v>2023</v>
      </c>
      <c r="H112" s="3">
        <v>44955</v>
      </c>
      <c r="I112" s="4" t="s">
        <v>126</v>
      </c>
      <c r="J112" s="4" t="s">
        <v>20</v>
      </c>
      <c r="K112" s="4" t="str" cm="1">
        <f t="array" ref="K112">_xlfn.IFS(L112&gt;50,"Senior", L112&gt;=30,"Adult", L112&lt;30,"Young Adult")</f>
        <v>Adult</v>
      </c>
      <c r="L112" s="4">
        <v>32</v>
      </c>
      <c r="M112" s="4" t="s">
        <v>24</v>
      </c>
      <c r="N112" s="4">
        <v>2</v>
      </c>
      <c r="O112" s="5">
        <v>300</v>
      </c>
      <c r="P112">
        <f t="shared" si="15"/>
        <v>600</v>
      </c>
      <c r="Q112" s="14">
        <f t="shared" si="16"/>
        <v>9</v>
      </c>
      <c r="R112" s="14">
        <f t="shared" si="17"/>
        <v>12</v>
      </c>
    </row>
    <row r="113" spans="1:18" x14ac:dyDescent="0.35">
      <c r="A113" s="2">
        <v>102</v>
      </c>
      <c r="B113" s="4">
        <f t="shared" si="9"/>
        <v>28</v>
      </c>
      <c r="C113" s="4">
        <f t="shared" si="10"/>
        <v>4</v>
      </c>
      <c r="D113" s="4">
        <f t="shared" si="11"/>
        <v>2023</v>
      </c>
      <c r="E113" s="4" t="str">
        <f t="shared" si="12"/>
        <v>Friday</v>
      </c>
      <c r="F113" s="4" t="str">
        <f t="shared" si="13"/>
        <v>April</v>
      </c>
      <c r="G113" s="4" t="str">
        <f t="shared" si="14"/>
        <v>2023</v>
      </c>
      <c r="H113" s="3">
        <v>45044</v>
      </c>
      <c r="I113" s="4" t="s">
        <v>127</v>
      </c>
      <c r="J113" s="4" t="s">
        <v>23</v>
      </c>
      <c r="K113" s="4" t="str" cm="1">
        <f t="array" ref="K113">_xlfn.IFS(L113&gt;50,"Senior", L113&gt;=30,"Adult", L113&lt;30,"Young Adult")</f>
        <v>Adult</v>
      </c>
      <c r="L113" s="4">
        <v>47</v>
      </c>
      <c r="M113" s="4" t="s">
        <v>21</v>
      </c>
      <c r="N113" s="4">
        <v>2</v>
      </c>
      <c r="O113" s="5">
        <v>25</v>
      </c>
      <c r="P113">
        <f t="shared" si="15"/>
        <v>50</v>
      </c>
      <c r="Q113" s="14">
        <f t="shared" si="16"/>
        <v>0.75</v>
      </c>
      <c r="R113" s="14">
        <f t="shared" si="17"/>
        <v>1</v>
      </c>
    </row>
    <row r="114" spans="1:18" x14ac:dyDescent="0.35">
      <c r="A114" s="2">
        <v>103</v>
      </c>
      <c r="B114" s="4">
        <f t="shared" si="9"/>
        <v>17</v>
      </c>
      <c r="C114" s="4">
        <f t="shared" si="10"/>
        <v>1</v>
      </c>
      <c r="D114" s="4">
        <f t="shared" si="11"/>
        <v>2023</v>
      </c>
      <c r="E114" s="4" t="str">
        <f t="shared" si="12"/>
        <v>Tuesday</v>
      </c>
      <c r="F114" s="4" t="str">
        <f t="shared" si="13"/>
        <v>January</v>
      </c>
      <c r="G114" s="4" t="str">
        <f t="shared" si="14"/>
        <v>2023</v>
      </c>
      <c r="H114" s="3">
        <v>44943</v>
      </c>
      <c r="I114" s="4" t="s">
        <v>128</v>
      </c>
      <c r="J114" s="4" t="s">
        <v>23</v>
      </c>
      <c r="K114" s="4" t="str" cm="1">
        <f t="array" ref="K114">_xlfn.IFS(L114&gt;50,"Senior", L114&gt;=30,"Adult", L114&lt;30,"Young Adult")</f>
        <v>Senior</v>
      </c>
      <c r="L114" s="4">
        <v>59</v>
      </c>
      <c r="M114" s="4" t="s">
        <v>24</v>
      </c>
      <c r="N114" s="4">
        <v>1</v>
      </c>
      <c r="O114" s="5">
        <v>25</v>
      </c>
      <c r="P114">
        <f t="shared" si="15"/>
        <v>25</v>
      </c>
      <c r="Q114" s="14">
        <f t="shared" si="16"/>
        <v>0.375</v>
      </c>
      <c r="R114" s="14">
        <f t="shared" si="17"/>
        <v>0.5</v>
      </c>
    </row>
    <row r="115" spans="1:18" x14ac:dyDescent="0.35">
      <c r="A115" s="2">
        <v>104</v>
      </c>
      <c r="B115" s="4">
        <f t="shared" si="9"/>
        <v>11</v>
      </c>
      <c r="C115" s="4">
        <f t="shared" si="10"/>
        <v>6</v>
      </c>
      <c r="D115" s="4">
        <f t="shared" si="11"/>
        <v>2023</v>
      </c>
      <c r="E115" s="4" t="str">
        <f t="shared" si="12"/>
        <v>Sunday</v>
      </c>
      <c r="F115" s="4" t="str">
        <f t="shared" si="13"/>
        <v>June</v>
      </c>
      <c r="G115" s="4" t="str">
        <f t="shared" si="14"/>
        <v>2023</v>
      </c>
      <c r="H115" s="3">
        <v>45088</v>
      </c>
      <c r="I115" s="4" t="s">
        <v>129</v>
      </c>
      <c r="J115" s="4" t="s">
        <v>23</v>
      </c>
      <c r="K115" s="4" t="str" cm="1">
        <f t="array" ref="K115">_xlfn.IFS(L115&gt;50,"Senior", L115&gt;=30,"Adult", L115&lt;30,"Young Adult")</f>
        <v>Adult</v>
      </c>
      <c r="L115" s="4">
        <v>34</v>
      </c>
      <c r="M115" s="4" t="s">
        <v>21</v>
      </c>
      <c r="N115" s="4">
        <v>2</v>
      </c>
      <c r="O115" s="5">
        <v>500</v>
      </c>
      <c r="P115">
        <f t="shared" si="15"/>
        <v>1000</v>
      </c>
      <c r="Q115" s="14">
        <f t="shared" si="16"/>
        <v>15</v>
      </c>
      <c r="R115" s="14">
        <f t="shared" si="17"/>
        <v>20</v>
      </c>
    </row>
    <row r="116" spans="1:18" x14ac:dyDescent="0.35">
      <c r="A116" s="2">
        <v>105</v>
      </c>
      <c r="B116" s="4">
        <f t="shared" si="9"/>
        <v>25</v>
      </c>
      <c r="C116" s="4">
        <f t="shared" si="10"/>
        <v>7</v>
      </c>
      <c r="D116" s="4">
        <f t="shared" si="11"/>
        <v>2023</v>
      </c>
      <c r="E116" s="4" t="str">
        <f t="shared" si="12"/>
        <v>Tuesday</v>
      </c>
      <c r="F116" s="4" t="str">
        <f t="shared" si="13"/>
        <v>July</v>
      </c>
      <c r="G116" s="4" t="str">
        <f t="shared" si="14"/>
        <v>2023</v>
      </c>
      <c r="H116" s="3">
        <v>45132</v>
      </c>
      <c r="I116" s="4" t="s">
        <v>130</v>
      </c>
      <c r="J116" s="4" t="s">
        <v>23</v>
      </c>
      <c r="K116" s="4" t="str" cm="1">
        <f t="array" ref="K116">_xlfn.IFS(L116&gt;50,"Senior", L116&gt;=30,"Adult", L116&lt;30,"Young Adult")</f>
        <v>Young Adult</v>
      </c>
      <c r="L116" s="4">
        <v>22</v>
      </c>
      <c r="M116" s="4" t="s">
        <v>26</v>
      </c>
      <c r="N116" s="4">
        <v>1</v>
      </c>
      <c r="O116" s="5">
        <v>500</v>
      </c>
      <c r="P116">
        <f t="shared" si="15"/>
        <v>500</v>
      </c>
      <c r="Q116" s="14">
        <f t="shared" si="16"/>
        <v>7.5</v>
      </c>
      <c r="R116" s="14">
        <f t="shared" si="17"/>
        <v>10</v>
      </c>
    </row>
    <row r="117" spans="1:18" x14ac:dyDescent="0.35">
      <c r="A117" s="2">
        <v>106</v>
      </c>
      <c r="B117" s="4">
        <f t="shared" si="9"/>
        <v>18</v>
      </c>
      <c r="C117" s="4">
        <f t="shared" si="10"/>
        <v>5</v>
      </c>
      <c r="D117" s="4">
        <f t="shared" si="11"/>
        <v>2023</v>
      </c>
      <c r="E117" s="4" t="str">
        <f t="shared" si="12"/>
        <v>Thursday</v>
      </c>
      <c r="F117" s="4" t="str">
        <f t="shared" si="13"/>
        <v>May</v>
      </c>
      <c r="G117" s="4" t="str">
        <f t="shared" si="14"/>
        <v>2023</v>
      </c>
      <c r="H117" s="3">
        <v>45064</v>
      </c>
      <c r="I117" s="4" t="s">
        <v>131</v>
      </c>
      <c r="J117" s="4" t="s">
        <v>23</v>
      </c>
      <c r="K117" s="4" t="str" cm="1">
        <f t="array" ref="K117">_xlfn.IFS(L117&gt;50,"Senior", L117&gt;=30,"Adult", L117&lt;30,"Young Adult")</f>
        <v>Adult</v>
      </c>
      <c r="L117" s="4">
        <v>46</v>
      </c>
      <c r="M117" s="4" t="s">
        <v>24</v>
      </c>
      <c r="N117" s="4">
        <v>1</v>
      </c>
      <c r="O117" s="5">
        <v>50</v>
      </c>
      <c r="P117">
        <f t="shared" si="15"/>
        <v>50</v>
      </c>
      <c r="Q117" s="14">
        <f t="shared" si="16"/>
        <v>0.75</v>
      </c>
      <c r="R117" s="14">
        <f t="shared" si="17"/>
        <v>1</v>
      </c>
    </row>
    <row r="118" spans="1:18" x14ac:dyDescent="0.35">
      <c r="A118" s="2">
        <v>107</v>
      </c>
      <c r="B118" s="4">
        <f t="shared" si="9"/>
        <v>3</v>
      </c>
      <c r="C118" s="4">
        <f t="shared" si="10"/>
        <v>2</v>
      </c>
      <c r="D118" s="4">
        <f t="shared" si="11"/>
        <v>2023</v>
      </c>
      <c r="E118" s="4" t="str">
        <f t="shared" si="12"/>
        <v>Friday</v>
      </c>
      <c r="F118" s="4" t="str">
        <f t="shared" si="13"/>
        <v>February</v>
      </c>
      <c r="G118" s="4" t="str">
        <f t="shared" si="14"/>
        <v>2023</v>
      </c>
      <c r="H118" s="3">
        <v>44960</v>
      </c>
      <c r="I118" s="4" t="s">
        <v>132</v>
      </c>
      <c r="J118" s="4" t="s">
        <v>23</v>
      </c>
      <c r="K118" s="4" t="str" cm="1">
        <f t="array" ref="K118">_xlfn.IFS(L118&gt;50,"Senior", L118&gt;=30,"Adult", L118&lt;30,"Young Adult")</f>
        <v>Young Adult</v>
      </c>
      <c r="L118" s="4">
        <v>21</v>
      </c>
      <c r="M118" s="4" t="s">
        <v>24</v>
      </c>
      <c r="N118" s="4">
        <v>4</v>
      </c>
      <c r="O118" s="5">
        <v>300</v>
      </c>
      <c r="P118">
        <f t="shared" si="15"/>
        <v>1200</v>
      </c>
      <c r="Q118" s="14">
        <f t="shared" si="16"/>
        <v>18</v>
      </c>
      <c r="R118" s="14">
        <f t="shared" si="17"/>
        <v>24</v>
      </c>
    </row>
    <row r="119" spans="1:18" x14ac:dyDescent="0.35">
      <c r="A119" s="2">
        <v>108</v>
      </c>
      <c r="B119" s="4">
        <f t="shared" si="9"/>
        <v>19</v>
      </c>
      <c r="C119" s="4">
        <f t="shared" si="10"/>
        <v>4</v>
      </c>
      <c r="D119" s="4">
        <f t="shared" si="11"/>
        <v>2023</v>
      </c>
      <c r="E119" s="4" t="str">
        <f t="shared" si="12"/>
        <v>Wednesday</v>
      </c>
      <c r="F119" s="4" t="str">
        <f t="shared" si="13"/>
        <v>April</v>
      </c>
      <c r="G119" s="4" t="str">
        <f t="shared" si="14"/>
        <v>2023</v>
      </c>
      <c r="H119" s="3">
        <v>45035</v>
      </c>
      <c r="I119" s="4" t="s">
        <v>133</v>
      </c>
      <c r="J119" s="4" t="s">
        <v>23</v>
      </c>
      <c r="K119" s="4" t="str" cm="1">
        <f t="array" ref="K119">_xlfn.IFS(L119&gt;50,"Senior", L119&gt;=30,"Adult", L119&lt;30,"Young Adult")</f>
        <v>Young Adult</v>
      </c>
      <c r="L119" s="4">
        <v>27</v>
      </c>
      <c r="M119" s="4" t="s">
        <v>21</v>
      </c>
      <c r="N119" s="4">
        <v>3</v>
      </c>
      <c r="O119" s="5">
        <v>25</v>
      </c>
      <c r="P119">
        <f t="shared" si="15"/>
        <v>75</v>
      </c>
      <c r="Q119" s="14">
        <f t="shared" si="16"/>
        <v>1.125</v>
      </c>
      <c r="R119" s="14">
        <f t="shared" si="17"/>
        <v>1.5</v>
      </c>
    </row>
    <row r="120" spans="1:18" x14ac:dyDescent="0.35">
      <c r="A120" s="2">
        <v>109</v>
      </c>
      <c r="B120" s="4">
        <f t="shared" si="9"/>
        <v>18</v>
      </c>
      <c r="C120" s="4">
        <f t="shared" si="10"/>
        <v>10</v>
      </c>
      <c r="D120" s="4">
        <f t="shared" si="11"/>
        <v>2023</v>
      </c>
      <c r="E120" s="4" t="str">
        <f t="shared" si="12"/>
        <v>Wednesday</v>
      </c>
      <c r="F120" s="4" t="str">
        <f t="shared" si="13"/>
        <v>October</v>
      </c>
      <c r="G120" s="4" t="str">
        <f t="shared" si="14"/>
        <v>2023</v>
      </c>
      <c r="H120" s="3">
        <v>45217</v>
      </c>
      <c r="I120" s="4" t="s">
        <v>134</v>
      </c>
      <c r="J120" s="4" t="s">
        <v>23</v>
      </c>
      <c r="K120" s="4" t="str" cm="1">
        <f t="array" ref="K120">_xlfn.IFS(L120&gt;50,"Senior", L120&gt;=30,"Adult", L120&lt;30,"Young Adult")</f>
        <v>Adult</v>
      </c>
      <c r="L120" s="4">
        <v>34</v>
      </c>
      <c r="M120" s="4" t="s">
        <v>26</v>
      </c>
      <c r="N120" s="4">
        <v>4</v>
      </c>
      <c r="O120" s="5">
        <v>500</v>
      </c>
      <c r="P120">
        <f t="shared" si="15"/>
        <v>2000</v>
      </c>
      <c r="Q120" s="14">
        <f t="shared" si="16"/>
        <v>30</v>
      </c>
      <c r="R120" s="14">
        <f t="shared" si="17"/>
        <v>40</v>
      </c>
    </row>
    <row r="121" spans="1:18" x14ac:dyDescent="0.35">
      <c r="A121" s="2">
        <v>110</v>
      </c>
      <c r="B121" s="4">
        <f t="shared" si="9"/>
        <v>11</v>
      </c>
      <c r="C121" s="4">
        <f t="shared" si="10"/>
        <v>6</v>
      </c>
      <c r="D121" s="4">
        <f t="shared" si="11"/>
        <v>2023</v>
      </c>
      <c r="E121" s="4" t="str">
        <f t="shared" si="12"/>
        <v>Sunday</v>
      </c>
      <c r="F121" s="4" t="str">
        <f t="shared" si="13"/>
        <v>June</v>
      </c>
      <c r="G121" s="4" t="str">
        <f t="shared" si="14"/>
        <v>2023</v>
      </c>
      <c r="H121" s="3">
        <v>45088</v>
      </c>
      <c r="I121" s="4" t="s">
        <v>135</v>
      </c>
      <c r="J121" s="4" t="s">
        <v>20</v>
      </c>
      <c r="K121" s="4" t="str" cm="1">
        <f t="array" ref="K121">_xlfn.IFS(L121&gt;50,"Senior", L121&gt;=30,"Adult", L121&lt;30,"Young Adult")</f>
        <v>Young Adult</v>
      </c>
      <c r="L121" s="4">
        <v>27</v>
      </c>
      <c r="M121" s="4" t="s">
        <v>24</v>
      </c>
      <c r="N121" s="4">
        <v>3</v>
      </c>
      <c r="O121" s="5">
        <v>300</v>
      </c>
      <c r="P121">
        <f t="shared" si="15"/>
        <v>900</v>
      </c>
      <c r="Q121" s="14">
        <f t="shared" si="16"/>
        <v>13.5</v>
      </c>
      <c r="R121" s="14">
        <f t="shared" si="17"/>
        <v>18</v>
      </c>
    </row>
    <row r="122" spans="1:18" x14ac:dyDescent="0.35">
      <c r="A122" s="2">
        <v>111</v>
      </c>
      <c r="B122" s="4">
        <f t="shared" si="9"/>
        <v>19</v>
      </c>
      <c r="C122" s="4">
        <f t="shared" si="10"/>
        <v>4</v>
      </c>
      <c r="D122" s="4">
        <f t="shared" si="11"/>
        <v>2023</v>
      </c>
      <c r="E122" s="4" t="str">
        <f t="shared" si="12"/>
        <v>Wednesday</v>
      </c>
      <c r="F122" s="4" t="str">
        <f t="shared" si="13"/>
        <v>April</v>
      </c>
      <c r="G122" s="4" t="str">
        <f t="shared" si="14"/>
        <v>2023</v>
      </c>
      <c r="H122" s="3">
        <v>45035</v>
      </c>
      <c r="I122" s="4" t="s">
        <v>136</v>
      </c>
      <c r="J122" s="4" t="s">
        <v>23</v>
      </c>
      <c r="K122" s="4" t="str" cm="1">
        <f t="array" ref="K122">_xlfn.IFS(L122&gt;50,"Senior", L122&gt;=30,"Adult", L122&lt;30,"Young Adult")</f>
        <v>Adult</v>
      </c>
      <c r="L122" s="4">
        <v>34</v>
      </c>
      <c r="M122" s="4" t="s">
        <v>26</v>
      </c>
      <c r="N122" s="4">
        <v>3</v>
      </c>
      <c r="O122" s="5">
        <v>500</v>
      </c>
      <c r="P122">
        <f t="shared" si="15"/>
        <v>1500</v>
      </c>
      <c r="Q122" s="14">
        <f t="shared" si="16"/>
        <v>22.5</v>
      </c>
      <c r="R122" s="14">
        <f t="shared" si="17"/>
        <v>30</v>
      </c>
    </row>
    <row r="123" spans="1:18" x14ac:dyDescent="0.35">
      <c r="A123" s="2">
        <v>112</v>
      </c>
      <c r="B123" s="4">
        <f t="shared" si="9"/>
        <v>2</v>
      </c>
      <c r="C123" s="4">
        <f t="shared" si="10"/>
        <v>12</v>
      </c>
      <c r="D123" s="4">
        <f t="shared" si="11"/>
        <v>2023</v>
      </c>
      <c r="E123" s="4" t="str">
        <f t="shared" si="12"/>
        <v>Saturday</v>
      </c>
      <c r="F123" s="4" t="str">
        <f t="shared" si="13"/>
        <v>December</v>
      </c>
      <c r="G123" s="4" t="str">
        <f t="shared" si="14"/>
        <v>2023</v>
      </c>
      <c r="H123" s="3">
        <v>45262</v>
      </c>
      <c r="I123" s="4" t="s">
        <v>137</v>
      </c>
      <c r="J123" s="4" t="s">
        <v>20</v>
      </c>
      <c r="K123" s="4" t="str" cm="1">
        <f t="array" ref="K123">_xlfn.IFS(L123&gt;50,"Senior", L123&gt;=30,"Adult", L123&lt;30,"Young Adult")</f>
        <v>Adult</v>
      </c>
      <c r="L123" s="4">
        <v>37</v>
      </c>
      <c r="M123" s="4" t="s">
        <v>24</v>
      </c>
      <c r="N123" s="4">
        <v>3</v>
      </c>
      <c r="O123" s="5">
        <v>500</v>
      </c>
      <c r="P123">
        <f t="shared" si="15"/>
        <v>1500</v>
      </c>
      <c r="Q123" s="14">
        <f t="shared" si="16"/>
        <v>22.5</v>
      </c>
      <c r="R123" s="14">
        <f t="shared" si="17"/>
        <v>30</v>
      </c>
    </row>
    <row r="124" spans="1:18" x14ac:dyDescent="0.35">
      <c r="A124" s="2">
        <v>113</v>
      </c>
      <c r="B124" s="4">
        <f t="shared" si="9"/>
        <v>13</v>
      </c>
      <c r="C124" s="4">
        <f t="shared" si="10"/>
        <v>9</v>
      </c>
      <c r="D124" s="4">
        <f t="shared" si="11"/>
        <v>2023</v>
      </c>
      <c r="E124" s="4" t="str">
        <f t="shared" si="12"/>
        <v>Wednesday</v>
      </c>
      <c r="F124" s="4" t="str">
        <f t="shared" si="13"/>
        <v>September</v>
      </c>
      <c r="G124" s="4" t="str">
        <f t="shared" si="14"/>
        <v>2023</v>
      </c>
      <c r="H124" s="3">
        <v>45182</v>
      </c>
      <c r="I124" s="4" t="s">
        <v>138</v>
      </c>
      <c r="J124" s="4" t="s">
        <v>23</v>
      </c>
      <c r="K124" s="4" t="str" cm="1">
        <f t="array" ref="K124">_xlfn.IFS(L124&gt;50,"Senior", L124&gt;=30,"Adult", L124&lt;30,"Young Adult")</f>
        <v>Adult</v>
      </c>
      <c r="L124" s="4">
        <v>41</v>
      </c>
      <c r="M124" s="4" t="s">
        <v>26</v>
      </c>
      <c r="N124" s="4">
        <v>2</v>
      </c>
      <c r="O124" s="5">
        <v>25</v>
      </c>
      <c r="P124">
        <f t="shared" si="15"/>
        <v>50</v>
      </c>
      <c r="Q124" s="14">
        <f t="shared" si="16"/>
        <v>0.75</v>
      </c>
      <c r="R124" s="14">
        <f t="shared" si="17"/>
        <v>1</v>
      </c>
    </row>
    <row r="125" spans="1:18" x14ac:dyDescent="0.35">
      <c r="A125" s="2">
        <v>114</v>
      </c>
      <c r="B125" s="4">
        <f t="shared" si="9"/>
        <v>22</v>
      </c>
      <c r="C125" s="4">
        <f t="shared" si="10"/>
        <v>7</v>
      </c>
      <c r="D125" s="4">
        <f t="shared" si="11"/>
        <v>2023</v>
      </c>
      <c r="E125" s="4" t="str">
        <f t="shared" si="12"/>
        <v>Saturday</v>
      </c>
      <c r="F125" s="4" t="str">
        <f t="shared" si="13"/>
        <v>July</v>
      </c>
      <c r="G125" s="4" t="str">
        <f t="shared" si="14"/>
        <v>2023</v>
      </c>
      <c r="H125" s="3">
        <v>45129</v>
      </c>
      <c r="I125" s="4" t="s">
        <v>139</v>
      </c>
      <c r="J125" s="4" t="s">
        <v>23</v>
      </c>
      <c r="K125" s="4" t="str" cm="1">
        <f t="array" ref="K125">_xlfn.IFS(L125&gt;50,"Senior", L125&gt;=30,"Adult", L125&lt;30,"Young Adult")</f>
        <v>Young Adult</v>
      </c>
      <c r="L125" s="4">
        <v>22</v>
      </c>
      <c r="M125" s="4" t="s">
        <v>21</v>
      </c>
      <c r="N125" s="4">
        <v>4</v>
      </c>
      <c r="O125" s="5">
        <v>25</v>
      </c>
      <c r="P125">
        <f t="shared" si="15"/>
        <v>100</v>
      </c>
      <c r="Q125" s="14">
        <f t="shared" si="16"/>
        <v>1.5</v>
      </c>
      <c r="R125" s="14">
        <f t="shared" si="17"/>
        <v>2</v>
      </c>
    </row>
    <row r="126" spans="1:18" x14ac:dyDescent="0.35">
      <c r="A126" s="2">
        <v>115</v>
      </c>
      <c r="B126" s="4">
        <f t="shared" si="9"/>
        <v>26</v>
      </c>
      <c r="C126" s="4">
        <f t="shared" si="10"/>
        <v>11</v>
      </c>
      <c r="D126" s="4">
        <f t="shared" si="11"/>
        <v>2023</v>
      </c>
      <c r="E126" s="4" t="str">
        <f t="shared" si="12"/>
        <v>Sunday</v>
      </c>
      <c r="F126" s="4" t="str">
        <f t="shared" si="13"/>
        <v>November</v>
      </c>
      <c r="G126" s="4" t="str">
        <f t="shared" si="14"/>
        <v>2023</v>
      </c>
      <c r="H126" s="3">
        <v>45256</v>
      </c>
      <c r="I126" s="4" t="s">
        <v>140</v>
      </c>
      <c r="J126" s="4" t="s">
        <v>20</v>
      </c>
      <c r="K126" s="4" t="str" cm="1">
        <f t="array" ref="K126">_xlfn.IFS(L126&gt;50,"Senior", L126&gt;=30,"Adult", L126&lt;30,"Young Adult")</f>
        <v>Senior</v>
      </c>
      <c r="L126" s="4">
        <v>51</v>
      </c>
      <c r="M126" s="4" t="s">
        <v>24</v>
      </c>
      <c r="N126" s="4">
        <v>3</v>
      </c>
      <c r="O126" s="5">
        <v>500</v>
      </c>
      <c r="P126">
        <f t="shared" si="15"/>
        <v>1500</v>
      </c>
      <c r="Q126" s="14">
        <f t="shared" si="16"/>
        <v>22.5</v>
      </c>
      <c r="R126" s="14">
        <f t="shared" si="17"/>
        <v>30</v>
      </c>
    </row>
    <row r="127" spans="1:18" x14ac:dyDescent="0.35">
      <c r="A127" s="2">
        <v>116</v>
      </c>
      <c r="B127" s="4">
        <f t="shared" si="9"/>
        <v>23</v>
      </c>
      <c r="C127" s="4">
        <f t="shared" si="10"/>
        <v>8</v>
      </c>
      <c r="D127" s="4">
        <f t="shared" si="11"/>
        <v>2023</v>
      </c>
      <c r="E127" s="4" t="str">
        <f t="shared" si="12"/>
        <v>Wednesday</v>
      </c>
      <c r="F127" s="4" t="str">
        <f t="shared" si="13"/>
        <v>August</v>
      </c>
      <c r="G127" s="4" t="str">
        <f t="shared" si="14"/>
        <v>2023</v>
      </c>
      <c r="H127" s="3">
        <v>45161</v>
      </c>
      <c r="I127" s="4" t="s">
        <v>141</v>
      </c>
      <c r="J127" s="4" t="s">
        <v>23</v>
      </c>
      <c r="K127" s="4" t="str" cm="1">
        <f t="array" ref="K127">_xlfn.IFS(L127&gt;50,"Senior", L127&gt;=30,"Adult", L127&lt;30,"Young Adult")</f>
        <v>Young Adult</v>
      </c>
      <c r="L127" s="4">
        <v>23</v>
      </c>
      <c r="M127" s="4" t="s">
        <v>24</v>
      </c>
      <c r="N127" s="4">
        <v>1</v>
      </c>
      <c r="O127" s="5">
        <v>30</v>
      </c>
      <c r="P127">
        <f t="shared" si="15"/>
        <v>30</v>
      </c>
      <c r="Q127" s="14">
        <f t="shared" si="16"/>
        <v>0.44999999999999996</v>
      </c>
      <c r="R127" s="14">
        <f t="shared" si="17"/>
        <v>0.6</v>
      </c>
    </row>
    <row r="128" spans="1:18" x14ac:dyDescent="0.35">
      <c r="A128" s="2">
        <v>117</v>
      </c>
      <c r="B128" s="4">
        <f t="shared" si="9"/>
        <v>15</v>
      </c>
      <c r="C128" s="4">
        <f t="shared" si="10"/>
        <v>3</v>
      </c>
      <c r="D128" s="4">
        <f t="shared" si="11"/>
        <v>2023</v>
      </c>
      <c r="E128" s="4" t="str">
        <f t="shared" si="12"/>
        <v>Wednesday</v>
      </c>
      <c r="F128" s="4" t="str">
        <f t="shared" si="13"/>
        <v>March</v>
      </c>
      <c r="G128" s="4" t="str">
        <f t="shared" si="14"/>
        <v>2023</v>
      </c>
      <c r="H128" s="3">
        <v>45000</v>
      </c>
      <c r="I128" s="4" t="s">
        <v>142</v>
      </c>
      <c r="J128" s="4" t="s">
        <v>20</v>
      </c>
      <c r="K128" s="4" t="str" cm="1">
        <f t="array" ref="K128">_xlfn.IFS(L128&gt;50,"Senior", L128&gt;=30,"Adult", L128&lt;30,"Young Adult")</f>
        <v>Young Adult</v>
      </c>
      <c r="L128" s="4">
        <v>19</v>
      </c>
      <c r="M128" s="4" t="s">
        <v>26</v>
      </c>
      <c r="N128" s="4">
        <v>2</v>
      </c>
      <c r="O128" s="5">
        <v>500</v>
      </c>
      <c r="P128">
        <f t="shared" si="15"/>
        <v>1000</v>
      </c>
      <c r="Q128" s="14">
        <f t="shared" si="16"/>
        <v>15</v>
      </c>
      <c r="R128" s="14">
        <f t="shared" si="17"/>
        <v>20</v>
      </c>
    </row>
    <row r="129" spans="1:18" x14ac:dyDescent="0.35">
      <c r="A129" s="2">
        <v>118</v>
      </c>
      <c r="B129" s="4">
        <f t="shared" si="9"/>
        <v>16</v>
      </c>
      <c r="C129" s="4">
        <f t="shared" si="10"/>
        <v>5</v>
      </c>
      <c r="D129" s="4">
        <f t="shared" si="11"/>
        <v>2023</v>
      </c>
      <c r="E129" s="4" t="str">
        <f t="shared" si="12"/>
        <v>Tuesday</v>
      </c>
      <c r="F129" s="4" t="str">
        <f t="shared" si="13"/>
        <v>May</v>
      </c>
      <c r="G129" s="4" t="str">
        <f t="shared" si="14"/>
        <v>2023</v>
      </c>
      <c r="H129" s="3">
        <v>45062</v>
      </c>
      <c r="I129" s="4" t="s">
        <v>143</v>
      </c>
      <c r="J129" s="4" t="s">
        <v>23</v>
      </c>
      <c r="K129" s="4" t="str" cm="1">
        <f t="array" ref="K129">_xlfn.IFS(L129&gt;50,"Senior", L129&gt;=30,"Adult", L129&lt;30,"Young Adult")</f>
        <v>Adult</v>
      </c>
      <c r="L129" s="4">
        <v>30</v>
      </c>
      <c r="M129" s="4" t="s">
        <v>26</v>
      </c>
      <c r="N129" s="4">
        <v>4</v>
      </c>
      <c r="O129" s="5">
        <v>500</v>
      </c>
      <c r="P129">
        <f t="shared" si="15"/>
        <v>2000</v>
      </c>
      <c r="Q129" s="14">
        <f t="shared" si="16"/>
        <v>30</v>
      </c>
      <c r="R129" s="14">
        <f t="shared" si="17"/>
        <v>40</v>
      </c>
    </row>
    <row r="130" spans="1:18" x14ac:dyDescent="0.35">
      <c r="A130" s="2">
        <v>119</v>
      </c>
      <c r="B130" s="4">
        <f t="shared" si="9"/>
        <v>13</v>
      </c>
      <c r="C130" s="4">
        <f t="shared" si="10"/>
        <v>3</v>
      </c>
      <c r="D130" s="4">
        <f t="shared" si="11"/>
        <v>2023</v>
      </c>
      <c r="E130" s="4" t="str">
        <f t="shared" si="12"/>
        <v>Monday</v>
      </c>
      <c r="F130" s="4" t="str">
        <f t="shared" si="13"/>
        <v>March</v>
      </c>
      <c r="G130" s="4" t="str">
        <f t="shared" si="14"/>
        <v>2023</v>
      </c>
      <c r="H130" s="3">
        <v>44998</v>
      </c>
      <c r="I130" s="4" t="s">
        <v>144</v>
      </c>
      <c r="J130" s="4" t="s">
        <v>23</v>
      </c>
      <c r="K130" s="4" t="str" cm="1">
        <f t="array" ref="K130">_xlfn.IFS(L130&gt;50,"Senior", L130&gt;=30,"Adult", L130&lt;30,"Young Adult")</f>
        <v>Senior</v>
      </c>
      <c r="L130" s="4">
        <v>60</v>
      </c>
      <c r="M130" s="4" t="s">
        <v>24</v>
      </c>
      <c r="N130" s="4">
        <v>3</v>
      </c>
      <c r="O130" s="5">
        <v>50</v>
      </c>
      <c r="P130">
        <f t="shared" si="15"/>
        <v>150</v>
      </c>
      <c r="Q130" s="14">
        <f t="shared" si="16"/>
        <v>2.25</v>
      </c>
      <c r="R130" s="14">
        <f t="shared" si="17"/>
        <v>3</v>
      </c>
    </row>
    <row r="131" spans="1:18" x14ac:dyDescent="0.35">
      <c r="A131" s="2">
        <v>120</v>
      </c>
      <c r="B131" s="4">
        <f t="shared" si="9"/>
        <v>7</v>
      </c>
      <c r="C131" s="4">
        <f t="shared" si="10"/>
        <v>5</v>
      </c>
      <c r="D131" s="4">
        <f t="shared" si="11"/>
        <v>2023</v>
      </c>
      <c r="E131" s="4" t="str">
        <f t="shared" si="12"/>
        <v>Sunday</v>
      </c>
      <c r="F131" s="4" t="str">
        <f t="shared" si="13"/>
        <v>May</v>
      </c>
      <c r="G131" s="4" t="str">
        <f t="shared" si="14"/>
        <v>2023</v>
      </c>
      <c r="H131" s="3">
        <v>45053</v>
      </c>
      <c r="I131" s="4" t="s">
        <v>145</v>
      </c>
      <c r="J131" s="4" t="s">
        <v>20</v>
      </c>
      <c r="K131" s="4" t="str" cm="1">
        <f t="array" ref="K131">_xlfn.IFS(L131&gt;50,"Senior", L131&gt;=30,"Adult", L131&lt;30,"Young Adult")</f>
        <v>Senior</v>
      </c>
      <c r="L131" s="4">
        <v>60</v>
      </c>
      <c r="M131" s="4" t="s">
        <v>21</v>
      </c>
      <c r="N131" s="4">
        <v>1</v>
      </c>
      <c r="O131" s="5">
        <v>50</v>
      </c>
      <c r="P131">
        <f t="shared" si="15"/>
        <v>50</v>
      </c>
      <c r="Q131" s="14">
        <f t="shared" si="16"/>
        <v>0.75</v>
      </c>
      <c r="R131" s="14">
        <f t="shared" si="17"/>
        <v>1</v>
      </c>
    </row>
    <row r="132" spans="1:18" x14ac:dyDescent="0.35">
      <c r="A132" s="2">
        <v>121</v>
      </c>
      <c r="B132" s="4">
        <f t="shared" si="9"/>
        <v>15</v>
      </c>
      <c r="C132" s="4">
        <f t="shared" si="10"/>
        <v>10</v>
      </c>
      <c r="D132" s="4">
        <f t="shared" si="11"/>
        <v>2023</v>
      </c>
      <c r="E132" s="4" t="str">
        <f t="shared" si="12"/>
        <v>Sunday</v>
      </c>
      <c r="F132" s="4" t="str">
        <f t="shared" si="13"/>
        <v>October</v>
      </c>
      <c r="G132" s="4" t="str">
        <f t="shared" si="14"/>
        <v>2023</v>
      </c>
      <c r="H132" s="3">
        <v>45214</v>
      </c>
      <c r="I132" s="4" t="s">
        <v>146</v>
      </c>
      <c r="J132" s="4" t="s">
        <v>23</v>
      </c>
      <c r="K132" s="4" t="str" cm="1">
        <f t="array" ref="K132">_xlfn.IFS(L132&gt;50,"Senior", L132&gt;=30,"Adult", L132&lt;30,"Young Adult")</f>
        <v>Young Adult</v>
      </c>
      <c r="L132" s="4">
        <v>28</v>
      </c>
      <c r="M132" s="4" t="s">
        <v>26</v>
      </c>
      <c r="N132" s="4">
        <v>4</v>
      </c>
      <c r="O132" s="5">
        <v>50</v>
      </c>
      <c r="P132">
        <f t="shared" si="15"/>
        <v>200</v>
      </c>
      <c r="Q132" s="14">
        <f t="shared" si="16"/>
        <v>3</v>
      </c>
      <c r="R132" s="14">
        <f t="shared" si="17"/>
        <v>4</v>
      </c>
    </row>
    <row r="133" spans="1:18" x14ac:dyDescent="0.35">
      <c r="A133" s="2">
        <v>122</v>
      </c>
      <c r="B133" s="4">
        <f t="shared" si="9"/>
        <v>3</v>
      </c>
      <c r="C133" s="4">
        <f t="shared" si="10"/>
        <v>10</v>
      </c>
      <c r="D133" s="4">
        <f t="shared" si="11"/>
        <v>2023</v>
      </c>
      <c r="E133" s="4" t="str">
        <f t="shared" si="12"/>
        <v>Tuesday</v>
      </c>
      <c r="F133" s="4" t="str">
        <f t="shared" si="13"/>
        <v>October</v>
      </c>
      <c r="G133" s="4" t="str">
        <f t="shared" si="14"/>
        <v>2023</v>
      </c>
      <c r="H133" s="3">
        <v>45202</v>
      </c>
      <c r="I133" s="4" t="s">
        <v>147</v>
      </c>
      <c r="J133" s="4" t="s">
        <v>20</v>
      </c>
      <c r="K133" s="4" t="str" cm="1">
        <f t="array" ref="K133">_xlfn.IFS(L133&gt;50,"Senior", L133&gt;=30,"Adult", L133&lt;30,"Young Adult")</f>
        <v>Senior</v>
      </c>
      <c r="L133" s="4">
        <v>64</v>
      </c>
      <c r="M133" s="4" t="s">
        <v>26</v>
      </c>
      <c r="N133" s="4">
        <v>4</v>
      </c>
      <c r="O133" s="5">
        <v>30</v>
      </c>
      <c r="P133">
        <f t="shared" si="15"/>
        <v>120</v>
      </c>
      <c r="Q133" s="14">
        <f t="shared" si="16"/>
        <v>1.7999999999999998</v>
      </c>
      <c r="R133" s="14">
        <f t="shared" si="17"/>
        <v>2.4</v>
      </c>
    </row>
    <row r="134" spans="1:18" x14ac:dyDescent="0.35">
      <c r="A134" s="2">
        <v>123</v>
      </c>
      <c r="B134" s="4">
        <f t="shared" si="9"/>
        <v>15</v>
      </c>
      <c r="C134" s="4">
        <f t="shared" si="10"/>
        <v>5</v>
      </c>
      <c r="D134" s="4">
        <f t="shared" si="11"/>
        <v>2023</v>
      </c>
      <c r="E134" s="4" t="str">
        <f t="shared" si="12"/>
        <v>Monday</v>
      </c>
      <c r="F134" s="4" t="str">
        <f t="shared" si="13"/>
        <v>May</v>
      </c>
      <c r="G134" s="4" t="str">
        <f t="shared" si="14"/>
        <v>2023</v>
      </c>
      <c r="H134" s="3">
        <v>45061</v>
      </c>
      <c r="I134" s="4" t="s">
        <v>148</v>
      </c>
      <c r="J134" s="4" t="s">
        <v>23</v>
      </c>
      <c r="K134" s="4" t="str" cm="1">
        <f t="array" ref="K134">_xlfn.IFS(L134&gt;50,"Senior", L134&gt;=30,"Adult", L134&lt;30,"Young Adult")</f>
        <v>Adult</v>
      </c>
      <c r="L134" s="4">
        <v>40</v>
      </c>
      <c r="M134" s="4" t="s">
        <v>26</v>
      </c>
      <c r="N134" s="4">
        <v>2</v>
      </c>
      <c r="O134" s="5">
        <v>30</v>
      </c>
      <c r="P134">
        <f t="shared" si="15"/>
        <v>60</v>
      </c>
      <c r="Q134" s="14">
        <f t="shared" si="16"/>
        <v>0.89999999999999991</v>
      </c>
      <c r="R134" s="14">
        <f t="shared" si="17"/>
        <v>1.2</v>
      </c>
    </row>
    <row r="135" spans="1:18" x14ac:dyDescent="0.35">
      <c r="A135" s="2">
        <v>124</v>
      </c>
      <c r="B135" s="4">
        <f t="shared" si="9"/>
        <v>27</v>
      </c>
      <c r="C135" s="4">
        <f t="shared" si="10"/>
        <v>10</v>
      </c>
      <c r="D135" s="4">
        <f t="shared" si="11"/>
        <v>2023</v>
      </c>
      <c r="E135" s="4" t="str">
        <f t="shared" si="12"/>
        <v>Friday</v>
      </c>
      <c r="F135" s="4" t="str">
        <f t="shared" si="13"/>
        <v>October</v>
      </c>
      <c r="G135" s="4" t="str">
        <f t="shared" si="14"/>
        <v>2023</v>
      </c>
      <c r="H135" s="3">
        <v>45226</v>
      </c>
      <c r="I135" s="4" t="s">
        <v>149</v>
      </c>
      <c r="J135" s="4" t="s">
        <v>20</v>
      </c>
      <c r="K135" s="4" t="str" cm="1">
        <f t="array" ref="K135">_xlfn.IFS(L135&gt;50,"Senior", L135&gt;=30,"Adult", L135&lt;30,"Young Adult")</f>
        <v>Adult</v>
      </c>
      <c r="L135" s="4">
        <v>33</v>
      </c>
      <c r="M135" s="4" t="s">
        <v>24</v>
      </c>
      <c r="N135" s="4">
        <v>4</v>
      </c>
      <c r="O135" s="5">
        <v>500</v>
      </c>
      <c r="P135">
        <f t="shared" si="15"/>
        <v>2000</v>
      </c>
      <c r="Q135" s="14">
        <f t="shared" si="16"/>
        <v>30</v>
      </c>
      <c r="R135" s="14">
        <f t="shared" si="17"/>
        <v>40</v>
      </c>
    </row>
    <row r="136" spans="1:18" x14ac:dyDescent="0.35">
      <c r="A136" s="2">
        <v>125</v>
      </c>
      <c r="B136" s="4">
        <f t="shared" si="9"/>
        <v>8</v>
      </c>
      <c r="C136" s="4">
        <f t="shared" si="10"/>
        <v>8</v>
      </c>
      <c r="D136" s="4">
        <f t="shared" si="11"/>
        <v>2023</v>
      </c>
      <c r="E136" s="4" t="str">
        <f t="shared" si="12"/>
        <v>Tuesday</v>
      </c>
      <c r="F136" s="4" t="str">
        <f t="shared" si="13"/>
        <v>August</v>
      </c>
      <c r="G136" s="4" t="str">
        <f t="shared" si="14"/>
        <v>2023</v>
      </c>
      <c r="H136" s="3">
        <v>45146</v>
      </c>
      <c r="I136" s="4" t="s">
        <v>150</v>
      </c>
      <c r="J136" s="4" t="s">
        <v>20</v>
      </c>
      <c r="K136" s="4" t="str" cm="1">
        <f t="array" ref="K136">_xlfn.IFS(L136&gt;50,"Senior", L136&gt;=30,"Adult", L136&lt;30,"Young Adult")</f>
        <v>Adult</v>
      </c>
      <c r="L136" s="4">
        <v>48</v>
      </c>
      <c r="M136" s="4" t="s">
        <v>24</v>
      </c>
      <c r="N136" s="4">
        <v>2</v>
      </c>
      <c r="O136" s="5">
        <v>50</v>
      </c>
      <c r="P136">
        <f t="shared" si="15"/>
        <v>100</v>
      </c>
      <c r="Q136" s="14">
        <f t="shared" si="16"/>
        <v>1.5</v>
      </c>
      <c r="R136" s="14">
        <f t="shared" si="17"/>
        <v>2</v>
      </c>
    </row>
    <row r="137" spans="1:18" x14ac:dyDescent="0.35">
      <c r="A137" s="2">
        <v>126</v>
      </c>
      <c r="B137" s="4">
        <f t="shared" si="9"/>
        <v>26</v>
      </c>
      <c r="C137" s="4">
        <f t="shared" si="10"/>
        <v>10</v>
      </c>
      <c r="D137" s="4">
        <f t="shared" si="11"/>
        <v>2023</v>
      </c>
      <c r="E137" s="4" t="str">
        <f t="shared" si="12"/>
        <v>Thursday</v>
      </c>
      <c r="F137" s="4" t="str">
        <f t="shared" si="13"/>
        <v>October</v>
      </c>
      <c r="G137" s="4" t="str">
        <f t="shared" si="14"/>
        <v>2023</v>
      </c>
      <c r="H137" s="3">
        <v>45225</v>
      </c>
      <c r="I137" s="4" t="s">
        <v>151</v>
      </c>
      <c r="J137" s="4" t="s">
        <v>23</v>
      </c>
      <c r="K137" s="4" t="str" cm="1">
        <f t="array" ref="K137">_xlfn.IFS(L137&gt;50,"Senior", L137&gt;=30,"Adult", L137&lt;30,"Young Adult")</f>
        <v>Young Adult</v>
      </c>
      <c r="L137" s="4">
        <v>28</v>
      </c>
      <c r="M137" s="4" t="s">
        <v>24</v>
      </c>
      <c r="N137" s="4">
        <v>3</v>
      </c>
      <c r="O137" s="5">
        <v>30</v>
      </c>
      <c r="P137">
        <f t="shared" si="15"/>
        <v>90</v>
      </c>
      <c r="Q137" s="14">
        <f t="shared" si="16"/>
        <v>1.3499999999999999</v>
      </c>
      <c r="R137" s="14">
        <f t="shared" si="17"/>
        <v>1.8</v>
      </c>
    </row>
    <row r="138" spans="1:18" x14ac:dyDescent="0.35">
      <c r="A138" s="2">
        <v>127</v>
      </c>
      <c r="B138" s="4">
        <f t="shared" si="9"/>
        <v>24</v>
      </c>
      <c r="C138" s="4">
        <f t="shared" si="10"/>
        <v>7</v>
      </c>
      <c r="D138" s="4">
        <f t="shared" si="11"/>
        <v>2023</v>
      </c>
      <c r="E138" s="4" t="str">
        <f t="shared" si="12"/>
        <v>Monday</v>
      </c>
      <c r="F138" s="4" t="str">
        <f t="shared" si="13"/>
        <v>July</v>
      </c>
      <c r="G138" s="4" t="str">
        <f t="shared" si="14"/>
        <v>2023</v>
      </c>
      <c r="H138" s="3">
        <v>45131</v>
      </c>
      <c r="I138" s="4" t="s">
        <v>152</v>
      </c>
      <c r="J138" s="4" t="s">
        <v>23</v>
      </c>
      <c r="K138" s="4" t="str" cm="1">
        <f t="array" ref="K138">_xlfn.IFS(L138&gt;50,"Senior", L138&gt;=30,"Adult", L138&lt;30,"Young Adult")</f>
        <v>Adult</v>
      </c>
      <c r="L138" s="4">
        <v>33</v>
      </c>
      <c r="M138" s="4" t="s">
        <v>24</v>
      </c>
      <c r="N138" s="4">
        <v>2</v>
      </c>
      <c r="O138" s="5">
        <v>25</v>
      </c>
      <c r="P138">
        <f t="shared" si="15"/>
        <v>50</v>
      </c>
      <c r="Q138" s="14">
        <f t="shared" si="16"/>
        <v>0.75</v>
      </c>
      <c r="R138" s="14">
        <f t="shared" si="17"/>
        <v>1</v>
      </c>
    </row>
    <row r="139" spans="1:18" x14ac:dyDescent="0.35">
      <c r="A139" s="2">
        <v>128</v>
      </c>
      <c r="B139" s="4">
        <f t="shared" si="9"/>
        <v>5</v>
      </c>
      <c r="C139" s="4">
        <f t="shared" si="10"/>
        <v>7</v>
      </c>
      <c r="D139" s="4">
        <f t="shared" si="11"/>
        <v>2023</v>
      </c>
      <c r="E139" s="4" t="str">
        <f t="shared" si="12"/>
        <v>Wednesday</v>
      </c>
      <c r="F139" s="4" t="str">
        <f t="shared" si="13"/>
        <v>July</v>
      </c>
      <c r="G139" s="4" t="str">
        <f t="shared" si="14"/>
        <v>2023</v>
      </c>
      <c r="H139" s="3">
        <v>45112</v>
      </c>
      <c r="I139" s="4" t="s">
        <v>153</v>
      </c>
      <c r="J139" s="4" t="s">
        <v>20</v>
      </c>
      <c r="K139" s="4" t="str" cm="1">
        <f t="array" ref="K139">_xlfn.IFS(L139&gt;50,"Senior", L139&gt;=30,"Adult", L139&lt;30,"Young Adult")</f>
        <v>Young Adult</v>
      </c>
      <c r="L139" s="4">
        <v>25</v>
      </c>
      <c r="M139" s="4" t="s">
        <v>21</v>
      </c>
      <c r="N139" s="4">
        <v>1</v>
      </c>
      <c r="O139" s="5">
        <v>500</v>
      </c>
      <c r="P139">
        <f t="shared" si="15"/>
        <v>500</v>
      </c>
      <c r="Q139" s="14">
        <f t="shared" si="16"/>
        <v>7.5</v>
      </c>
      <c r="R139" s="14">
        <f t="shared" si="17"/>
        <v>10</v>
      </c>
    </row>
    <row r="140" spans="1:18" x14ac:dyDescent="0.35">
      <c r="A140" s="2">
        <v>129</v>
      </c>
      <c r="B140" s="4">
        <f t="shared" ref="B140:B203" si="18">DAY(H140)</f>
        <v>23</v>
      </c>
      <c r="C140" s="4">
        <f t="shared" ref="C140:C203" si="19">MONTH(H140)</f>
        <v>4</v>
      </c>
      <c r="D140" s="4">
        <f t="shared" ref="D140:D203" si="20">YEAR(H140)</f>
        <v>2023</v>
      </c>
      <c r="E140" s="4" t="str">
        <f t="shared" ref="E140:E203" si="21">TEXT(H140,"DDDD")</f>
        <v>Sunday</v>
      </c>
      <c r="F140" s="4" t="str">
        <f t="shared" ref="F140:F203" si="22">TEXT(H140,"MMMM")</f>
        <v>April</v>
      </c>
      <c r="G140" s="4" t="str">
        <f t="shared" ref="G140:G203" si="23">TEXT(H140,"YYYY")</f>
        <v>2023</v>
      </c>
      <c r="H140" s="3">
        <v>45039</v>
      </c>
      <c r="I140" s="4" t="s">
        <v>154</v>
      </c>
      <c r="J140" s="4" t="s">
        <v>23</v>
      </c>
      <c r="K140" s="4" t="str" cm="1">
        <f t="array" ref="K140">_xlfn.IFS(L140&gt;50,"Senior", L140&gt;=30,"Adult", L140&lt;30,"Young Adult")</f>
        <v>Young Adult</v>
      </c>
      <c r="L140" s="4">
        <v>21</v>
      </c>
      <c r="M140" s="4" t="s">
        <v>21</v>
      </c>
      <c r="N140" s="4">
        <v>2</v>
      </c>
      <c r="O140" s="5">
        <v>300</v>
      </c>
      <c r="P140">
        <f t="shared" ref="P140:P203" si="24">O140*N140</f>
        <v>600</v>
      </c>
      <c r="Q140" s="14">
        <f t="shared" si="16"/>
        <v>9</v>
      </c>
      <c r="R140" s="14">
        <f t="shared" si="17"/>
        <v>12</v>
      </c>
    </row>
    <row r="141" spans="1:18" x14ac:dyDescent="0.35">
      <c r="A141" s="2">
        <v>130</v>
      </c>
      <c r="B141" s="4">
        <f t="shared" si="18"/>
        <v>12</v>
      </c>
      <c r="C141" s="4">
        <f t="shared" si="19"/>
        <v>3</v>
      </c>
      <c r="D141" s="4">
        <f t="shared" si="20"/>
        <v>2023</v>
      </c>
      <c r="E141" s="4" t="str">
        <f t="shared" si="21"/>
        <v>Sunday</v>
      </c>
      <c r="F141" s="4" t="str">
        <f t="shared" si="22"/>
        <v>March</v>
      </c>
      <c r="G141" s="4" t="str">
        <f t="shared" si="23"/>
        <v>2023</v>
      </c>
      <c r="H141" s="3">
        <v>44997</v>
      </c>
      <c r="I141" s="4" t="s">
        <v>155</v>
      </c>
      <c r="J141" s="4" t="s">
        <v>23</v>
      </c>
      <c r="K141" s="4" t="str" cm="1">
        <f t="array" ref="K141">_xlfn.IFS(L141&gt;50,"Senior", L141&gt;=30,"Adult", L141&lt;30,"Young Adult")</f>
        <v>Senior</v>
      </c>
      <c r="L141" s="4">
        <v>57</v>
      </c>
      <c r="M141" s="4" t="s">
        <v>24</v>
      </c>
      <c r="N141" s="4">
        <v>1</v>
      </c>
      <c r="O141" s="5">
        <v>500</v>
      </c>
      <c r="P141">
        <f t="shared" si="24"/>
        <v>500</v>
      </c>
      <c r="Q141" s="14">
        <f t="shared" ref="Q141:Q204" si="25">P141*$I$4</f>
        <v>7.5</v>
      </c>
      <c r="R141" s="14">
        <f t="shared" ref="R141:R204" si="26">P141*$I$5</f>
        <v>10</v>
      </c>
    </row>
    <row r="142" spans="1:18" x14ac:dyDescent="0.35">
      <c r="A142" s="2">
        <v>131</v>
      </c>
      <c r="B142" s="4">
        <f t="shared" si="18"/>
        <v>18</v>
      </c>
      <c r="C142" s="4">
        <f t="shared" si="19"/>
        <v>9</v>
      </c>
      <c r="D142" s="4">
        <f t="shared" si="20"/>
        <v>2023</v>
      </c>
      <c r="E142" s="4" t="str">
        <f t="shared" si="21"/>
        <v>Monday</v>
      </c>
      <c r="F142" s="4" t="str">
        <f t="shared" si="22"/>
        <v>September</v>
      </c>
      <c r="G142" s="4" t="str">
        <f t="shared" si="23"/>
        <v>2023</v>
      </c>
      <c r="H142" s="3">
        <v>45187</v>
      </c>
      <c r="I142" s="4" t="s">
        <v>156</v>
      </c>
      <c r="J142" s="4" t="s">
        <v>23</v>
      </c>
      <c r="K142" s="4" t="str" cm="1">
        <f t="array" ref="K142">_xlfn.IFS(L142&gt;50,"Senior", L142&gt;=30,"Adult", L142&lt;30,"Young Adult")</f>
        <v>Young Adult</v>
      </c>
      <c r="L142" s="4">
        <v>21</v>
      </c>
      <c r="M142" s="4" t="s">
        <v>21</v>
      </c>
      <c r="N142" s="4">
        <v>2</v>
      </c>
      <c r="O142" s="5">
        <v>300</v>
      </c>
      <c r="P142">
        <f t="shared" si="24"/>
        <v>600</v>
      </c>
      <c r="Q142" s="14">
        <f t="shared" si="25"/>
        <v>9</v>
      </c>
      <c r="R142" s="14">
        <f t="shared" si="26"/>
        <v>12</v>
      </c>
    </row>
    <row r="143" spans="1:18" x14ac:dyDescent="0.35">
      <c r="A143" s="2">
        <v>132</v>
      </c>
      <c r="B143" s="4">
        <f t="shared" si="18"/>
        <v>10</v>
      </c>
      <c r="C143" s="4">
        <f t="shared" si="19"/>
        <v>9</v>
      </c>
      <c r="D143" s="4">
        <f t="shared" si="20"/>
        <v>2023</v>
      </c>
      <c r="E143" s="4" t="str">
        <f t="shared" si="21"/>
        <v>Sunday</v>
      </c>
      <c r="F143" s="4" t="str">
        <f t="shared" si="22"/>
        <v>September</v>
      </c>
      <c r="G143" s="4" t="str">
        <f t="shared" si="23"/>
        <v>2023</v>
      </c>
      <c r="H143" s="3">
        <v>45179</v>
      </c>
      <c r="I143" s="4" t="s">
        <v>157</v>
      </c>
      <c r="J143" s="4" t="s">
        <v>20</v>
      </c>
      <c r="K143" s="4" t="str" cm="1">
        <f t="array" ref="K143">_xlfn.IFS(L143&gt;50,"Senior", L143&gt;=30,"Adult", L143&lt;30,"Young Adult")</f>
        <v>Adult</v>
      </c>
      <c r="L143" s="4">
        <v>42</v>
      </c>
      <c r="M143" s="4" t="s">
        <v>26</v>
      </c>
      <c r="N143" s="4">
        <v>4</v>
      </c>
      <c r="O143" s="5">
        <v>50</v>
      </c>
      <c r="P143">
        <f t="shared" si="24"/>
        <v>200</v>
      </c>
      <c r="Q143" s="14">
        <f t="shared" si="25"/>
        <v>3</v>
      </c>
      <c r="R143" s="14">
        <f t="shared" si="26"/>
        <v>4</v>
      </c>
    </row>
    <row r="144" spans="1:18" x14ac:dyDescent="0.35">
      <c r="A144" s="2">
        <v>133</v>
      </c>
      <c r="B144" s="4">
        <f t="shared" si="18"/>
        <v>16</v>
      </c>
      <c r="C144" s="4">
        <f t="shared" si="19"/>
        <v>2</v>
      </c>
      <c r="D144" s="4">
        <f t="shared" si="20"/>
        <v>2023</v>
      </c>
      <c r="E144" s="4" t="str">
        <f t="shared" si="21"/>
        <v>Thursday</v>
      </c>
      <c r="F144" s="4" t="str">
        <f t="shared" si="22"/>
        <v>February</v>
      </c>
      <c r="G144" s="4" t="str">
        <f t="shared" si="23"/>
        <v>2023</v>
      </c>
      <c r="H144" s="3">
        <v>44973</v>
      </c>
      <c r="I144" s="4" t="s">
        <v>158</v>
      </c>
      <c r="J144" s="4" t="s">
        <v>20</v>
      </c>
      <c r="K144" s="4" t="str" cm="1">
        <f t="array" ref="K144">_xlfn.IFS(L144&gt;50,"Senior", L144&gt;=30,"Adult", L144&lt;30,"Young Adult")</f>
        <v>Young Adult</v>
      </c>
      <c r="L144" s="4">
        <v>20</v>
      </c>
      <c r="M144" s="4" t="s">
        <v>26</v>
      </c>
      <c r="N144" s="4">
        <v>3</v>
      </c>
      <c r="O144" s="5">
        <v>300</v>
      </c>
      <c r="P144">
        <f t="shared" si="24"/>
        <v>900</v>
      </c>
      <c r="Q144" s="14">
        <f t="shared" si="25"/>
        <v>13.5</v>
      </c>
      <c r="R144" s="14">
        <f t="shared" si="26"/>
        <v>18</v>
      </c>
    </row>
    <row r="145" spans="1:18" x14ac:dyDescent="0.35">
      <c r="A145" s="2">
        <v>134</v>
      </c>
      <c r="B145" s="4">
        <f t="shared" si="18"/>
        <v>25</v>
      </c>
      <c r="C145" s="4">
        <f t="shared" si="19"/>
        <v>1</v>
      </c>
      <c r="D145" s="4">
        <f t="shared" si="20"/>
        <v>2023</v>
      </c>
      <c r="E145" s="4" t="str">
        <f t="shared" si="21"/>
        <v>Wednesday</v>
      </c>
      <c r="F145" s="4" t="str">
        <f t="shared" si="22"/>
        <v>January</v>
      </c>
      <c r="G145" s="4" t="str">
        <f t="shared" si="23"/>
        <v>2023</v>
      </c>
      <c r="H145" s="3">
        <v>44951</v>
      </c>
      <c r="I145" s="4" t="s">
        <v>159</v>
      </c>
      <c r="J145" s="4" t="s">
        <v>20</v>
      </c>
      <c r="K145" s="4" t="str" cm="1">
        <f t="array" ref="K145">_xlfn.IFS(L145&gt;50,"Senior", L145&gt;=30,"Adult", L145&lt;30,"Young Adult")</f>
        <v>Adult</v>
      </c>
      <c r="L145" s="4">
        <v>49</v>
      </c>
      <c r="M145" s="4" t="s">
        <v>26</v>
      </c>
      <c r="N145" s="4">
        <v>1</v>
      </c>
      <c r="O145" s="5">
        <v>50</v>
      </c>
      <c r="P145">
        <f t="shared" si="24"/>
        <v>50</v>
      </c>
      <c r="Q145" s="14">
        <f t="shared" si="25"/>
        <v>0.75</v>
      </c>
      <c r="R145" s="14">
        <f t="shared" si="26"/>
        <v>1</v>
      </c>
    </row>
    <row r="146" spans="1:18" x14ac:dyDescent="0.35">
      <c r="A146" s="2">
        <v>135</v>
      </c>
      <c r="B146" s="4">
        <f t="shared" si="18"/>
        <v>26</v>
      </c>
      <c r="C146" s="4">
        <f t="shared" si="19"/>
        <v>2</v>
      </c>
      <c r="D146" s="4">
        <f t="shared" si="20"/>
        <v>2023</v>
      </c>
      <c r="E146" s="4" t="str">
        <f t="shared" si="21"/>
        <v>Sunday</v>
      </c>
      <c r="F146" s="4" t="str">
        <f t="shared" si="22"/>
        <v>February</v>
      </c>
      <c r="G146" s="4" t="str">
        <f t="shared" si="23"/>
        <v>2023</v>
      </c>
      <c r="H146" s="3">
        <v>44983</v>
      </c>
      <c r="I146" s="4" t="s">
        <v>160</v>
      </c>
      <c r="J146" s="4" t="s">
        <v>20</v>
      </c>
      <c r="K146" s="4" t="str" cm="1">
        <f t="array" ref="K146">_xlfn.IFS(L146&gt;50,"Senior", L146&gt;=30,"Adult", L146&lt;30,"Young Adult")</f>
        <v>Young Adult</v>
      </c>
      <c r="L146" s="4">
        <v>20</v>
      </c>
      <c r="M146" s="4" t="s">
        <v>24</v>
      </c>
      <c r="N146" s="4">
        <v>2</v>
      </c>
      <c r="O146" s="5">
        <v>25</v>
      </c>
      <c r="P146">
        <f t="shared" si="24"/>
        <v>50</v>
      </c>
      <c r="Q146" s="14">
        <f t="shared" si="25"/>
        <v>0.75</v>
      </c>
      <c r="R146" s="14">
        <f t="shared" si="26"/>
        <v>1</v>
      </c>
    </row>
    <row r="147" spans="1:18" x14ac:dyDescent="0.35">
      <c r="A147" s="2">
        <v>136</v>
      </c>
      <c r="B147" s="4">
        <f t="shared" si="18"/>
        <v>20</v>
      </c>
      <c r="C147" s="4">
        <f t="shared" si="19"/>
        <v>3</v>
      </c>
      <c r="D147" s="4">
        <f t="shared" si="20"/>
        <v>2023</v>
      </c>
      <c r="E147" s="4" t="str">
        <f t="shared" si="21"/>
        <v>Monday</v>
      </c>
      <c r="F147" s="4" t="str">
        <f t="shared" si="22"/>
        <v>March</v>
      </c>
      <c r="G147" s="4" t="str">
        <f t="shared" si="23"/>
        <v>2023</v>
      </c>
      <c r="H147" s="3">
        <v>45005</v>
      </c>
      <c r="I147" s="4" t="s">
        <v>161</v>
      </c>
      <c r="J147" s="4" t="s">
        <v>20</v>
      </c>
      <c r="K147" s="4" t="str" cm="1">
        <f t="array" ref="K147">_xlfn.IFS(L147&gt;50,"Senior", L147&gt;=30,"Adult", L147&lt;30,"Young Adult")</f>
        <v>Adult</v>
      </c>
      <c r="L147" s="4">
        <v>44</v>
      </c>
      <c r="M147" s="4" t="s">
        <v>26</v>
      </c>
      <c r="N147" s="4">
        <v>2</v>
      </c>
      <c r="O147" s="5">
        <v>300</v>
      </c>
      <c r="P147">
        <f t="shared" si="24"/>
        <v>600</v>
      </c>
      <c r="Q147" s="14">
        <f t="shared" si="25"/>
        <v>9</v>
      </c>
      <c r="R147" s="14">
        <f t="shared" si="26"/>
        <v>12</v>
      </c>
    </row>
    <row r="148" spans="1:18" x14ac:dyDescent="0.35">
      <c r="A148" s="2">
        <v>137</v>
      </c>
      <c r="B148" s="4">
        <f t="shared" si="18"/>
        <v>18</v>
      </c>
      <c r="C148" s="4">
        <f t="shared" si="19"/>
        <v>11</v>
      </c>
      <c r="D148" s="4">
        <f t="shared" si="20"/>
        <v>2023</v>
      </c>
      <c r="E148" s="4" t="str">
        <f t="shared" si="21"/>
        <v>Saturday</v>
      </c>
      <c r="F148" s="4" t="str">
        <f t="shared" si="22"/>
        <v>November</v>
      </c>
      <c r="G148" s="4" t="str">
        <f t="shared" si="23"/>
        <v>2023</v>
      </c>
      <c r="H148" s="3">
        <v>45248</v>
      </c>
      <c r="I148" s="4" t="s">
        <v>162</v>
      </c>
      <c r="J148" s="4" t="s">
        <v>20</v>
      </c>
      <c r="K148" s="4" t="str" cm="1">
        <f t="array" ref="K148">_xlfn.IFS(L148&gt;50,"Senior", L148&gt;=30,"Adult", L148&lt;30,"Young Adult")</f>
        <v>Adult</v>
      </c>
      <c r="L148" s="4">
        <v>46</v>
      </c>
      <c r="M148" s="4" t="s">
        <v>21</v>
      </c>
      <c r="N148" s="4">
        <v>2</v>
      </c>
      <c r="O148" s="5">
        <v>500</v>
      </c>
      <c r="P148">
        <f t="shared" si="24"/>
        <v>1000</v>
      </c>
      <c r="Q148" s="14">
        <f t="shared" si="25"/>
        <v>15</v>
      </c>
      <c r="R148" s="14">
        <f t="shared" si="26"/>
        <v>20</v>
      </c>
    </row>
    <row r="149" spans="1:18" x14ac:dyDescent="0.35">
      <c r="A149" s="2">
        <v>138</v>
      </c>
      <c r="B149" s="4">
        <f t="shared" si="18"/>
        <v>23</v>
      </c>
      <c r="C149" s="4">
        <f t="shared" si="19"/>
        <v>3</v>
      </c>
      <c r="D149" s="4">
        <f t="shared" si="20"/>
        <v>2023</v>
      </c>
      <c r="E149" s="4" t="str">
        <f t="shared" si="21"/>
        <v>Thursday</v>
      </c>
      <c r="F149" s="4" t="str">
        <f t="shared" si="22"/>
        <v>March</v>
      </c>
      <c r="G149" s="4" t="str">
        <f t="shared" si="23"/>
        <v>2023</v>
      </c>
      <c r="H149" s="3">
        <v>45008</v>
      </c>
      <c r="I149" s="4" t="s">
        <v>163</v>
      </c>
      <c r="J149" s="4" t="s">
        <v>20</v>
      </c>
      <c r="K149" s="4" t="str" cm="1">
        <f t="array" ref="K149">_xlfn.IFS(L149&gt;50,"Senior", L149&gt;=30,"Adult", L149&lt;30,"Young Adult")</f>
        <v>Adult</v>
      </c>
      <c r="L149" s="4">
        <v>49</v>
      </c>
      <c r="M149" s="4" t="s">
        <v>24</v>
      </c>
      <c r="N149" s="4">
        <v>4</v>
      </c>
      <c r="O149" s="5">
        <v>50</v>
      </c>
      <c r="P149">
        <f t="shared" si="24"/>
        <v>200</v>
      </c>
      <c r="Q149" s="14">
        <f t="shared" si="25"/>
        <v>3</v>
      </c>
      <c r="R149" s="14">
        <f t="shared" si="26"/>
        <v>4</v>
      </c>
    </row>
    <row r="150" spans="1:18" x14ac:dyDescent="0.35">
      <c r="A150" s="2">
        <v>139</v>
      </c>
      <c r="B150" s="4">
        <f t="shared" si="18"/>
        <v>15</v>
      </c>
      <c r="C150" s="4">
        <f t="shared" si="19"/>
        <v>12</v>
      </c>
      <c r="D150" s="4">
        <f t="shared" si="20"/>
        <v>2023</v>
      </c>
      <c r="E150" s="4" t="str">
        <f t="shared" si="21"/>
        <v>Friday</v>
      </c>
      <c r="F150" s="4" t="str">
        <f t="shared" si="22"/>
        <v>December</v>
      </c>
      <c r="G150" s="4" t="str">
        <f t="shared" si="23"/>
        <v>2023</v>
      </c>
      <c r="H150" s="3">
        <v>45275</v>
      </c>
      <c r="I150" s="4" t="s">
        <v>164</v>
      </c>
      <c r="J150" s="4" t="s">
        <v>20</v>
      </c>
      <c r="K150" s="4" t="str" cm="1">
        <f t="array" ref="K150">_xlfn.IFS(L150&gt;50,"Senior", L150&gt;=30,"Adult", L150&lt;30,"Young Adult")</f>
        <v>Adult</v>
      </c>
      <c r="L150" s="4">
        <v>36</v>
      </c>
      <c r="M150" s="4" t="s">
        <v>21</v>
      </c>
      <c r="N150" s="4">
        <v>4</v>
      </c>
      <c r="O150" s="5">
        <v>500</v>
      </c>
      <c r="P150">
        <f t="shared" si="24"/>
        <v>2000</v>
      </c>
      <c r="Q150" s="14">
        <f t="shared" si="25"/>
        <v>30</v>
      </c>
      <c r="R150" s="14">
        <f t="shared" si="26"/>
        <v>40</v>
      </c>
    </row>
    <row r="151" spans="1:18" x14ac:dyDescent="0.35">
      <c r="A151" s="2">
        <v>140</v>
      </c>
      <c r="B151" s="4">
        <f t="shared" si="18"/>
        <v>5</v>
      </c>
      <c r="C151" s="4">
        <f t="shared" si="19"/>
        <v>8</v>
      </c>
      <c r="D151" s="4">
        <f t="shared" si="20"/>
        <v>2023</v>
      </c>
      <c r="E151" s="4" t="str">
        <f t="shared" si="21"/>
        <v>Saturday</v>
      </c>
      <c r="F151" s="4" t="str">
        <f t="shared" si="22"/>
        <v>August</v>
      </c>
      <c r="G151" s="4" t="str">
        <f t="shared" si="23"/>
        <v>2023</v>
      </c>
      <c r="H151" s="3">
        <v>45143</v>
      </c>
      <c r="I151" s="4" t="s">
        <v>165</v>
      </c>
      <c r="J151" s="4" t="s">
        <v>20</v>
      </c>
      <c r="K151" s="4" t="str" cm="1">
        <f t="array" ref="K151">_xlfn.IFS(L151&gt;50,"Senior", L151&gt;=30,"Adult", L151&lt;30,"Young Adult")</f>
        <v>Adult</v>
      </c>
      <c r="L151" s="4">
        <v>38</v>
      </c>
      <c r="M151" s="4" t="s">
        <v>26</v>
      </c>
      <c r="N151" s="4">
        <v>1</v>
      </c>
      <c r="O151" s="5">
        <v>30</v>
      </c>
      <c r="P151">
        <f t="shared" si="24"/>
        <v>30</v>
      </c>
      <c r="Q151" s="14">
        <f t="shared" si="25"/>
        <v>0.44999999999999996</v>
      </c>
      <c r="R151" s="14">
        <f t="shared" si="26"/>
        <v>0.6</v>
      </c>
    </row>
    <row r="152" spans="1:18" x14ac:dyDescent="0.35">
      <c r="A152" s="2">
        <v>141</v>
      </c>
      <c r="B152" s="4">
        <f t="shared" si="18"/>
        <v>2</v>
      </c>
      <c r="C152" s="4">
        <f t="shared" si="19"/>
        <v>11</v>
      </c>
      <c r="D152" s="4">
        <f t="shared" si="20"/>
        <v>2023</v>
      </c>
      <c r="E152" s="4" t="str">
        <f t="shared" si="21"/>
        <v>Thursday</v>
      </c>
      <c r="F152" s="4" t="str">
        <f t="shared" si="22"/>
        <v>November</v>
      </c>
      <c r="G152" s="4" t="str">
        <f t="shared" si="23"/>
        <v>2023</v>
      </c>
      <c r="H152" s="3">
        <v>45232</v>
      </c>
      <c r="I152" s="4" t="s">
        <v>166</v>
      </c>
      <c r="J152" s="4" t="s">
        <v>23</v>
      </c>
      <c r="K152" s="4" t="str" cm="1">
        <f t="array" ref="K152">_xlfn.IFS(L152&gt;50,"Senior", L152&gt;=30,"Adult", L152&lt;30,"Young Adult")</f>
        <v>Young Adult</v>
      </c>
      <c r="L152" s="4">
        <v>22</v>
      </c>
      <c r="M152" s="4" t="s">
        <v>26</v>
      </c>
      <c r="N152" s="4">
        <v>1</v>
      </c>
      <c r="O152" s="5">
        <v>50</v>
      </c>
      <c r="P152">
        <f t="shared" si="24"/>
        <v>50</v>
      </c>
      <c r="Q152" s="14">
        <f t="shared" si="25"/>
        <v>0.75</v>
      </c>
      <c r="R152" s="14">
        <f t="shared" si="26"/>
        <v>1</v>
      </c>
    </row>
    <row r="153" spans="1:18" x14ac:dyDescent="0.35">
      <c r="A153" s="2">
        <v>142</v>
      </c>
      <c r="B153" s="4">
        <f t="shared" si="18"/>
        <v>2</v>
      </c>
      <c r="C153" s="4">
        <f t="shared" si="19"/>
        <v>2</v>
      </c>
      <c r="D153" s="4">
        <f t="shared" si="20"/>
        <v>2023</v>
      </c>
      <c r="E153" s="4" t="str">
        <f t="shared" si="21"/>
        <v>Thursday</v>
      </c>
      <c r="F153" s="4" t="str">
        <f t="shared" si="22"/>
        <v>February</v>
      </c>
      <c r="G153" s="4" t="str">
        <f t="shared" si="23"/>
        <v>2023</v>
      </c>
      <c r="H153" s="3">
        <v>44959</v>
      </c>
      <c r="I153" s="4" t="s">
        <v>167</v>
      </c>
      <c r="J153" s="4" t="s">
        <v>20</v>
      </c>
      <c r="K153" s="4" t="str" cm="1">
        <f t="array" ref="K153">_xlfn.IFS(L153&gt;50,"Senior", L153&gt;=30,"Adult", L153&lt;30,"Young Adult")</f>
        <v>Adult</v>
      </c>
      <c r="L153" s="4">
        <v>35</v>
      </c>
      <c r="M153" s="4" t="s">
        <v>26</v>
      </c>
      <c r="N153" s="4">
        <v>4</v>
      </c>
      <c r="O153" s="5">
        <v>300</v>
      </c>
      <c r="P153">
        <f t="shared" si="24"/>
        <v>1200</v>
      </c>
      <c r="Q153" s="14">
        <f t="shared" si="25"/>
        <v>18</v>
      </c>
      <c r="R153" s="14">
        <f t="shared" si="26"/>
        <v>24</v>
      </c>
    </row>
    <row r="154" spans="1:18" x14ac:dyDescent="0.35">
      <c r="A154" s="2">
        <v>143</v>
      </c>
      <c r="B154" s="4">
        <f t="shared" si="18"/>
        <v>17</v>
      </c>
      <c r="C154" s="4">
        <f t="shared" si="19"/>
        <v>7</v>
      </c>
      <c r="D154" s="4">
        <f t="shared" si="20"/>
        <v>2023</v>
      </c>
      <c r="E154" s="4" t="str">
        <f t="shared" si="21"/>
        <v>Monday</v>
      </c>
      <c r="F154" s="4" t="str">
        <f t="shared" si="22"/>
        <v>July</v>
      </c>
      <c r="G154" s="4" t="str">
        <f t="shared" si="23"/>
        <v>2023</v>
      </c>
      <c r="H154" s="3">
        <v>45124</v>
      </c>
      <c r="I154" s="4" t="s">
        <v>168</v>
      </c>
      <c r="J154" s="4" t="s">
        <v>23</v>
      </c>
      <c r="K154" s="4" t="str" cm="1">
        <f t="array" ref="K154">_xlfn.IFS(L154&gt;50,"Senior", L154&gt;=30,"Adult", L154&lt;30,"Young Adult")</f>
        <v>Adult</v>
      </c>
      <c r="L154" s="4">
        <v>45</v>
      </c>
      <c r="M154" s="4" t="s">
        <v>24</v>
      </c>
      <c r="N154" s="4">
        <v>1</v>
      </c>
      <c r="O154" s="5">
        <v>50</v>
      </c>
      <c r="P154">
        <f t="shared" si="24"/>
        <v>50</v>
      </c>
      <c r="Q154" s="14">
        <f t="shared" si="25"/>
        <v>0.75</v>
      </c>
      <c r="R154" s="14">
        <f t="shared" si="26"/>
        <v>1</v>
      </c>
    </row>
    <row r="155" spans="1:18" x14ac:dyDescent="0.35">
      <c r="A155" s="2">
        <v>144</v>
      </c>
      <c r="B155" s="4">
        <f t="shared" si="18"/>
        <v>15</v>
      </c>
      <c r="C155" s="4">
        <f t="shared" si="19"/>
        <v>7</v>
      </c>
      <c r="D155" s="4">
        <f t="shared" si="20"/>
        <v>2023</v>
      </c>
      <c r="E155" s="4" t="str">
        <f t="shared" si="21"/>
        <v>Saturday</v>
      </c>
      <c r="F155" s="4" t="str">
        <f t="shared" si="22"/>
        <v>July</v>
      </c>
      <c r="G155" s="4" t="str">
        <f t="shared" si="23"/>
        <v>2023</v>
      </c>
      <c r="H155" s="3">
        <v>45122</v>
      </c>
      <c r="I155" s="4" t="s">
        <v>169</v>
      </c>
      <c r="J155" s="4" t="s">
        <v>23</v>
      </c>
      <c r="K155" s="4" t="str" cm="1">
        <f t="array" ref="K155">_xlfn.IFS(L155&gt;50,"Senior", L155&gt;=30,"Adult", L155&lt;30,"Young Adult")</f>
        <v>Senior</v>
      </c>
      <c r="L155" s="4">
        <v>59</v>
      </c>
      <c r="M155" s="4" t="s">
        <v>21</v>
      </c>
      <c r="N155" s="4">
        <v>3</v>
      </c>
      <c r="O155" s="5">
        <v>500</v>
      </c>
      <c r="P155">
        <f t="shared" si="24"/>
        <v>1500</v>
      </c>
      <c r="Q155" s="14">
        <f t="shared" si="25"/>
        <v>22.5</v>
      </c>
      <c r="R155" s="14">
        <f t="shared" si="26"/>
        <v>30</v>
      </c>
    </row>
    <row r="156" spans="1:18" x14ac:dyDescent="0.35">
      <c r="A156" s="2">
        <v>145</v>
      </c>
      <c r="B156" s="4">
        <f t="shared" si="18"/>
        <v>2</v>
      </c>
      <c r="C156" s="4">
        <f t="shared" si="19"/>
        <v>11</v>
      </c>
      <c r="D156" s="4">
        <f t="shared" si="20"/>
        <v>2023</v>
      </c>
      <c r="E156" s="4" t="str">
        <f t="shared" si="21"/>
        <v>Thursday</v>
      </c>
      <c r="F156" s="4" t="str">
        <f t="shared" si="22"/>
        <v>November</v>
      </c>
      <c r="G156" s="4" t="str">
        <f t="shared" si="23"/>
        <v>2023</v>
      </c>
      <c r="H156" s="3">
        <v>45232</v>
      </c>
      <c r="I156" s="4" t="s">
        <v>170</v>
      </c>
      <c r="J156" s="4" t="s">
        <v>23</v>
      </c>
      <c r="K156" s="4" t="str" cm="1">
        <f t="array" ref="K156">_xlfn.IFS(L156&gt;50,"Senior", L156&gt;=30,"Adult", L156&lt;30,"Young Adult")</f>
        <v>Adult</v>
      </c>
      <c r="L156" s="4">
        <v>39</v>
      </c>
      <c r="M156" s="4" t="s">
        <v>24</v>
      </c>
      <c r="N156" s="4">
        <v>3</v>
      </c>
      <c r="O156" s="5">
        <v>25</v>
      </c>
      <c r="P156">
        <f t="shared" si="24"/>
        <v>75</v>
      </c>
      <c r="Q156" s="14">
        <f t="shared" si="25"/>
        <v>1.125</v>
      </c>
      <c r="R156" s="14">
        <f t="shared" si="26"/>
        <v>1.5</v>
      </c>
    </row>
    <row r="157" spans="1:18" x14ac:dyDescent="0.35">
      <c r="A157" s="2">
        <v>146</v>
      </c>
      <c r="B157" s="4">
        <f t="shared" si="18"/>
        <v>28</v>
      </c>
      <c r="C157" s="4">
        <f t="shared" si="19"/>
        <v>8</v>
      </c>
      <c r="D157" s="4">
        <f t="shared" si="20"/>
        <v>2023</v>
      </c>
      <c r="E157" s="4" t="str">
        <f t="shared" si="21"/>
        <v>Monday</v>
      </c>
      <c r="F157" s="4" t="str">
        <f t="shared" si="22"/>
        <v>August</v>
      </c>
      <c r="G157" s="4" t="str">
        <f t="shared" si="23"/>
        <v>2023</v>
      </c>
      <c r="H157" s="3">
        <v>45166</v>
      </c>
      <c r="I157" s="4" t="s">
        <v>171</v>
      </c>
      <c r="J157" s="4" t="s">
        <v>20</v>
      </c>
      <c r="K157" s="4" t="str" cm="1">
        <f t="array" ref="K157">_xlfn.IFS(L157&gt;50,"Senior", L157&gt;=30,"Adult", L157&lt;30,"Young Adult")</f>
        <v>Adult</v>
      </c>
      <c r="L157" s="4">
        <v>38</v>
      </c>
      <c r="M157" s="4" t="s">
        <v>24</v>
      </c>
      <c r="N157" s="4">
        <v>4</v>
      </c>
      <c r="O157" s="5">
        <v>50</v>
      </c>
      <c r="P157">
        <f t="shared" si="24"/>
        <v>200</v>
      </c>
      <c r="Q157" s="14">
        <f t="shared" si="25"/>
        <v>3</v>
      </c>
      <c r="R157" s="14">
        <f t="shared" si="26"/>
        <v>4</v>
      </c>
    </row>
    <row r="158" spans="1:18" x14ac:dyDescent="0.35">
      <c r="A158" s="2">
        <v>147</v>
      </c>
      <c r="B158" s="4">
        <f t="shared" si="18"/>
        <v>28</v>
      </c>
      <c r="C158" s="4">
        <f t="shared" si="19"/>
        <v>9</v>
      </c>
      <c r="D158" s="4">
        <f t="shared" si="20"/>
        <v>2023</v>
      </c>
      <c r="E158" s="4" t="str">
        <f t="shared" si="21"/>
        <v>Thursday</v>
      </c>
      <c r="F158" s="4" t="str">
        <f t="shared" si="22"/>
        <v>September</v>
      </c>
      <c r="G158" s="4" t="str">
        <f t="shared" si="23"/>
        <v>2023</v>
      </c>
      <c r="H158" s="3">
        <v>45197</v>
      </c>
      <c r="I158" s="4" t="s">
        <v>172</v>
      </c>
      <c r="J158" s="4" t="s">
        <v>20</v>
      </c>
      <c r="K158" s="4" t="str" cm="1">
        <f t="array" ref="K158">_xlfn.IFS(L158&gt;50,"Senior", L158&gt;=30,"Adult", L158&lt;30,"Young Adult")</f>
        <v>Young Adult</v>
      </c>
      <c r="L158" s="4">
        <v>23</v>
      </c>
      <c r="M158" s="4" t="s">
        <v>26</v>
      </c>
      <c r="N158" s="4">
        <v>1</v>
      </c>
      <c r="O158" s="5">
        <v>300</v>
      </c>
      <c r="P158">
        <f t="shared" si="24"/>
        <v>300</v>
      </c>
      <c r="Q158" s="14">
        <f t="shared" si="25"/>
        <v>4.5</v>
      </c>
      <c r="R158" s="14">
        <f t="shared" si="26"/>
        <v>6</v>
      </c>
    </row>
    <row r="159" spans="1:18" x14ac:dyDescent="0.35">
      <c r="A159" s="2">
        <v>148</v>
      </c>
      <c r="B159" s="4">
        <f t="shared" si="18"/>
        <v>9</v>
      </c>
      <c r="C159" s="4">
        <f t="shared" si="19"/>
        <v>5</v>
      </c>
      <c r="D159" s="4">
        <f t="shared" si="20"/>
        <v>2023</v>
      </c>
      <c r="E159" s="4" t="str">
        <f t="shared" si="21"/>
        <v>Tuesday</v>
      </c>
      <c r="F159" s="4" t="str">
        <f t="shared" si="22"/>
        <v>May</v>
      </c>
      <c r="G159" s="4" t="str">
        <f t="shared" si="23"/>
        <v>2023</v>
      </c>
      <c r="H159" s="3">
        <v>45055</v>
      </c>
      <c r="I159" s="4" t="s">
        <v>173</v>
      </c>
      <c r="J159" s="4" t="s">
        <v>20</v>
      </c>
      <c r="K159" s="4" t="str" cm="1">
        <f t="array" ref="K159">_xlfn.IFS(L159&gt;50,"Senior", L159&gt;=30,"Adult", L159&lt;30,"Young Adult")</f>
        <v>Young Adult</v>
      </c>
      <c r="L159" s="4">
        <v>18</v>
      </c>
      <c r="M159" s="4" t="s">
        <v>24</v>
      </c>
      <c r="N159" s="4">
        <v>2</v>
      </c>
      <c r="O159" s="5">
        <v>30</v>
      </c>
      <c r="P159">
        <f t="shared" si="24"/>
        <v>60</v>
      </c>
      <c r="Q159" s="14">
        <f t="shared" si="25"/>
        <v>0.89999999999999991</v>
      </c>
      <c r="R159" s="14">
        <f t="shared" si="26"/>
        <v>1.2</v>
      </c>
    </row>
    <row r="160" spans="1:18" x14ac:dyDescent="0.35">
      <c r="A160" s="2">
        <v>149</v>
      </c>
      <c r="B160" s="4">
        <f t="shared" si="18"/>
        <v>11</v>
      </c>
      <c r="C160" s="4">
        <f t="shared" si="19"/>
        <v>10</v>
      </c>
      <c r="D160" s="4">
        <f t="shared" si="20"/>
        <v>2023</v>
      </c>
      <c r="E160" s="4" t="str">
        <f t="shared" si="21"/>
        <v>Wednesday</v>
      </c>
      <c r="F160" s="4" t="str">
        <f t="shared" si="22"/>
        <v>October</v>
      </c>
      <c r="G160" s="4" t="str">
        <f t="shared" si="23"/>
        <v>2023</v>
      </c>
      <c r="H160" s="3">
        <v>45210</v>
      </c>
      <c r="I160" s="4" t="s">
        <v>174</v>
      </c>
      <c r="J160" s="4" t="s">
        <v>20</v>
      </c>
      <c r="K160" s="4" t="str" cm="1">
        <f t="array" ref="K160">_xlfn.IFS(L160&gt;50,"Senior", L160&gt;=30,"Adult", L160&lt;30,"Young Adult")</f>
        <v>Young Adult</v>
      </c>
      <c r="L160" s="4">
        <v>22</v>
      </c>
      <c r="M160" s="4" t="s">
        <v>24</v>
      </c>
      <c r="N160" s="4">
        <v>3</v>
      </c>
      <c r="O160" s="5">
        <v>25</v>
      </c>
      <c r="P160">
        <f t="shared" si="24"/>
        <v>75</v>
      </c>
      <c r="Q160" s="14">
        <f t="shared" si="25"/>
        <v>1.125</v>
      </c>
      <c r="R160" s="14">
        <f t="shared" si="26"/>
        <v>1.5</v>
      </c>
    </row>
    <row r="161" spans="1:18" x14ac:dyDescent="0.35">
      <c r="A161" s="2">
        <v>150</v>
      </c>
      <c r="B161" s="4">
        <f t="shared" si="18"/>
        <v>6</v>
      </c>
      <c r="C161" s="4">
        <f t="shared" si="19"/>
        <v>1</v>
      </c>
      <c r="D161" s="4">
        <f t="shared" si="20"/>
        <v>2023</v>
      </c>
      <c r="E161" s="4" t="str">
        <f t="shared" si="21"/>
        <v>Friday</v>
      </c>
      <c r="F161" s="4" t="str">
        <f t="shared" si="22"/>
        <v>January</v>
      </c>
      <c r="G161" s="4" t="str">
        <f t="shared" si="23"/>
        <v>2023</v>
      </c>
      <c r="H161" s="3">
        <v>44932</v>
      </c>
      <c r="I161" s="4" t="s">
        <v>175</v>
      </c>
      <c r="J161" s="4" t="s">
        <v>23</v>
      </c>
      <c r="K161" s="4" t="str" cm="1">
        <f t="array" ref="K161">_xlfn.IFS(L161&gt;50,"Senior", L161&gt;=30,"Adult", L161&lt;30,"Young Adult")</f>
        <v>Senior</v>
      </c>
      <c r="L161" s="4">
        <v>58</v>
      </c>
      <c r="M161" s="4" t="s">
        <v>26</v>
      </c>
      <c r="N161" s="4">
        <v>4</v>
      </c>
      <c r="O161" s="5">
        <v>30</v>
      </c>
      <c r="P161">
        <f t="shared" si="24"/>
        <v>120</v>
      </c>
      <c r="Q161" s="14">
        <f t="shared" si="25"/>
        <v>1.7999999999999998</v>
      </c>
      <c r="R161" s="14">
        <f t="shared" si="26"/>
        <v>2.4</v>
      </c>
    </row>
    <row r="162" spans="1:18" x14ac:dyDescent="0.35">
      <c r="A162" s="2">
        <v>151</v>
      </c>
      <c r="B162" s="4">
        <f t="shared" si="18"/>
        <v>15</v>
      </c>
      <c r="C162" s="4">
        <f t="shared" si="19"/>
        <v>12</v>
      </c>
      <c r="D162" s="4">
        <f t="shared" si="20"/>
        <v>2023</v>
      </c>
      <c r="E162" s="4" t="str">
        <f t="shared" si="21"/>
        <v>Friday</v>
      </c>
      <c r="F162" s="4" t="str">
        <f t="shared" si="22"/>
        <v>December</v>
      </c>
      <c r="G162" s="4" t="str">
        <f t="shared" si="23"/>
        <v>2023</v>
      </c>
      <c r="H162" s="3">
        <v>45275</v>
      </c>
      <c r="I162" s="4" t="s">
        <v>176</v>
      </c>
      <c r="J162" s="4" t="s">
        <v>20</v>
      </c>
      <c r="K162" s="4" t="str" cm="1">
        <f t="array" ref="K162">_xlfn.IFS(L162&gt;50,"Senior", L162&gt;=30,"Adult", L162&lt;30,"Young Adult")</f>
        <v>Young Adult</v>
      </c>
      <c r="L162" s="4">
        <v>29</v>
      </c>
      <c r="M162" s="4" t="s">
        <v>24</v>
      </c>
      <c r="N162" s="4">
        <v>1</v>
      </c>
      <c r="O162" s="5">
        <v>50</v>
      </c>
      <c r="P162">
        <f t="shared" si="24"/>
        <v>50</v>
      </c>
      <c r="Q162" s="14">
        <f t="shared" si="25"/>
        <v>0.75</v>
      </c>
      <c r="R162" s="14">
        <f t="shared" si="26"/>
        <v>1</v>
      </c>
    </row>
    <row r="163" spans="1:18" x14ac:dyDescent="0.35">
      <c r="A163" s="2">
        <v>152</v>
      </c>
      <c r="B163" s="4">
        <f t="shared" si="18"/>
        <v>28</v>
      </c>
      <c r="C163" s="4">
        <f t="shared" si="19"/>
        <v>2</v>
      </c>
      <c r="D163" s="4">
        <f t="shared" si="20"/>
        <v>2023</v>
      </c>
      <c r="E163" s="4" t="str">
        <f t="shared" si="21"/>
        <v>Tuesday</v>
      </c>
      <c r="F163" s="4" t="str">
        <f t="shared" si="22"/>
        <v>February</v>
      </c>
      <c r="G163" s="4" t="str">
        <f t="shared" si="23"/>
        <v>2023</v>
      </c>
      <c r="H163" s="3">
        <v>44985</v>
      </c>
      <c r="I163" s="4" t="s">
        <v>177</v>
      </c>
      <c r="J163" s="4" t="s">
        <v>20</v>
      </c>
      <c r="K163" s="4" t="str" cm="1">
        <f t="array" ref="K163">_xlfn.IFS(L163&gt;50,"Senior", L163&gt;=30,"Adult", L163&lt;30,"Young Adult")</f>
        <v>Adult</v>
      </c>
      <c r="L163" s="4">
        <v>43</v>
      </c>
      <c r="M163" s="4" t="s">
        <v>26</v>
      </c>
      <c r="N163" s="4">
        <v>4</v>
      </c>
      <c r="O163" s="5">
        <v>500</v>
      </c>
      <c r="P163">
        <f t="shared" si="24"/>
        <v>2000</v>
      </c>
      <c r="Q163" s="14">
        <f t="shared" si="25"/>
        <v>30</v>
      </c>
      <c r="R163" s="14">
        <f t="shared" si="26"/>
        <v>40</v>
      </c>
    </row>
    <row r="164" spans="1:18" x14ac:dyDescent="0.35">
      <c r="A164" s="2">
        <v>153</v>
      </c>
      <c r="B164" s="4">
        <f t="shared" si="18"/>
        <v>16</v>
      </c>
      <c r="C164" s="4">
        <f t="shared" si="19"/>
        <v>12</v>
      </c>
      <c r="D164" s="4">
        <f t="shared" si="20"/>
        <v>2023</v>
      </c>
      <c r="E164" s="4" t="str">
        <f t="shared" si="21"/>
        <v>Saturday</v>
      </c>
      <c r="F164" s="4" t="str">
        <f t="shared" si="22"/>
        <v>December</v>
      </c>
      <c r="G164" s="4" t="str">
        <f t="shared" si="23"/>
        <v>2023</v>
      </c>
      <c r="H164" s="3">
        <v>45276</v>
      </c>
      <c r="I164" s="4" t="s">
        <v>178</v>
      </c>
      <c r="J164" s="4" t="s">
        <v>20</v>
      </c>
      <c r="K164" s="4" t="str" cm="1">
        <f t="array" ref="K164">_xlfn.IFS(L164&gt;50,"Senior", L164&gt;=30,"Adult", L164&lt;30,"Young Adult")</f>
        <v>Senior</v>
      </c>
      <c r="L164" s="4">
        <v>63</v>
      </c>
      <c r="M164" s="4" t="s">
        <v>26</v>
      </c>
      <c r="N164" s="4">
        <v>2</v>
      </c>
      <c r="O164" s="5">
        <v>500</v>
      </c>
      <c r="P164">
        <f t="shared" si="24"/>
        <v>1000</v>
      </c>
      <c r="Q164" s="14">
        <f t="shared" si="25"/>
        <v>15</v>
      </c>
      <c r="R164" s="14">
        <f t="shared" si="26"/>
        <v>20</v>
      </c>
    </row>
    <row r="165" spans="1:18" x14ac:dyDescent="0.35">
      <c r="A165" s="2">
        <v>154</v>
      </c>
      <c r="B165" s="4">
        <f t="shared" si="18"/>
        <v>2</v>
      </c>
      <c r="C165" s="4">
        <f t="shared" si="19"/>
        <v>10</v>
      </c>
      <c r="D165" s="4">
        <f t="shared" si="20"/>
        <v>2023</v>
      </c>
      <c r="E165" s="4" t="str">
        <f t="shared" si="21"/>
        <v>Monday</v>
      </c>
      <c r="F165" s="4" t="str">
        <f t="shared" si="22"/>
        <v>October</v>
      </c>
      <c r="G165" s="4" t="str">
        <f t="shared" si="23"/>
        <v>2023</v>
      </c>
      <c r="H165" s="3">
        <v>45201</v>
      </c>
      <c r="I165" s="4" t="s">
        <v>179</v>
      </c>
      <c r="J165" s="4" t="s">
        <v>20</v>
      </c>
      <c r="K165" s="4" t="str" cm="1">
        <f t="array" ref="K165">_xlfn.IFS(L165&gt;50,"Senior", L165&gt;=30,"Adult", L165&lt;30,"Young Adult")</f>
        <v>Senior</v>
      </c>
      <c r="L165" s="4">
        <v>51</v>
      </c>
      <c r="M165" s="4" t="s">
        <v>26</v>
      </c>
      <c r="N165" s="4">
        <v>3</v>
      </c>
      <c r="O165" s="5">
        <v>300</v>
      </c>
      <c r="P165">
        <f t="shared" si="24"/>
        <v>900</v>
      </c>
      <c r="Q165" s="14">
        <f t="shared" si="25"/>
        <v>13.5</v>
      </c>
      <c r="R165" s="14">
        <f t="shared" si="26"/>
        <v>18</v>
      </c>
    </row>
    <row r="166" spans="1:18" x14ac:dyDescent="0.35">
      <c r="A166" s="2">
        <v>155</v>
      </c>
      <c r="B166" s="4">
        <f t="shared" si="18"/>
        <v>17</v>
      </c>
      <c r="C166" s="4">
        <f t="shared" si="19"/>
        <v>5</v>
      </c>
      <c r="D166" s="4">
        <f t="shared" si="20"/>
        <v>2023</v>
      </c>
      <c r="E166" s="4" t="str">
        <f t="shared" si="21"/>
        <v>Wednesday</v>
      </c>
      <c r="F166" s="4" t="str">
        <f t="shared" si="22"/>
        <v>May</v>
      </c>
      <c r="G166" s="4" t="str">
        <f t="shared" si="23"/>
        <v>2023</v>
      </c>
      <c r="H166" s="3">
        <v>45063</v>
      </c>
      <c r="I166" s="4" t="s">
        <v>180</v>
      </c>
      <c r="J166" s="4" t="s">
        <v>20</v>
      </c>
      <c r="K166" s="4" t="str" cm="1">
        <f t="array" ref="K166">_xlfn.IFS(L166&gt;50,"Senior", L166&gt;=30,"Adult", L166&lt;30,"Young Adult")</f>
        <v>Adult</v>
      </c>
      <c r="L166" s="4">
        <v>31</v>
      </c>
      <c r="M166" s="4" t="s">
        <v>26</v>
      </c>
      <c r="N166" s="4">
        <v>4</v>
      </c>
      <c r="O166" s="5">
        <v>500</v>
      </c>
      <c r="P166">
        <f t="shared" si="24"/>
        <v>2000</v>
      </c>
      <c r="Q166" s="14">
        <f t="shared" si="25"/>
        <v>30</v>
      </c>
      <c r="R166" s="14">
        <f t="shared" si="26"/>
        <v>40</v>
      </c>
    </row>
    <row r="167" spans="1:18" x14ac:dyDescent="0.35">
      <c r="A167" s="2">
        <v>156</v>
      </c>
      <c r="B167" s="4">
        <f t="shared" si="18"/>
        <v>25</v>
      </c>
      <c r="C167" s="4">
        <f t="shared" si="19"/>
        <v>11</v>
      </c>
      <c r="D167" s="4">
        <f t="shared" si="20"/>
        <v>2023</v>
      </c>
      <c r="E167" s="4" t="str">
        <f t="shared" si="21"/>
        <v>Saturday</v>
      </c>
      <c r="F167" s="4" t="str">
        <f t="shared" si="22"/>
        <v>November</v>
      </c>
      <c r="G167" s="4" t="str">
        <f t="shared" si="23"/>
        <v>2023</v>
      </c>
      <c r="H167" s="3">
        <v>45255</v>
      </c>
      <c r="I167" s="4" t="s">
        <v>181</v>
      </c>
      <c r="J167" s="4" t="s">
        <v>23</v>
      </c>
      <c r="K167" s="4" t="str" cm="1">
        <f t="array" ref="K167">_xlfn.IFS(L167&gt;50,"Senior", L167&gt;=30,"Adult", L167&lt;30,"Young Adult")</f>
        <v>Adult</v>
      </c>
      <c r="L167" s="4">
        <v>43</v>
      </c>
      <c r="M167" s="4" t="s">
        <v>24</v>
      </c>
      <c r="N167" s="4">
        <v>4</v>
      </c>
      <c r="O167" s="5">
        <v>25</v>
      </c>
      <c r="P167">
        <f t="shared" si="24"/>
        <v>100</v>
      </c>
      <c r="Q167" s="14">
        <f t="shared" si="25"/>
        <v>1.5</v>
      </c>
      <c r="R167" s="14">
        <f t="shared" si="26"/>
        <v>2</v>
      </c>
    </row>
    <row r="168" spans="1:18" x14ac:dyDescent="0.35">
      <c r="A168" s="2">
        <v>157</v>
      </c>
      <c r="B168" s="4">
        <f t="shared" si="18"/>
        <v>24</v>
      </c>
      <c r="C168" s="4">
        <f t="shared" si="19"/>
        <v>6</v>
      </c>
      <c r="D168" s="4">
        <f t="shared" si="20"/>
        <v>2023</v>
      </c>
      <c r="E168" s="4" t="str">
        <f t="shared" si="21"/>
        <v>Saturday</v>
      </c>
      <c r="F168" s="4" t="str">
        <f t="shared" si="22"/>
        <v>June</v>
      </c>
      <c r="G168" s="4" t="str">
        <f t="shared" si="23"/>
        <v>2023</v>
      </c>
      <c r="H168" s="3">
        <v>45101</v>
      </c>
      <c r="I168" s="4" t="s">
        <v>182</v>
      </c>
      <c r="J168" s="4" t="s">
        <v>20</v>
      </c>
      <c r="K168" s="4" t="str" cm="1">
        <f t="array" ref="K168">_xlfn.IFS(L168&gt;50,"Senior", L168&gt;=30,"Adult", L168&lt;30,"Young Adult")</f>
        <v>Senior</v>
      </c>
      <c r="L168" s="4">
        <v>62</v>
      </c>
      <c r="M168" s="4" t="s">
        <v>26</v>
      </c>
      <c r="N168" s="4">
        <v>4</v>
      </c>
      <c r="O168" s="5">
        <v>500</v>
      </c>
      <c r="P168">
        <f t="shared" si="24"/>
        <v>2000</v>
      </c>
      <c r="Q168" s="14">
        <f t="shared" si="25"/>
        <v>30</v>
      </c>
      <c r="R168" s="14">
        <f t="shared" si="26"/>
        <v>40</v>
      </c>
    </row>
    <row r="169" spans="1:18" x14ac:dyDescent="0.35">
      <c r="A169" s="2">
        <v>158</v>
      </c>
      <c r="B169" s="4">
        <f t="shared" si="18"/>
        <v>27</v>
      </c>
      <c r="C169" s="4">
        <f t="shared" si="19"/>
        <v>2</v>
      </c>
      <c r="D169" s="4">
        <f t="shared" si="20"/>
        <v>2023</v>
      </c>
      <c r="E169" s="4" t="str">
        <f t="shared" si="21"/>
        <v>Monday</v>
      </c>
      <c r="F169" s="4" t="str">
        <f t="shared" si="22"/>
        <v>February</v>
      </c>
      <c r="G169" s="4" t="str">
        <f t="shared" si="23"/>
        <v>2023</v>
      </c>
      <c r="H169" s="3">
        <v>44984</v>
      </c>
      <c r="I169" s="4" t="s">
        <v>183</v>
      </c>
      <c r="J169" s="4" t="s">
        <v>23</v>
      </c>
      <c r="K169" s="4" t="str" cm="1">
        <f t="array" ref="K169">_xlfn.IFS(L169&gt;50,"Senior", L169&gt;=30,"Adult", L169&lt;30,"Young Adult")</f>
        <v>Adult</v>
      </c>
      <c r="L169" s="4">
        <v>44</v>
      </c>
      <c r="M169" s="4" t="s">
        <v>26</v>
      </c>
      <c r="N169" s="4">
        <v>2</v>
      </c>
      <c r="O169" s="5">
        <v>300</v>
      </c>
      <c r="P169">
        <f t="shared" si="24"/>
        <v>600</v>
      </c>
      <c r="Q169" s="14">
        <f t="shared" si="25"/>
        <v>9</v>
      </c>
      <c r="R169" s="14">
        <f t="shared" si="26"/>
        <v>12</v>
      </c>
    </row>
    <row r="170" spans="1:18" x14ac:dyDescent="0.35">
      <c r="A170" s="2">
        <v>159</v>
      </c>
      <c r="B170" s="4">
        <f t="shared" si="18"/>
        <v>31</v>
      </c>
      <c r="C170" s="4">
        <f t="shared" si="19"/>
        <v>5</v>
      </c>
      <c r="D170" s="4">
        <f t="shared" si="20"/>
        <v>2023</v>
      </c>
      <c r="E170" s="4" t="str">
        <f t="shared" si="21"/>
        <v>Wednesday</v>
      </c>
      <c r="F170" s="4" t="str">
        <f t="shared" si="22"/>
        <v>May</v>
      </c>
      <c r="G170" s="4" t="str">
        <f t="shared" si="23"/>
        <v>2023</v>
      </c>
      <c r="H170" s="3">
        <v>45077</v>
      </c>
      <c r="I170" s="4" t="s">
        <v>184</v>
      </c>
      <c r="J170" s="4" t="s">
        <v>20</v>
      </c>
      <c r="K170" s="4" t="str" cm="1">
        <f t="array" ref="K170">_xlfn.IFS(L170&gt;50,"Senior", L170&gt;=30,"Adult", L170&lt;30,"Young Adult")</f>
        <v>Young Adult</v>
      </c>
      <c r="L170" s="4">
        <v>26</v>
      </c>
      <c r="M170" s="4" t="s">
        <v>24</v>
      </c>
      <c r="N170" s="4">
        <v>4</v>
      </c>
      <c r="O170" s="5">
        <v>50</v>
      </c>
      <c r="P170">
        <f t="shared" si="24"/>
        <v>200</v>
      </c>
      <c r="Q170" s="14">
        <f t="shared" si="25"/>
        <v>3</v>
      </c>
      <c r="R170" s="14">
        <f t="shared" si="26"/>
        <v>4</v>
      </c>
    </row>
    <row r="171" spans="1:18" x14ac:dyDescent="0.35">
      <c r="A171" s="2">
        <v>160</v>
      </c>
      <c r="B171" s="4">
        <f t="shared" si="18"/>
        <v>11</v>
      </c>
      <c r="C171" s="4">
        <f t="shared" si="19"/>
        <v>8</v>
      </c>
      <c r="D171" s="4">
        <f t="shared" si="20"/>
        <v>2023</v>
      </c>
      <c r="E171" s="4" t="str">
        <f t="shared" si="21"/>
        <v>Friday</v>
      </c>
      <c r="F171" s="4" t="str">
        <f t="shared" si="22"/>
        <v>August</v>
      </c>
      <c r="G171" s="4" t="str">
        <f t="shared" si="23"/>
        <v>2023</v>
      </c>
      <c r="H171" s="3">
        <v>45149</v>
      </c>
      <c r="I171" s="4" t="s">
        <v>185</v>
      </c>
      <c r="J171" s="4" t="s">
        <v>23</v>
      </c>
      <c r="K171" s="4" t="str" cm="1">
        <f t="array" ref="K171">_xlfn.IFS(L171&gt;50,"Senior", L171&gt;=30,"Adult", L171&lt;30,"Young Adult")</f>
        <v>Adult</v>
      </c>
      <c r="L171" s="4">
        <v>43</v>
      </c>
      <c r="M171" s="4" t="s">
        <v>24</v>
      </c>
      <c r="N171" s="4">
        <v>2</v>
      </c>
      <c r="O171" s="5">
        <v>50</v>
      </c>
      <c r="P171">
        <f t="shared" si="24"/>
        <v>100</v>
      </c>
      <c r="Q171" s="14">
        <f t="shared" si="25"/>
        <v>1.5</v>
      </c>
      <c r="R171" s="14">
        <f t="shared" si="26"/>
        <v>2</v>
      </c>
    </row>
    <row r="172" spans="1:18" x14ac:dyDescent="0.35">
      <c r="A172" s="2">
        <v>161</v>
      </c>
      <c r="B172" s="4">
        <f t="shared" si="18"/>
        <v>22</v>
      </c>
      <c r="C172" s="4">
        <f t="shared" si="19"/>
        <v>3</v>
      </c>
      <c r="D172" s="4">
        <f t="shared" si="20"/>
        <v>2023</v>
      </c>
      <c r="E172" s="4" t="str">
        <f t="shared" si="21"/>
        <v>Wednesday</v>
      </c>
      <c r="F172" s="4" t="str">
        <f t="shared" si="22"/>
        <v>March</v>
      </c>
      <c r="G172" s="4" t="str">
        <f t="shared" si="23"/>
        <v>2023</v>
      </c>
      <c r="H172" s="3">
        <v>45007</v>
      </c>
      <c r="I172" s="4" t="s">
        <v>186</v>
      </c>
      <c r="J172" s="4" t="s">
        <v>20</v>
      </c>
      <c r="K172" s="4" t="str" cm="1">
        <f t="array" ref="K172">_xlfn.IFS(L172&gt;50,"Senior", L172&gt;=30,"Adult", L172&lt;30,"Young Adult")</f>
        <v>Senior</v>
      </c>
      <c r="L172" s="4">
        <v>64</v>
      </c>
      <c r="M172" s="4" t="s">
        <v>21</v>
      </c>
      <c r="N172" s="4">
        <v>2</v>
      </c>
      <c r="O172" s="5">
        <v>500</v>
      </c>
      <c r="P172">
        <f t="shared" si="24"/>
        <v>1000</v>
      </c>
      <c r="Q172" s="14">
        <f t="shared" si="25"/>
        <v>15</v>
      </c>
      <c r="R172" s="14">
        <f t="shared" si="26"/>
        <v>20</v>
      </c>
    </row>
    <row r="173" spans="1:18" x14ac:dyDescent="0.35">
      <c r="A173" s="2">
        <v>162</v>
      </c>
      <c r="B173" s="4">
        <f t="shared" si="18"/>
        <v>21</v>
      </c>
      <c r="C173" s="4">
        <f t="shared" si="19"/>
        <v>8</v>
      </c>
      <c r="D173" s="4">
        <f t="shared" si="20"/>
        <v>2023</v>
      </c>
      <c r="E173" s="4" t="str">
        <f t="shared" si="21"/>
        <v>Monday</v>
      </c>
      <c r="F173" s="4" t="str">
        <f t="shared" si="22"/>
        <v>August</v>
      </c>
      <c r="G173" s="4" t="str">
        <f t="shared" si="23"/>
        <v>2023</v>
      </c>
      <c r="H173" s="3">
        <v>45159</v>
      </c>
      <c r="I173" s="4" t="s">
        <v>187</v>
      </c>
      <c r="J173" s="4" t="s">
        <v>20</v>
      </c>
      <c r="K173" s="4" t="str" cm="1">
        <f t="array" ref="K173">_xlfn.IFS(L173&gt;50,"Senior", L173&gt;=30,"Adult", L173&lt;30,"Young Adult")</f>
        <v>Adult</v>
      </c>
      <c r="L173" s="4">
        <v>39</v>
      </c>
      <c r="M173" s="4" t="s">
        <v>24</v>
      </c>
      <c r="N173" s="4">
        <v>2</v>
      </c>
      <c r="O173" s="5">
        <v>30</v>
      </c>
      <c r="P173">
        <f t="shared" si="24"/>
        <v>60</v>
      </c>
      <c r="Q173" s="14">
        <f t="shared" si="25"/>
        <v>0.89999999999999991</v>
      </c>
      <c r="R173" s="14">
        <f t="shared" si="26"/>
        <v>1.2</v>
      </c>
    </row>
    <row r="174" spans="1:18" x14ac:dyDescent="0.35">
      <c r="A174" s="2">
        <v>163</v>
      </c>
      <c r="B174" s="4">
        <f t="shared" si="18"/>
        <v>2</v>
      </c>
      <c r="C174" s="4">
        <f t="shared" si="19"/>
        <v>1</v>
      </c>
      <c r="D174" s="4">
        <f t="shared" si="20"/>
        <v>2023</v>
      </c>
      <c r="E174" s="4" t="str">
        <f t="shared" si="21"/>
        <v>Monday</v>
      </c>
      <c r="F174" s="4" t="str">
        <f t="shared" si="22"/>
        <v>January</v>
      </c>
      <c r="G174" s="4" t="str">
        <f t="shared" si="23"/>
        <v>2023</v>
      </c>
      <c r="H174" s="3">
        <v>44928</v>
      </c>
      <c r="I174" s="4" t="s">
        <v>188</v>
      </c>
      <c r="J174" s="4" t="s">
        <v>23</v>
      </c>
      <c r="K174" s="4" t="str" cm="1">
        <f t="array" ref="K174">_xlfn.IFS(L174&gt;50,"Senior", L174&gt;=30,"Adult", L174&lt;30,"Young Adult")</f>
        <v>Senior</v>
      </c>
      <c r="L174" s="4">
        <v>64</v>
      </c>
      <c r="M174" s="4" t="s">
        <v>24</v>
      </c>
      <c r="N174" s="4">
        <v>3</v>
      </c>
      <c r="O174" s="5">
        <v>50</v>
      </c>
      <c r="P174">
        <f t="shared" si="24"/>
        <v>150</v>
      </c>
      <c r="Q174" s="14">
        <f t="shared" si="25"/>
        <v>2.25</v>
      </c>
      <c r="R174" s="14">
        <f t="shared" si="26"/>
        <v>3</v>
      </c>
    </row>
    <row r="175" spans="1:18" x14ac:dyDescent="0.35">
      <c r="A175" s="2">
        <v>164</v>
      </c>
      <c r="B175" s="4">
        <f t="shared" si="18"/>
        <v>15</v>
      </c>
      <c r="C175" s="4">
        <f t="shared" si="19"/>
        <v>5</v>
      </c>
      <c r="D175" s="4">
        <f t="shared" si="20"/>
        <v>2023</v>
      </c>
      <c r="E175" s="4" t="str">
        <f t="shared" si="21"/>
        <v>Monday</v>
      </c>
      <c r="F175" s="4" t="str">
        <f t="shared" si="22"/>
        <v>May</v>
      </c>
      <c r="G175" s="4" t="str">
        <f t="shared" si="23"/>
        <v>2023</v>
      </c>
      <c r="H175" s="3">
        <v>45061</v>
      </c>
      <c r="I175" s="4" t="s">
        <v>189</v>
      </c>
      <c r="J175" s="4" t="s">
        <v>23</v>
      </c>
      <c r="K175" s="4" t="str" cm="1">
        <f t="array" ref="K175">_xlfn.IFS(L175&gt;50,"Senior", L175&gt;=30,"Adult", L175&lt;30,"Young Adult")</f>
        <v>Adult</v>
      </c>
      <c r="L175" s="4">
        <v>47</v>
      </c>
      <c r="M175" s="4" t="s">
        <v>21</v>
      </c>
      <c r="N175" s="4">
        <v>3</v>
      </c>
      <c r="O175" s="5">
        <v>500</v>
      </c>
      <c r="P175">
        <f t="shared" si="24"/>
        <v>1500</v>
      </c>
      <c r="Q175" s="14">
        <f t="shared" si="25"/>
        <v>22.5</v>
      </c>
      <c r="R175" s="14">
        <f t="shared" si="26"/>
        <v>30</v>
      </c>
    </row>
    <row r="176" spans="1:18" x14ac:dyDescent="0.35">
      <c r="A176" s="2">
        <v>165</v>
      </c>
      <c r="B176" s="4">
        <f t="shared" si="18"/>
        <v>14</v>
      </c>
      <c r="C176" s="4">
        <f t="shared" si="19"/>
        <v>9</v>
      </c>
      <c r="D176" s="4">
        <f t="shared" si="20"/>
        <v>2023</v>
      </c>
      <c r="E176" s="4" t="str">
        <f t="shared" si="21"/>
        <v>Thursday</v>
      </c>
      <c r="F176" s="4" t="str">
        <f t="shared" si="22"/>
        <v>September</v>
      </c>
      <c r="G176" s="4" t="str">
        <f t="shared" si="23"/>
        <v>2023</v>
      </c>
      <c r="H176" s="3">
        <v>45183</v>
      </c>
      <c r="I176" s="4" t="s">
        <v>190</v>
      </c>
      <c r="J176" s="4" t="s">
        <v>23</v>
      </c>
      <c r="K176" s="4" t="str" cm="1">
        <f t="array" ref="K176">_xlfn.IFS(L176&gt;50,"Senior", L176&gt;=30,"Adult", L176&lt;30,"Young Adult")</f>
        <v>Senior</v>
      </c>
      <c r="L176" s="4">
        <v>60</v>
      </c>
      <c r="M176" s="4" t="s">
        <v>24</v>
      </c>
      <c r="N176" s="4">
        <v>4</v>
      </c>
      <c r="O176" s="5">
        <v>300</v>
      </c>
      <c r="P176">
        <f t="shared" si="24"/>
        <v>1200</v>
      </c>
      <c r="Q176" s="14">
        <f t="shared" si="25"/>
        <v>18</v>
      </c>
      <c r="R176" s="14">
        <f t="shared" si="26"/>
        <v>24</v>
      </c>
    </row>
    <row r="177" spans="1:18" x14ac:dyDescent="0.35">
      <c r="A177" s="2">
        <v>166</v>
      </c>
      <c r="B177" s="4">
        <f t="shared" si="18"/>
        <v>2</v>
      </c>
      <c r="C177" s="4">
        <f t="shared" si="19"/>
        <v>4</v>
      </c>
      <c r="D177" s="4">
        <f t="shared" si="20"/>
        <v>2023</v>
      </c>
      <c r="E177" s="4" t="str">
        <f t="shared" si="21"/>
        <v>Sunday</v>
      </c>
      <c r="F177" s="4" t="str">
        <f t="shared" si="22"/>
        <v>April</v>
      </c>
      <c r="G177" s="4" t="str">
        <f t="shared" si="23"/>
        <v>2023</v>
      </c>
      <c r="H177" s="3">
        <v>45018</v>
      </c>
      <c r="I177" s="4" t="s">
        <v>191</v>
      </c>
      <c r="J177" s="4" t="s">
        <v>20</v>
      </c>
      <c r="K177" s="4" t="str" cm="1">
        <f t="array" ref="K177">_xlfn.IFS(L177&gt;50,"Senior", L177&gt;=30,"Adult", L177&lt;30,"Young Adult")</f>
        <v>Adult</v>
      </c>
      <c r="L177" s="4">
        <v>34</v>
      </c>
      <c r="M177" s="4" t="s">
        <v>24</v>
      </c>
      <c r="N177" s="4">
        <v>4</v>
      </c>
      <c r="O177" s="5">
        <v>500</v>
      </c>
      <c r="P177">
        <f t="shared" si="24"/>
        <v>2000</v>
      </c>
      <c r="Q177" s="14">
        <f t="shared" si="25"/>
        <v>30</v>
      </c>
      <c r="R177" s="14">
        <f t="shared" si="26"/>
        <v>40</v>
      </c>
    </row>
    <row r="178" spans="1:18" x14ac:dyDescent="0.35">
      <c r="A178" s="2">
        <v>167</v>
      </c>
      <c r="B178" s="4">
        <f t="shared" si="18"/>
        <v>17</v>
      </c>
      <c r="C178" s="4">
        <f t="shared" si="19"/>
        <v>9</v>
      </c>
      <c r="D178" s="4">
        <f t="shared" si="20"/>
        <v>2023</v>
      </c>
      <c r="E178" s="4" t="str">
        <f t="shared" si="21"/>
        <v>Sunday</v>
      </c>
      <c r="F178" s="4" t="str">
        <f t="shared" si="22"/>
        <v>September</v>
      </c>
      <c r="G178" s="4" t="str">
        <f t="shared" si="23"/>
        <v>2023</v>
      </c>
      <c r="H178" s="3">
        <v>45186</v>
      </c>
      <c r="I178" s="4" t="s">
        <v>192</v>
      </c>
      <c r="J178" s="4" t="s">
        <v>23</v>
      </c>
      <c r="K178" s="4" t="str" cm="1">
        <f t="array" ref="K178">_xlfn.IFS(L178&gt;50,"Senior", L178&gt;=30,"Adult", L178&lt;30,"Young Adult")</f>
        <v>Adult</v>
      </c>
      <c r="L178" s="4">
        <v>43</v>
      </c>
      <c r="M178" s="4" t="s">
        <v>24</v>
      </c>
      <c r="N178" s="4">
        <v>3</v>
      </c>
      <c r="O178" s="5">
        <v>50</v>
      </c>
      <c r="P178">
        <f t="shared" si="24"/>
        <v>150</v>
      </c>
      <c r="Q178" s="14">
        <f t="shared" si="25"/>
        <v>2.25</v>
      </c>
      <c r="R178" s="14">
        <f t="shared" si="26"/>
        <v>3</v>
      </c>
    </row>
    <row r="179" spans="1:18" x14ac:dyDescent="0.35">
      <c r="A179" s="2">
        <v>168</v>
      </c>
      <c r="B179" s="4">
        <f t="shared" si="18"/>
        <v>24</v>
      </c>
      <c r="C179" s="4">
        <f t="shared" si="19"/>
        <v>2</v>
      </c>
      <c r="D179" s="4">
        <f t="shared" si="20"/>
        <v>2023</v>
      </c>
      <c r="E179" s="4" t="str">
        <f t="shared" si="21"/>
        <v>Friday</v>
      </c>
      <c r="F179" s="4" t="str">
        <f t="shared" si="22"/>
        <v>February</v>
      </c>
      <c r="G179" s="4" t="str">
        <f t="shared" si="23"/>
        <v>2023</v>
      </c>
      <c r="H179" s="3">
        <v>44981</v>
      </c>
      <c r="I179" s="4" t="s">
        <v>193</v>
      </c>
      <c r="J179" s="4" t="s">
        <v>20</v>
      </c>
      <c r="K179" s="4" t="str" cm="1">
        <f t="array" ref="K179">_xlfn.IFS(L179&gt;50,"Senior", L179&gt;=30,"Adult", L179&lt;30,"Young Adult")</f>
        <v>Senior</v>
      </c>
      <c r="L179" s="4">
        <v>53</v>
      </c>
      <c r="M179" s="4" t="s">
        <v>24</v>
      </c>
      <c r="N179" s="4">
        <v>1</v>
      </c>
      <c r="O179" s="5">
        <v>300</v>
      </c>
      <c r="P179">
        <f t="shared" si="24"/>
        <v>300</v>
      </c>
      <c r="Q179" s="14">
        <f t="shared" si="25"/>
        <v>4.5</v>
      </c>
      <c r="R179" s="14">
        <f t="shared" si="26"/>
        <v>6</v>
      </c>
    </row>
    <row r="180" spans="1:18" x14ac:dyDescent="0.35">
      <c r="A180" s="2">
        <v>169</v>
      </c>
      <c r="B180" s="4">
        <f t="shared" si="18"/>
        <v>17</v>
      </c>
      <c r="C180" s="4">
        <f t="shared" si="19"/>
        <v>11</v>
      </c>
      <c r="D180" s="4">
        <f t="shared" si="20"/>
        <v>2023</v>
      </c>
      <c r="E180" s="4" t="str">
        <f t="shared" si="21"/>
        <v>Friday</v>
      </c>
      <c r="F180" s="4" t="str">
        <f t="shared" si="22"/>
        <v>November</v>
      </c>
      <c r="G180" s="4" t="str">
        <f t="shared" si="23"/>
        <v>2023</v>
      </c>
      <c r="H180" s="3">
        <v>45247</v>
      </c>
      <c r="I180" s="4" t="s">
        <v>194</v>
      </c>
      <c r="J180" s="4" t="s">
        <v>20</v>
      </c>
      <c r="K180" s="4" t="str" cm="1">
        <f t="array" ref="K180">_xlfn.IFS(L180&gt;50,"Senior", L180&gt;=30,"Adult", L180&lt;30,"Young Adult")</f>
        <v>Young Adult</v>
      </c>
      <c r="L180" s="4">
        <v>18</v>
      </c>
      <c r="M180" s="4" t="s">
        <v>21</v>
      </c>
      <c r="N180" s="4">
        <v>3</v>
      </c>
      <c r="O180" s="5">
        <v>500</v>
      </c>
      <c r="P180">
        <f t="shared" si="24"/>
        <v>1500</v>
      </c>
      <c r="Q180" s="14">
        <f t="shared" si="25"/>
        <v>22.5</v>
      </c>
      <c r="R180" s="14">
        <f t="shared" si="26"/>
        <v>30</v>
      </c>
    </row>
    <row r="181" spans="1:18" x14ac:dyDescent="0.35">
      <c r="A181" s="2">
        <v>170</v>
      </c>
      <c r="B181" s="4">
        <f t="shared" si="18"/>
        <v>2</v>
      </c>
      <c r="C181" s="4">
        <f t="shared" si="19"/>
        <v>6</v>
      </c>
      <c r="D181" s="4">
        <f t="shared" si="20"/>
        <v>2023</v>
      </c>
      <c r="E181" s="4" t="str">
        <f t="shared" si="21"/>
        <v>Friday</v>
      </c>
      <c r="F181" s="4" t="str">
        <f t="shared" si="22"/>
        <v>June</v>
      </c>
      <c r="G181" s="4" t="str">
        <f t="shared" si="23"/>
        <v>2023</v>
      </c>
      <c r="H181" s="3">
        <v>45079</v>
      </c>
      <c r="I181" s="4" t="s">
        <v>195</v>
      </c>
      <c r="J181" s="4" t="s">
        <v>23</v>
      </c>
      <c r="K181" s="4" t="str" cm="1">
        <f t="array" ref="K181">_xlfn.IFS(L181&gt;50,"Senior", L181&gt;=30,"Adult", L181&lt;30,"Young Adult")</f>
        <v>Young Adult</v>
      </c>
      <c r="L181" s="4">
        <v>25</v>
      </c>
      <c r="M181" s="4" t="s">
        <v>24</v>
      </c>
      <c r="N181" s="4">
        <v>2</v>
      </c>
      <c r="O181" s="5">
        <v>25</v>
      </c>
      <c r="P181">
        <f t="shared" si="24"/>
        <v>50</v>
      </c>
      <c r="Q181" s="14">
        <f t="shared" si="25"/>
        <v>0.75</v>
      </c>
      <c r="R181" s="14">
        <f t="shared" si="26"/>
        <v>1</v>
      </c>
    </row>
    <row r="182" spans="1:18" x14ac:dyDescent="0.35">
      <c r="A182" s="2">
        <v>171</v>
      </c>
      <c r="B182" s="4">
        <f t="shared" si="18"/>
        <v>24</v>
      </c>
      <c r="C182" s="4">
        <f t="shared" si="19"/>
        <v>11</v>
      </c>
      <c r="D182" s="4">
        <f t="shared" si="20"/>
        <v>2023</v>
      </c>
      <c r="E182" s="4" t="str">
        <f t="shared" si="21"/>
        <v>Friday</v>
      </c>
      <c r="F182" s="4" t="str">
        <f t="shared" si="22"/>
        <v>November</v>
      </c>
      <c r="G182" s="4" t="str">
        <f t="shared" si="23"/>
        <v>2023</v>
      </c>
      <c r="H182" s="3">
        <v>45254</v>
      </c>
      <c r="I182" s="4" t="s">
        <v>196</v>
      </c>
      <c r="J182" s="4" t="s">
        <v>23</v>
      </c>
      <c r="K182" s="4" t="str" cm="1">
        <f t="array" ref="K182">_xlfn.IFS(L182&gt;50,"Senior", L182&gt;=30,"Adult", L182&lt;30,"Young Adult")</f>
        <v>Senior</v>
      </c>
      <c r="L182" s="4">
        <v>52</v>
      </c>
      <c r="M182" s="4" t="s">
        <v>24</v>
      </c>
      <c r="N182" s="4">
        <v>3</v>
      </c>
      <c r="O182" s="5">
        <v>300</v>
      </c>
      <c r="P182">
        <f t="shared" si="24"/>
        <v>900</v>
      </c>
      <c r="Q182" s="14">
        <f t="shared" si="25"/>
        <v>13.5</v>
      </c>
      <c r="R182" s="14">
        <f t="shared" si="26"/>
        <v>18</v>
      </c>
    </row>
    <row r="183" spans="1:18" x14ac:dyDescent="0.35">
      <c r="A183" s="2">
        <v>172</v>
      </c>
      <c r="B183" s="4">
        <f t="shared" si="18"/>
        <v>17</v>
      </c>
      <c r="C183" s="4">
        <f t="shared" si="19"/>
        <v>9</v>
      </c>
      <c r="D183" s="4">
        <f t="shared" si="20"/>
        <v>2023</v>
      </c>
      <c r="E183" s="4" t="str">
        <f t="shared" si="21"/>
        <v>Sunday</v>
      </c>
      <c r="F183" s="4" t="str">
        <f t="shared" si="22"/>
        <v>September</v>
      </c>
      <c r="G183" s="4" t="str">
        <f t="shared" si="23"/>
        <v>2023</v>
      </c>
      <c r="H183" s="3">
        <v>45186</v>
      </c>
      <c r="I183" s="4" t="s">
        <v>197</v>
      </c>
      <c r="J183" s="4" t="s">
        <v>20</v>
      </c>
      <c r="K183" s="4" t="str" cm="1">
        <f t="array" ref="K183">_xlfn.IFS(L183&gt;50,"Senior", L183&gt;=30,"Adult", L183&lt;30,"Young Adult")</f>
        <v>Adult</v>
      </c>
      <c r="L183" s="4">
        <v>32</v>
      </c>
      <c r="M183" s="4" t="s">
        <v>21</v>
      </c>
      <c r="N183" s="4">
        <v>2</v>
      </c>
      <c r="O183" s="5">
        <v>25</v>
      </c>
      <c r="P183">
        <f t="shared" si="24"/>
        <v>50</v>
      </c>
      <c r="Q183" s="14">
        <f t="shared" si="25"/>
        <v>0.75</v>
      </c>
      <c r="R183" s="14">
        <f t="shared" si="26"/>
        <v>1</v>
      </c>
    </row>
    <row r="184" spans="1:18" x14ac:dyDescent="0.35">
      <c r="A184" s="2">
        <v>173</v>
      </c>
      <c r="B184" s="4">
        <f t="shared" si="18"/>
        <v>8</v>
      </c>
      <c r="C184" s="4">
        <f t="shared" si="19"/>
        <v>11</v>
      </c>
      <c r="D184" s="4">
        <f t="shared" si="20"/>
        <v>2023</v>
      </c>
      <c r="E184" s="4" t="str">
        <f t="shared" si="21"/>
        <v>Wednesday</v>
      </c>
      <c r="F184" s="4" t="str">
        <f t="shared" si="22"/>
        <v>November</v>
      </c>
      <c r="G184" s="4" t="str">
        <f t="shared" si="23"/>
        <v>2023</v>
      </c>
      <c r="H184" s="3">
        <v>45238</v>
      </c>
      <c r="I184" s="4" t="s">
        <v>198</v>
      </c>
      <c r="J184" s="4" t="s">
        <v>20</v>
      </c>
      <c r="K184" s="4" t="str" cm="1">
        <f t="array" ref="K184">_xlfn.IFS(L184&gt;50,"Senior", L184&gt;=30,"Adult", L184&lt;30,"Young Adult")</f>
        <v>Senior</v>
      </c>
      <c r="L184" s="4">
        <v>64</v>
      </c>
      <c r="M184" s="4" t="s">
        <v>26</v>
      </c>
      <c r="N184" s="4">
        <v>4</v>
      </c>
      <c r="O184" s="5">
        <v>30</v>
      </c>
      <c r="P184">
        <f t="shared" si="24"/>
        <v>120</v>
      </c>
      <c r="Q184" s="14">
        <f t="shared" si="25"/>
        <v>1.7999999999999998</v>
      </c>
      <c r="R184" s="14">
        <f t="shared" si="26"/>
        <v>2.4</v>
      </c>
    </row>
    <row r="185" spans="1:18" x14ac:dyDescent="0.35">
      <c r="A185" s="2">
        <v>174</v>
      </c>
      <c r="B185" s="4">
        <f t="shared" si="18"/>
        <v>12</v>
      </c>
      <c r="C185" s="4">
        <f t="shared" si="19"/>
        <v>4</v>
      </c>
      <c r="D185" s="4">
        <f t="shared" si="20"/>
        <v>2023</v>
      </c>
      <c r="E185" s="4" t="str">
        <f t="shared" si="21"/>
        <v>Wednesday</v>
      </c>
      <c r="F185" s="4" t="str">
        <f t="shared" si="22"/>
        <v>April</v>
      </c>
      <c r="G185" s="4" t="str">
        <f t="shared" si="23"/>
        <v>2023</v>
      </c>
      <c r="H185" s="3">
        <v>45028</v>
      </c>
      <c r="I185" s="4" t="s">
        <v>199</v>
      </c>
      <c r="J185" s="4" t="s">
        <v>23</v>
      </c>
      <c r="K185" s="4" t="str" cm="1">
        <f t="array" ref="K185">_xlfn.IFS(L185&gt;50,"Senior", L185&gt;=30,"Adult", L185&lt;30,"Young Adult")</f>
        <v>Adult</v>
      </c>
      <c r="L185" s="4">
        <v>39</v>
      </c>
      <c r="M185" s="4" t="s">
        <v>21</v>
      </c>
      <c r="N185" s="4">
        <v>1</v>
      </c>
      <c r="O185" s="5">
        <v>300</v>
      </c>
      <c r="P185">
        <f t="shared" si="24"/>
        <v>300</v>
      </c>
      <c r="Q185" s="14">
        <f t="shared" si="25"/>
        <v>4.5</v>
      </c>
      <c r="R185" s="14">
        <f t="shared" si="26"/>
        <v>6</v>
      </c>
    </row>
    <row r="186" spans="1:18" x14ac:dyDescent="0.35">
      <c r="A186" s="2">
        <v>175</v>
      </c>
      <c r="B186" s="4">
        <f t="shared" si="18"/>
        <v>20</v>
      </c>
      <c r="C186" s="4">
        <f t="shared" si="19"/>
        <v>3</v>
      </c>
      <c r="D186" s="4">
        <f t="shared" si="20"/>
        <v>2023</v>
      </c>
      <c r="E186" s="4" t="str">
        <f t="shared" si="21"/>
        <v>Monday</v>
      </c>
      <c r="F186" s="4" t="str">
        <f t="shared" si="22"/>
        <v>March</v>
      </c>
      <c r="G186" s="4" t="str">
        <f t="shared" si="23"/>
        <v>2023</v>
      </c>
      <c r="H186" s="3">
        <v>45005</v>
      </c>
      <c r="I186" s="4" t="s">
        <v>200</v>
      </c>
      <c r="J186" s="4" t="s">
        <v>23</v>
      </c>
      <c r="K186" s="4" t="str" cm="1">
        <f t="array" ref="K186">_xlfn.IFS(L186&gt;50,"Senior", L186&gt;=30,"Adult", L186&lt;30,"Young Adult")</f>
        <v>Adult</v>
      </c>
      <c r="L186" s="4">
        <v>31</v>
      </c>
      <c r="M186" s="4" t="s">
        <v>26</v>
      </c>
      <c r="N186" s="4">
        <v>4</v>
      </c>
      <c r="O186" s="5">
        <v>25</v>
      </c>
      <c r="P186">
        <f t="shared" si="24"/>
        <v>100</v>
      </c>
      <c r="Q186" s="14">
        <f t="shared" si="25"/>
        <v>1.5</v>
      </c>
      <c r="R186" s="14">
        <f t="shared" si="26"/>
        <v>2</v>
      </c>
    </row>
    <row r="187" spans="1:18" x14ac:dyDescent="0.35">
      <c r="A187" s="2">
        <v>176</v>
      </c>
      <c r="B187" s="4">
        <f t="shared" si="18"/>
        <v>11</v>
      </c>
      <c r="C187" s="4">
        <f t="shared" si="19"/>
        <v>7</v>
      </c>
      <c r="D187" s="4">
        <f t="shared" si="20"/>
        <v>2023</v>
      </c>
      <c r="E187" s="4" t="str">
        <f t="shared" si="21"/>
        <v>Tuesday</v>
      </c>
      <c r="F187" s="4" t="str">
        <f t="shared" si="22"/>
        <v>July</v>
      </c>
      <c r="G187" s="4" t="str">
        <f t="shared" si="23"/>
        <v>2023</v>
      </c>
      <c r="H187" s="3">
        <v>45118</v>
      </c>
      <c r="I187" s="4" t="s">
        <v>201</v>
      </c>
      <c r="J187" s="4" t="s">
        <v>23</v>
      </c>
      <c r="K187" s="4" t="str" cm="1">
        <f t="array" ref="K187">_xlfn.IFS(L187&gt;50,"Senior", L187&gt;=30,"Adult", L187&lt;30,"Young Adult")</f>
        <v>Adult</v>
      </c>
      <c r="L187" s="4">
        <v>43</v>
      </c>
      <c r="M187" s="4" t="s">
        <v>21</v>
      </c>
      <c r="N187" s="4">
        <v>2</v>
      </c>
      <c r="O187" s="5">
        <v>50</v>
      </c>
      <c r="P187">
        <f t="shared" si="24"/>
        <v>100</v>
      </c>
      <c r="Q187" s="14">
        <f t="shared" si="25"/>
        <v>1.5</v>
      </c>
      <c r="R187" s="14">
        <f t="shared" si="26"/>
        <v>2</v>
      </c>
    </row>
    <row r="188" spans="1:18" x14ac:dyDescent="0.35">
      <c r="A188" s="2">
        <v>177</v>
      </c>
      <c r="B188" s="4">
        <f t="shared" si="18"/>
        <v>24</v>
      </c>
      <c r="C188" s="4">
        <f t="shared" si="19"/>
        <v>3</v>
      </c>
      <c r="D188" s="4">
        <f t="shared" si="20"/>
        <v>2023</v>
      </c>
      <c r="E188" s="4" t="str">
        <f t="shared" si="21"/>
        <v>Friday</v>
      </c>
      <c r="F188" s="4" t="str">
        <f t="shared" si="22"/>
        <v>March</v>
      </c>
      <c r="G188" s="4" t="str">
        <f t="shared" si="23"/>
        <v>2023</v>
      </c>
      <c r="H188" s="3">
        <v>45009</v>
      </c>
      <c r="I188" s="4" t="s">
        <v>202</v>
      </c>
      <c r="J188" s="4" t="s">
        <v>20</v>
      </c>
      <c r="K188" s="4" t="str" cm="1">
        <f t="array" ref="K188">_xlfn.IFS(L188&gt;50,"Senior", L188&gt;=30,"Adult", L188&lt;30,"Young Adult")</f>
        <v>Adult</v>
      </c>
      <c r="L188" s="4">
        <v>45</v>
      </c>
      <c r="M188" s="4" t="s">
        <v>21</v>
      </c>
      <c r="N188" s="4">
        <v>2</v>
      </c>
      <c r="O188" s="5">
        <v>50</v>
      </c>
      <c r="P188">
        <f t="shared" si="24"/>
        <v>100</v>
      </c>
      <c r="Q188" s="14">
        <f t="shared" si="25"/>
        <v>1.5</v>
      </c>
      <c r="R188" s="14">
        <f t="shared" si="26"/>
        <v>2</v>
      </c>
    </row>
    <row r="189" spans="1:18" x14ac:dyDescent="0.35">
      <c r="A189" s="2">
        <v>178</v>
      </c>
      <c r="B189" s="4">
        <f t="shared" si="18"/>
        <v>4</v>
      </c>
      <c r="C189" s="4">
        <f t="shared" si="19"/>
        <v>10</v>
      </c>
      <c r="D189" s="4">
        <f t="shared" si="20"/>
        <v>2023</v>
      </c>
      <c r="E189" s="4" t="str">
        <f t="shared" si="21"/>
        <v>Wednesday</v>
      </c>
      <c r="F189" s="4" t="str">
        <f t="shared" si="22"/>
        <v>October</v>
      </c>
      <c r="G189" s="4" t="str">
        <f t="shared" si="23"/>
        <v>2023</v>
      </c>
      <c r="H189" s="3">
        <v>45203</v>
      </c>
      <c r="I189" s="4" t="s">
        <v>203</v>
      </c>
      <c r="J189" s="4" t="s">
        <v>20</v>
      </c>
      <c r="K189" s="4" t="str" cm="1">
        <f t="array" ref="K189">_xlfn.IFS(L189&gt;50,"Senior", L189&gt;=30,"Adult", L189&lt;30,"Young Adult")</f>
        <v>Adult</v>
      </c>
      <c r="L189" s="4">
        <v>40</v>
      </c>
      <c r="M189" s="4" t="s">
        <v>24</v>
      </c>
      <c r="N189" s="4">
        <v>2</v>
      </c>
      <c r="O189" s="5">
        <v>30</v>
      </c>
      <c r="P189">
        <f t="shared" si="24"/>
        <v>60</v>
      </c>
      <c r="Q189" s="14">
        <f t="shared" si="25"/>
        <v>0.89999999999999991</v>
      </c>
      <c r="R189" s="14">
        <f t="shared" si="26"/>
        <v>1.2</v>
      </c>
    </row>
    <row r="190" spans="1:18" x14ac:dyDescent="0.35">
      <c r="A190" s="2">
        <v>179</v>
      </c>
      <c r="B190" s="4">
        <f t="shared" si="18"/>
        <v>29</v>
      </c>
      <c r="C190" s="4">
        <f t="shared" si="19"/>
        <v>9</v>
      </c>
      <c r="D190" s="4">
        <f t="shared" si="20"/>
        <v>2023</v>
      </c>
      <c r="E190" s="4" t="str">
        <f t="shared" si="21"/>
        <v>Friday</v>
      </c>
      <c r="F190" s="4" t="str">
        <f t="shared" si="22"/>
        <v>September</v>
      </c>
      <c r="G190" s="4" t="str">
        <f t="shared" si="23"/>
        <v>2023</v>
      </c>
      <c r="H190" s="3">
        <v>45198</v>
      </c>
      <c r="I190" s="4" t="s">
        <v>204</v>
      </c>
      <c r="J190" s="4" t="s">
        <v>20</v>
      </c>
      <c r="K190" s="4" t="str" cm="1">
        <f t="array" ref="K190">_xlfn.IFS(L190&gt;50,"Senior", L190&gt;=30,"Adult", L190&lt;30,"Young Adult")</f>
        <v>Adult</v>
      </c>
      <c r="L190" s="4">
        <v>31</v>
      </c>
      <c r="M190" s="4" t="s">
        <v>26</v>
      </c>
      <c r="N190" s="4">
        <v>1</v>
      </c>
      <c r="O190" s="5">
        <v>300</v>
      </c>
      <c r="P190">
        <f t="shared" si="24"/>
        <v>300</v>
      </c>
      <c r="Q190" s="14">
        <f t="shared" si="25"/>
        <v>4.5</v>
      </c>
      <c r="R190" s="14">
        <f t="shared" si="26"/>
        <v>6</v>
      </c>
    </row>
    <row r="191" spans="1:18" x14ac:dyDescent="0.35">
      <c r="A191" s="2">
        <v>180</v>
      </c>
      <c r="B191" s="4">
        <f t="shared" si="18"/>
        <v>1</v>
      </c>
      <c r="C191" s="4">
        <f t="shared" si="19"/>
        <v>1</v>
      </c>
      <c r="D191" s="4">
        <f t="shared" si="20"/>
        <v>2023</v>
      </c>
      <c r="E191" s="4" t="str">
        <f t="shared" si="21"/>
        <v>Sunday</v>
      </c>
      <c r="F191" s="4" t="str">
        <f t="shared" si="22"/>
        <v>January</v>
      </c>
      <c r="G191" s="4" t="str">
        <f t="shared" si="23"/>
        <v>2023</v>
      </c>
      <c r="H191" s="3">
        <v>44927</v>
      </c>
      <c r="I191" s="4" t="s">
        <v>205</v>
      </c>
      <c r="J191" s="4" t="s">
        <v>20</v>
      </c>
      <c r="K191" s="4" t="str" cm="1">
        <f t="array" ref="K191">_xlfn.IFS(L191&gt;50,"Senior", L191&gt;=30,"Adult", L191&lt;30,"Young Adult")</f>
        <v>Adult</v>
      </c>
      <c r="L191" s="4">
        <v>41</v>
      </c>
      <c r="M191" s="4" t="s">
        <v>24</v>
      </c>
      <c r="N191" s="4">
        <v>3</v>
      </c>
      <c r="O191" s="5">
        <v>300</v>
      </c>
      <c r="P191">
        <f t="shared" si="24"/>
        <v>900</v>
      </c>
      <c r="Q191" s="14">
        <f t="shared" si="25"/>
        <v>13.5</v>
      </c>
      <c r="R191" s="14">
        <f t="shared" si="26"/>
        <v>18</v>
      </c>
    </row>
    <row r="192" spans="1:18" x14ac:dyDescent="0.35">
      <c r="A192" s="2">
        <v>181</v>
      </c>
      <c r="B192" s="4">
        <f t="shared" si="18"/>
        <v>3</v>
      </c>
      <c r="C192" s="4">
        <f t="shared" si="19"/>
        <v>11</v>
      </c>
      <c r="D192" s="4">
        <f t="shared" si="20"/>
        <v>2023</v>
      </c>
      <c r="E192" s="4" t="str">
        <f t="shared" si="21"/>
        <v>Friday</v>
      </c>
      <c r="F192" s="4" t="str">
        <f t="shared" si="22"/>
        <v>November</v>
      </c>
      <c r="G192" s="4" t="str">
        <f t="shared" si="23"/>
        <v>2023</v>
      </c>
      <c r="H192" s="3">
        <v>45233</v>
      </c>
      <c r="I192" s="4" t="s">
        <v>206</v>
      </c>
      <c r="J192" s="4" t="s">
        <v>20</v>
      </c>
      <c r="K192" s="4" t="str" cm="1">
        <f t="array" ref="K192">_xlfn.IFS(L192&gt;50,"Senior", L192&gt;=30,"Adult", L192&lt;30,"Young Adult")</f>
        <v>Young Adult</v>
      </c>
      <c r="L192" s="4">
        <v>19</v>
      </c>
      <c r="M192" s="4" t="s">
        <v>26</v>
      </c>
      <c r="N192" s="4">
        <v>4</v>
      </c>
      <c r="O192" s="5">
        <v>300</v>
      </c>
      <c r="P192">
        <f t="shared" si="24"/>
        <v>1200</v>
      </c>
      <c r="Q192" s="14">
        <f t="shared" si="25"/>
        <v>18</v>
      </c>
      <c r="R192" s="14">
        <f t="shared" si="26"/>
        <v>24</v>
      </c>
    </row>
    <row r="193" spans="1:18" x14ac:dyDescent="0.35">
      <c r="A193" s="2">
        <v>182</v>
      </c>
      <c r="B193" s="4">
        <f t="shared" si="18"/>
        <v>15</v>
      </c>
      <c r="C193" s="4">
        <f t="shared" si="19"/>
        <v>6</v>
      </c>
      <c r="D193" s="4">
        <f t="shared" si="20"/>
        <v>2023</v>
      </c>
      <c r="E193" s="4" t="str">
        <f t="shared" si="21"/>
        <v>Thursday</v>
      </c>
      <c r="F193" s="4" t="str">
        <f t="shared" si="22"/>
        <v>June</v>
      </c>
      <c r="G193" s="4" t="str">
        <f t="shared" si="23"/>
        <v>2023</v>
      </c>
      <c r="H193" s="3">
        <v>45092</v>
      </c>
      <c r="I193" s="4" t="s">
        <v>207</v>
      </c>
      <c r="J193" s="4" t="s">
        <v>20</v>
      </c>
      <c r="K193" s="4" t="str" cm="1">
        <f t="array" ref="K193">_xlfn.IFS(L193&gt;50,"Senior", L193&gt;=30,"Adult", L193&lt;30,"Young Adult")</f>
        <v>Senior</v>
      </c>
      <c r="L193" s="4">
        <v>62</v>
      </c>
      <c r="M193" s="4" t="s">
        <v>21</v>
      </c>
      <c r="N193" s="4">
        <v>4</v>
      </c>
      <c r="O193" s="5">
        <v>30</v>
      </c>
      <c r="P193">
        <f t="shared" si="24"/>
        <v>120</v>
      </c>
      <c r="Q193" s="14">
        <f t="shared" si="25"/>
        <v>1.7999999999999998</v>
      </c>
      <c r="R193" s="14">
        <f t="shared" si="26"/>
        <v>2.4</v>
      </c>
    </row>
    <row r="194" spans="1:18" x14ac:dyDescent="0.35">
      <c r="A194" s="2">
        <v>183</v>
      </c>
      <c r="B194" s="4">
        <f t="shared" si="18"/>
        <v>8</v>
      </c>
      <c r="C194" s="4">
        <f t="shared" si="19"/>
        <v>9</v>
      </c>
      <c r="D194" s="4">
        <f t="shared" si="20"/>
        <v>2023</v>
      </c>
      <c r="E194" s="4" t="str">
        <f t="shared" si="21"/>
        <v>Friday</v>
      </c>
      <c r="F194" s="4" t="str">
        <f t="shared" si="22"/>
        <v>September</v>
      </c>
      <c r="G194" s="4" t="str">
        <f t="shared" si="23"/>
        <v>2023</v>
      </c>
      <c r="H194" s="3">
        <v>45177</v>
      </c>
      <c r="I194" s="4" t="s">
        <v>208</v>
      </c>
      <c r="J194" s="4" t="s">
        <v>23</v>
      </c>
      <c r="K194" s="4" t="str" cm="1">
        <f t="array" ref="K194">_xlfn.IFS(L194&gt;50,"Senior", L194&gt;=30,"Adult", L194&lt;30,"Young Adult")</f>
        <v>Adult</v>
      </c>
      <c r="L194" s="4">
        <v>43</v>
      </c>
      <c r="M194" s="4" t="s">
        <v>21</v>
      </c>
      <c r="N194" s="4">
        <v>3</v>
      </c>
      <c r="O194" s="5">
        <v>300</v>
      </c>
      <c r="P194">
        <f t="shared" si="24"/>
        <v>900</v>
      </c>
      <c r="Q194" s="14">
        <f t="shared" si="25"/>
        <v>13.5</v>
      </c>
      <c r="R194" s="14">
        <f t="shared" si="26"/>
        <v>18</v>
      </c>
    </row>
    <row r="195" spans="1:18" x14ac:dyDescent="0.35">
      <c r="A195" s="2">
        <v>184</v>
      </c>
      <c r="B195" s="4">
        <f t="shared" si="18"/>
        <v>10</v>
      </c>
      <c r="C195" s="4">
        <f t="shared" si="19"/>
        <v>1</v>
      </c>
      <c r="D195" s="4">
        <f t="shared" si="20"/>
        <v>2023</v>
      </c>
      <c r="E195" s="4" t="str">
        <f t="shared" si="21"/>
        <v>Tuesday</v>
      </c>
      <c r="F195" s="4" t="str">
        <f t="shared" si="22"/>
        <v>January</v>
      </c>
      <c r="G195" s="4" t="str">
        <f t="shared" si="23"/>
        <v>2023</v>
      </c>
      <c r="H195" s="3">
        <v>44936</v>
      </c>
      <c r="I195" s="4" t="s">
        <v>209</v>
      </c>
      <c r="J195" s="4" t="s">
        <v>20</v>
      </c>
      <c r="K195" s="4" t="str" cm="1">
        <f t="array" ref="K195">_xlfn.IFS(L195&gt;50,"Senior", L195&gt;=30,"Adult", L195&lt;30,"Young Adult")</f>
        <v>Adult</v>
      </c>
      <c r="L195" s="4">
        <v>31</v>
      </c>
      <c r="M195" s="4" t="s">
        <v>26</v>
      </c>
      <c r="N195" s="4">
        <v>4</v>
      </c>
      <c r="O195" s="5">
        <v>50</v>
      </c>
      <c r="P195">
        <f t="shared" si="24"/>
        <v>200</v>
      </c>
      <c r="Q195" s="14">
        <f t="shared" si="25"/>
        <v>3</v>
      </c>
      <c r="R195" s="14">
        <f t="shared" si="26"/>
        <v>4</v>
      </c>
    </row>
    <row r="196" spans="1:18" x14ac:dyDescent="0.35">
      <c r="A196" s="2">
        <v>185</v>
      </c>
      <c r="B196" s="4">
        <f t="shared" si="18"/>
        <v>27</v>
      </c>
      <c r="C196" s="4">
        <f t="shared" si="19"/>
        <v>2</v>
      </c>
      <c r="D196" s="4">
        <f t="shared" si="20"/>
        <v>2023</v>
      </c>
      <c r="E196" s="4" t="str">
        <f t="shared" si="21"/>
        <v>Monday</v>
      </c>
      <c r="F196" s="4" t="str">
        <f t="shared" si="22"/>
        <v>February</v>
      </c>
      <c r="G196" s="4" t="str">
        <f t="shared" si="23"/>
        <v>2023</v>
      </c>
      <c r="H196" s="3">
        <v>44984</v>
      </c>
      <c r="I196" s="4" t="s">
        <v>210</v>
      </c>
      <c r="J196" s="4" t="s">
        <v>20</v>
      </c>
      <c r="K196" s="4" t="str" cm="1">
        <f t="array" ref="K196">_xlfn.IFS(L196&gt;50,"Senior", L196&gt;=30,"Adult", L196&lt;30,"Young Adult")</f>
        <v>Young Adult</v>
      </c>
      <c r="L196" s="4">
        <v>24</v>
      </c>
      <c r="M196" s="4" t="s">
        <v>24</v>
      </c>
      <c r="N196" s="4">
        <v>1</v>
      </c>
      <c r="O196" s="5">
        <v>25</v>
      </c>
      <c r="P196">
        <f t="shared" si="24"/>
        <v>25</v>
      </c>
      <c r="Q196" s="14">
        <f t="shared" si="25"/>
        <v>0.375</v>
      </c>
      <c r="R196" s="14">
        <f t="shared" si="26"/>
        <v>0.5</v>
      </c>
    </row>
    <row r="197" spans="1:18" x14ac:dyDescent="0.35">
      <c r="A197" s="2">
        <v>186</v>
      </c>
      <c r="B197" s="4">
        <f t="shared" si="18"/>
        <v>5</v>
      </c>
      <c r="C197" s="4">
        <f t="shared" si="19"/>
        <v>7</v>
      </c>
      <c r="D197" s="4">
        <f t="shared" si="20"/>
        <v>2023</v>
      </c>
      <c r="E197" s="4" t="str">
        <f t="shared" si="21"/>
        <v>Wednesday</v>
      </c>
      <c r="F197" s="4" t="str">
        <f t="shared" si="22"/>
        <v>July</v>
      </c>
      <c r="G197" s="4" t="str">
        <f t="shared" si="23"/>
        <v>2023</v>
      </c>
      <c r="H197" s="3">
        <v>45112</v>
      </c>
      <c r="I197" s="4" t="s">
        <v>211</v>
      </c>
      <c r="J197" s="4" t="s">
        <v>20</v>
      </c>
      <c r="K197" s="4" t="str" cm="1">
        <f t="array" ref="K197">_xlfn.IFS(L197&gt;50,"Senior", L197&gt;=30,"Adult", L197&lt;30,"Young Adult")</f>
        <v>Young Adult</v>
      </c>
      <c r="L197" s="4">
        <v>20</v>
      </c>
      <c r="M197" s="4" t="s">
        <v>24</v>
      </c>
      <c r="N197" s="4">
        <v>4</v>
      </c>
      <c r="O197" s="5">
        <v>50</v>
      </c>
      <c r="P197">
        <f t="shared" si="24"/>
        <v>200</v>
      </c>
      <c r="Q197" s="14">
        <f t="shared" si="25"/>
        <v>3</v>
      </c>
      <c r="R197" s="14">
        <f t="shared" si="26"/>
        <v>4</v>
      </c>
    </row>
    <row r="198" spans="1:18" x14ac:dyDescent="0.35">
      <c r="A198" s="2">
        <v>187</v>
      </c>
      <c r="B198" s="4">
        <f t="shared" si="18"/>
        <v>7</v>
      </c>
      <c r="C198" s="4">
        <f t="shared" si="19"/>
        <v>6</v>
      </c>
      <c r="D198" s="4">
        <f t="shared" si="20"/>
        <v>2023</v>
      </c>
      <c r="E198" s="4" t="str">
        <f t="shared" si="21"/>
        <v>Wednesday</v>
      </c>
      <c r="F198" s="4" t="str">
        <f t="shared" si="22"/>
        <v>June</v>
      </c>
      <c r="G198" s="4" t="str">
        <f t="shared" si="23"/>
        <v>2023</v>
      </c>
      <c r="H198" s="3">
        <v>45084</v>
      </c>
      <c r="I198" s="4" t="s">
        <v>212</v>
      </c>
      <c r="J198" s="4" t="s">
        <v>23</v>
      </c>
      <c r="K198" s="4" t="str" cm="1">
        <f t="array" ref="K198">_xlfn.IFS(L198&gt;50,"Senior", L198&gt;=30,"Adult", L198&lt;30,"Young Adult")</f>
        <v>Senior</v>
      </c>
      <c r="L198" s="4">
        <v>64</v>
      </c>
      <c r="M198" s="4" t="s">
        <v>24</v>
      </c>
      <c r="N198" s="4">
        <v>2</v>
      </c>
      <c r="O198" s="5">
        <v>50</v>
      </c>
      <c r="P198">
        <f t="shared" si="24"/>
        <v>100</v>
      </c>
      <c r="Q198" s="14">
        <f t="shared" si="25"/>
        <v>1.5</v>
      </c>
      <c r="R198" s="14">
        <f t="shared" si="26"/>
        <v>2</v>
      </c>
    </row>
    <row r="199" spans="1:18" x14ac:dyDescent="0.35">
      <c r="A199" s="2">
        <v>188</v>
      </c>
      <c r="B199" s="4">
        <f t="shared" si="18"/>
        <v>3</v>
      </c>
      <c r="C199" s="4">
        <f t="shared" si="19"/>
        <v>5</v>
      </c>
      <c r="D199" s="4">
        <f t="shared" si="20"/>
        <v>2023</v>
      </c>
      <c r="E199" s="4" t="str">
        <f t="shared" si="21"/>
        <v>Wednesday</v>
      </c>
      <c r="F199" s="4" t="str">
        <f t="shared" si="22"/>
        <v>May</v>
      </c>
      <c r="G199" s="4" t="str">
        <f t="shared" si="23"/>
        <v>2023</v>
      </c>
      <c r="H199" s="3">
        <v>45049</v>
      </c>
      <c r="I199" s="4" t="s">
        <v>213</v>
      </c>
      <c r="J199" s="4" t="s">
        <v>20</v>
      </c>
      <c r="K199" s="4" t="str" cm="1">
        <f t="array" ref="K199">_xlfn.IFS(L199&gt;50,"Senior", L199&gt;=30,"Adult", L199&lt;30,"Young Adult")</f>
        <v>Adult</v>
      </c>
      <c r="L199" s="4">
        <v>40</v>
      </c>
      <c r="M199" s="4" t="s">
        <v>24</v>
      </c>
      <c r="N199" s="4">
        <v>3</v>
      </c>
      <c r="O199" s="5">
        <v>25</v>
      </c>
      <c r="P199">
        <f t="shared" si="24"/>
        <v>75</v>
      </c>
      <c r="Q199" s="14">
        <f t="shared" si="25"/>
        <v>1.125</v>
      </c>
      <c r="R199" s="14">
        <f t="shared" si="26"/>
        <v>1.5</v>
      </c>
    </row>
    <row r="200" spans="1:18" x14ac:dyDescent="0.35">
      <c r="A200" s="2">
        <v>189</v>
      </c>
      <c r="B200" s="4">
        <f t="shared" si="18"/>
        <v>30</v>
      </c>
      <c r="C200" s="4">
        <f t="shared" si="19"/>
        <v>1</v>
      </c>
      <c r="D200" s="4">
        <f t="shared" si="20"/>
        <v>2023</v>
      </c>
      <c r="E200" s="4" t="str">
        <f t="shared" si="21"/>
        <v>Monday</v>
      </c>
      <c r="F200" s="4" t="str">
        <f t="shared" si="22"/>
        <v>January</v>
      </c>
      <c r="G200" s="4" t="str">
        <f t="shared" si="23"/>
        <v>2023</v>
      </c>
      <c r="H200" s="3">
        <v>44956</v>
      </c>
      <c r="I200" s="4" t="s">
        <v>214</v>
      </c>
      <c r="J200" s="4" t="s">
        <v>20</v>
      </c>
      <c r="K200" s="4" t="str" cm="1">
        <f t="array" ref="K200">_xlfn.IFS(L200&gt;50,"Senior", L200&gt;=30,"Adult", L200&lt;30,"Young Adult")</f>
        <v>Senior</v>
      </c>
      <c r="L200" s="4">
        <v>63</v>
      </c>
      <c r="M200" s="4" t="s">
        <v>21</v>
      </c>
      <c r="N200" s="4">
        <v>1</v>
      </c>
      <c r="O200" s="5">
        <v>50</v>
      </c>
      <c r="P200">
        <f t="shared" si="24"/>
        <v>50</v>
      </c>
      <c r="Q200" s="14">
        <f t="shared" si="25"/>
        <v>0.75</v>
      </c>
      <c r="R200" s="14">
        <f t="shared" si="26"/>
        <v>1</v>
      </c>
    </row>
    <row r="201" spans="1:18" x14ac:dyDescent="0.35">
      <c r="A201" s="2">
        <v>190</v>
      </c>
      <c r="B201" s="4">
        <f t="shared" si="18"/>
        <v>4</v>
      </c>
      <c r="C201" s="4">
        <f t="shared" si="19"/>
        <v>5</v>
      </c>
      <c r="D201" s="4">
        <f t="shared" si="20"/>
        <v>2023</v>
      </c>
      <c r="E201" s="4" t="str">
        <f t="shared" si="21"/>
        <v>Thursday</v>
      </c>
      <c r="F201" s="4" t="str">
        <f t="shared" si="22"/>
        <v>May</v>
      </c>
      <c r="G201" s="4" t="str">
        <f t="shared" si="23"/>
        <v>2023</v>
      </c>
      <c r="H201" s="3">
        <v>45050</v>
      </c>
      <c r="I201" s="4" t="s">
        <v>215</v>
      </c>
      <c r="J201" s="4" t="s">
        <v>23</v>
      </c>
      <c r="K201" s="4" t="str" cm="1">
        <f t="array" ref="K201">_xlfn.IFS(L201&gt;50,"Senior", L201&gt;=30,"Adult", L201&lt;30,"Young Adult")</f>
        <v>Senior</v>
      </c>
      <c r="L201" s="4">
        <v>60</v>
      </c>
      <c r="M201" s="4" t="s">
        <v>21</v>
      </c>
      <c r="N201" s="4">
        <v>3</v>
      </c>
      <c r="O201" s="5">
        <v>30</v>
      </c>
      <c r="P201">
        <f t="shared" si="24"/>
        <v>90</v>
      </c>
      <c r="Q201" s="14">
        <f t="shared" si="25"/>
        <v>1.3499999999999999</v>
      </c>
      <c r="R201" s="14">
        <f t="shared" si="26"/>
        <v>1.8</v>
      </c>
    </row>
    <row r="202" spans="1:18" x14ac:dyDescent="0.35">
      <c r="A202" s="2">
        <v>191</v>
      </c>
      <c r="B202" s="4">
        <f t="shared" si="18"/>
        <v>18</v>
      </c>
      <c r="C202" s="4">
        <f t="shared" si="19"/>
        <v>10</v>
      </c>
      <c r="D202" s="4">
        <f t="shared" si="20"/>
        <v>2023</v>
      </c>
      <c r="E202" s="4" t="str">
        <f t="shared" si="21"/>
        <v>Wednesday</v>
      </c>
      <c r="F202" s="4" t="str">
        <f t="shared" si="22"/>
        <v>October</v>
      </c>
      <c r="G202" s="4" t="str">
        <f t="shared" si="23"/>
        <v>2023</v>
      </c>
      <c r="H202" s="3">
        <v>45217</v>
      </c>
      <c r="I202" s="4" t="s">
        <v>216</v>
      </c>
      <c r="J202" s="4" t="s">
        <v>20</v>
      </c>
      <c r="K202" s="4" t="str" cm="1">
        <f t="array" ref="K202">_xlfn.IFS(L202&gt;50,"Senior", L202&gt;=30,"Adult", L202&lt;30,"Young Adult")</f>
        <v>Senior</v>
      </c>
      <c r="L202" s="4">
        <v>64</v>
      </c>
      <c r="M202" s="4" t="s">
        <v>21</v>
      </c>
      <c r="N202" s="4">
        <v>1</v>
      </c>
      <c r="O202" s="5">
        <v>25</v>
      </c>
      <c r="P202">
        <f t="shared" si="24"/>
        <v>25</v>
      </c>
      <c r="Q202" s="14">
        <f t="shared" si="25"/>
        <v>0.375</v>
      </c>
      <c r="R202" s="14">
        <f t="shared" si="26"/>
        <v>0.5</v>
      </c>
    </row>
    <row r="203" spans="1:18" x14ac:dyDescent="0.35">
      <c r="A203" s="2">
        <v>192</v>
      </c>
      <c r="B203" s="4">
        <f t="shared" si="18"/>
        <v>10</v>
      </c>
      <c r="C203" s="4">
        <f t="shared" si="19"/>
        <v>2</v>
      </c>
      <c r="D203" s="4">
        <f t="shared" si="20"/>
        <v>2023</v>
      </c>
      <c r="E203" s="4" t="str">
        <f t="shared" si="21"/>
        <v>Friday</v>
      </c>
      <c r="F203" s="4" t="str">
        <f t="shared" si="22"/>
        <v>February</v>
      </c>
      <c r="G203" s="4" t="str">
        <f t="shared" si="23"/>
        <v>2023</v>
      </c>
      <c r="H203" s="3">
        <v>44967</v>
      </c>
      <c r="I203" s="4" t="s">
        <v>217</v>
      </c>
      <c r="J203" s="4" t="s">
        <v>20</v>
      </c>
      <c r="K203" s="4" t="str" cm="1">
        <f t="array" ref="K203">_xlfn.IFS(L203&gt;50,"Senior", L203&gt;=30,"Adult", L203&lt;30,"Young Adult")</f>
        <v>Senior</v>
      </c>
      <c r="L203" s="4">
        <v>62</v>
      </c>
      <c r="M203" s="4" t="s">
        <v>21</v>
      </c>
      <c r="N203" s="4">
        <v>2</v>
      </c>
      <c r="O203" s="5">
        <v>50</v>
      </c>
      <c r="P203">
        <f t="shared" si="24"/>
        <v>100</v>
      </c>
      <c r="Q203" s="14">
        <f t="shared" si="25"/>
        <v>1.5</v>
      </c>
      <c r="R203" s="14">
        <f t="shared" si="26"/>
        <v>2</v>
      </c>
    </row>
    <row r="204" spans="1:18" x14ac:dyDescent="0.35">
      <c r="A204" s="2">
        <v>193</v>
      </c>
      <c r="B204" s="4">
        <f t="shared" ref="B204:B267" si="27">DAY(H204)</f>
        <v>13</v>
      </c>
      <c r="C204" s="4">
        <f t="shared" ref="C204:C267" si="28">MONTH(H204)</f>
        <v>2</v>
      </c>
      <c r="D204" s="4">
        <f t="shared" ref="D204:D267" si="29">YEAR(H204)</f>
        <v>2023</v>
      </c>
      <c r="E204" s="4" t="str">
        <f t="shared" ref="E204:E267" si="30">TEXT(H204,"DDDD")</f>
        <v>Monday</v>
      </c>
      <c r="F204" s="4" t="str">
        <f t="shared" ref="F204:F267" si="31">TEXT(H204,"MMMM")</f>
        <v>February</v>
      </c>
      <c r="G204" s="4" t="str">
        <f t="shared" ref="G204:G267" si="32">TEXT(H204,"YYYY")</f>
        <v>2023</v>
      </c>
      <c r="H204" s="3">
        <v>44970</v>
      </c>
      <c r="I204" s="4" t="s">
        <v>218</v>
      </c>
      <c r="J204" s="4" t="s">
        <v>20</v>
      </c>
      <c r="K204" s="4" t="str" cm="1">
        <f t="array" ref="K204">_xlfn.IFS(L204&gt;50,"Senior", L204&gt;=30,"Adult", L204&lt;30,"Young Adult")</f>
        <v>Adult</v>
      </c>
      <c r="L204" s="4">
        <v>35</v>
      </c>
      <c r="M204" s="4" t="s">
        <v>21</v>
      </c>
      <c r="N204" s="4">
        <v>3</v>
      </c>
      <c r="O204" s="5">
        <v>500</v>
      </c>
      <c r="P204">
        <f t="shared" ref="P204:P267" si="33">O204*N204</f>
        <v>1500</v>
      </c>
      <c r="Q204" s="14">
        <f t="shared" si="25"/>
        <v>22.5</v>
      </c>
      <c r="R204" s="14">
        <f t="shared" si="26"/>
        <v>30</v>
      </c>
    </row>
    <row r="205" spans="1:18" x14ac:dyDescent="0.35">
      <c r="A205" s="2">
        <v>194</v>
      </c>
      <c r="B205" s="4">
        <f t="shared" si="27"/>
        <v>6</v>
      </c>
      <c r="C205" s="4">
        <f t="shared" si="28"/>
        <v>9</v>
      </c>
      <c r="D205" s="4">
        <f t="shared" si="29"/>
        <v>2023</v>
      </c>
      <c r="E205" s="4" t="str">
        <f t="shared" si="30"/>
        <v>Wednesday</v>
      </c>
      <c r="F205" s="4" t="str">
        <f t="shared" si="31"/>
        <v>September</v>
      </c>
      <c r="G205" s="4" t="str">
        <f t="shared" si="32"/>
        <v>2023</v>
      </c>
      <c r="H205" s="3">
        <v>45175</v>
      </c>
      <c r="I205" s="4" t="s">
        <v>219</v>
      </c>
      <c r="J205" s="4" t="s">
        <v>20</v>
      </c>
      <c r="K205" s="4" t="str" cm="1">
        <f t="array" ref="K205">_xlfn.IFS(L205&gt;50,"Senior", L205&gt;=30,"Adult", L205&lt;30,"Young Adult")</f>
        <v>Senior</v>
      </c>
      <c r="L205" s="4">
        <v>55</v>
      </c>
      <c r="M205" s="4" t="s">
        <v>24</v>
      </c>
      <c r="N205" s="4">
        <v>4</v>
      </c>
      <c r="O205" s="5">
        <v>50</v>
      </c>
      <c r="P205">
        <f t="shared" si="33"/>
        <v>200</v>
      </c>
      <c r="Q205" s="14">
        <f t="shared" ref="Q205:Q268" si="34">P205*$I$4</f>
        <v>3</v>
      </c>
      <c r="R205" s="14">
        <f t="shared" ref="R205:R268" si="35">P205*$I$5</f>
        <v>4</v>
      </c>
    </row>
    <row r="206" spans="1:18" x14ac:dyDescent="0.35">
      <c r="A206" s="2">
        <v>195</v>
      </c>
      <c r="B206" s="4">
        <f t="shared" si="27"/>
        <v>5</v>
      </c>
      <c r="C206" s="4">
        <f t="shared" si="28"/>
        <v>2</v>
      </c>
      <c r="D206" s="4">
        <f t="shared" si="29"/>
        <v>2023</v>
      </c>
      <c r="E206" s="4" t="str">
        <f t="shared" si="30"/>
        <v>Sunday</v>
      </c>
      <c r="F206" s="4" t="str">
        <f t="shared" si="31"/>
        <v>February</v>
      </c>
      <c r="G206" s="4" t="str">
        <f t="shared" si="32"/>
        <v>2023</v>
      </c>
      <c r="H206" s="3">
        <v>44962</v>
      </c>
      <c r="I206" s="4" t="s">
        <v>220</v>
      </c>
      <c r="J206" s="4" t="s">
        <v>20</v>
      </c>
      <c r="K206" s="4" t="str" cm="1">
        <f t="array" ref="K206">_xlfn.IFS(L206&gt;50,"Senior", L206&gt;=30,"Adult", L206&lt;30,"Young Adult")</f>
        <v>Senior</v>
      </c>
      <c r="L206" s="4">
        <v>52</v>
      </c>
      <c r="M206" s="4" t="s">
        <v>24</v>
      </c>
      <c r="N206" s="4">
        <v>1</v>
      </c>
      <c r="O206" s="5">
        <v>30</v>
      </c>
      <c r="P206">
        <f t="shared" si="33"/>
        <v>30</v>
      </c>
      <c r="Q206" s="14">
        <f t="shared" si="34"/>
        <v>0.44999999999999996</v>
      </c>
      <c r="R206" s="14">
        <f t="shared" si="35"/>
        <v>0.6</v>
      </c>
    </row>
    <row r="207" spans="1:18" x14ac:dyDescent="0.35">
      <c r="A207" s="2">
        <v>196</v>
      </c>
      <c r="B207" s="4">
        <f t="shared" si="27"/>
        <v>30</v>
      </c>
      <c r="C207" s="4">
        <f t="shared" si="28"/>
        <v>9</v>
      </c>
      <c r="D207" s="4">
        <f t="shared" si="29"/>
        <v>2023</v>
      </c>
      <c r="E207" s="4" t="str">
        <f t="shared" si="30"/>
        <v>Saturday</v>
      </c>
      <c r="F207" s="4" t="str">
        <f t="shared" si="31"/>
        <v>September</v>
      </c>
      <c r="G207" s="4" t="str">
        <f t="shared" si="32"/>
        <v>2023</v>
      </c>
      <c r="H207" s="3">
        <v>45199</v>
      </c>
      <c r="I207" s="4" t="s">
        <v>221</v>
      </c>
      <c r="J207" s="4" t="s">
        <v>23</v>
      </c>
      <c r="K207" s="4" t="str" cm="1">
        <f t="array" ref="K207">_xlfn.IFS(L207&gt;50,"Senior", L207&gt;=30,"Adult", L207&lt;30,"Young Adult")</f>
        <v>Adult</v>
      </c>
      <c r="L207" s="4">
        <v>32</v>
      </c>
      <c r="M207" s="4" t="s">
        <v>24</v>
      </c>
      <c r="N207" s="4">
        <v>3</v>
      </c>
      <c r="O207" s="5">
        <v>300</v>
      </c>
      <c r="P207">
        <f t="shared" si="33"/>
        <v>900</v>
      </c>
      <c r="Q207" s="14">
        <f t="shared" si="34"/>
        <v>13.5</v>
      </c>
      <c r="R207" s="14">
        <f t="shared" si="35"/>
        <v>18</v>
      </c>
    </row>
    <row r="208" spans="1:18" x14ac:dyDescent="0.35">
      <c r="A208" s="2">
        <v>197</v>
      </c>
      <c r="B208" s="4">
        <f t="shared" si="27"/>
        <v>6</v>
      </c>
      <c r="C208" s="4">
        <f t="shared" si="28"/>
        <v>3</v>
      </c>
      <c r="D208" s="4">
        <f t="shared" si="29"/>
        <v>2023</v>
      </c>
      <c r="E208" s="4" t="str">
        <f t="shared" si="30"/>
        <v>Monday</v>
      </c>
      <c r="F208" s="4" t="str">
        <f t="shared" si="31"/>
        <v>March</v>
      </c>
      <c r="G208" s="4" t="str">
        <f t="shared" si="32"/>
        <v>2023</v>
      </c>
      <c r="H208" s="3">
        <v>44991</v>
      </c>
      <c r="I208" s="4" t="s">
        <v>222</v>
      </c>
      <c r="J208" s="4" t="s">
        <v>23</v>
      </c>
      <c r="K208" s="4" t="str" cm="1">
        <f t="array" ref="K208">_xlfn.IFS(L208&gt;50,"Senior", L208&gt;=30,"Adult", L208&lt;30,"Young Adult")</f>
        <v>Adult</v>
      </c>
      <c r="L208" s="4">
        <v>42</v>
      </c>
      <c r="M208" s="4" t="s">
        <v>24</v>
      </c>
      <c r="N208" s="4">
        <v>4</v>
      </c>
      <c r="O208" s="5">
        <v>50</v>
      </c>
      <c r="P208">
        <f t="shared" si="33"/>
        <v>200</v>
      </c>
      <c r="Q208" s="14">
        <f t="shared" si="34"/>
        <v>3</v>
      </c>
      <c r="R208" s="14">
        <f t="shared" si="35"/>
        <v>4</v>
      </c>
    </row>
    <row r="209" spans="1:18" x14ac:dyDescent="0.35">
      <c r="A209" s="2">
        <v>198</v>
      </c>
      <c r="B209" s="4">
        <f t="shared" si="27"/>
        <v>7</v>
      </c>
      <c r="C209" s="4">
        <f t="shared" si="28"/>
        <v>3</v>
      </c>
      <c r="D209" s="4">
        <f t="shared" si="29"/>
        <v>2023</v>
      </c>
      <c r="E209" s="4" t="str">
        <f t="shared" si="30"/>
        <v>Tuesday</v>
      </c>
      <c r="F209" s="4" t="str">
        <f t="shared" si="31"/>
        <v>March</v>
      </c>
      <c r="G209" s="4" t="str">
        <f t="shared" si="32"/>
        <v>2023</v>
      </c>
      <c r="H209" s="3">
        <v>44992</v>
      </c>
      <c r="I209" s="4" t="s">
        <v>223</v>
      </c>
      <c r="J209" s="4" t="s">
        <v>23</v>
      </c>
      <c r="K209" s="4" t="str" cm="1">
        <f t="array" ref="K209">_xlfn.IFS(L209&gt;50,"Senior", L209&gt;=30,"Adult", L209&lt;30,"Young Adult")</f>
        <v>Senior</v>
      </c>
      <c r="L209" s="4">
        <v>54</v>
      </c>
      <c r="M209" s="4" t="s">
        <v>21</v>
      </c>
      <c r="N209" s="4">
        <v>3</v>
      </c>
      <c r="O209" s="5">
        <v>300</v>
      </c>
      <c r="P209">
        <f t="shared" si="33"/>
        <v>900</v>
      </c>
      <c r="Q209" s="14">
        <f t="shared" si="34"/>
        <v>13.5</v>
      </c>
      <c r="R209" s="14">
        <f t="shared" si="35"/>
        <v>18</v>
      </c>
    </row>
    <row r="210" spans="1:18" x14ac:dyDescent="0.35">
      <c r="A210" s="2">
        <v>199</v>
      </c>
      <c r="B210" s="4">
        <f t="shared" si="27"/>
        <v>4</v>
      </c>
      <c r="C210" s="4">
        <f t="shared" si="28"/>
        <v>12</v>
      </c>
      <c r="D210" s="4">
        <f t="shared" si="29"/>
        <v>2023</v>
      </c>
      <c r="E210" s="4" t="str">
        <f t="shared" si="30"/>
        <v>Monday</v>
      </c>
      <c r="F210" s="4" t="str">
        <f t="shared" si="31"/>
        <v>December</v>
      </c>
      <c r="G210" s="4" t="str">
        <f t="shared" si="32"/>
        <v>2023</v>
      </c>
      <c r="H210" s="3">
        <v>45264</v>
      </c>
      <c r="I210" s="4" t="s">
        <v>224</v>
      </c>
      <c r="J210" s="4" t="s">
        <v>20</v>
      </c>
      <c r="K210" s="4" t="str" cm="1">
        <f t="array" ref="K210">_xlfn.IFS(L210&gt;50,"Senior", L210&gt;=30,"Adult", L210&lt;30,"Young Adult")</f>
        <v>Adult</v>
      </c>
      <c r="L210" s="4">
        <v>45</v>
      </c>
      <c r="M210" s="4" t="s">
        <v>21</v>
      </c>
      <c r="N210" s="4">
        <v>3</v>
      </c>
      <c r="O210" s="5">
        <v>500</v>
      </c>
      <c r="P210">
        <f t="shared" si="33"/>
        <v>1500</v>
      </c>
      <c r="Q210" s="14">
        <f t="shared" si="34"/>
        <v>22.5</v>
      </c>
      <c r="R210" s="14">
        <f t="shared" si="35"/>
        <v>30</v>
      </c>
    </row>
    <row r="211" spans="1:18" x14ac:dyDescent="0.35">
      <c r="A211" s="2">
        <v>200</v>
      </c>
      <c r="B211" s="4">
        <f t="shared" si="27"/>
        <v>1</v>
      </c>
      <c r="C211" s="4">
        <f t="shared" si="28"/>
        <v>9</v>
      </c>
      <c r="D211" s="4">
        <f t="shared" si="29"/>
        <v>2023</v>
      </c>
      <c r="E211" s="4" t="str">
        <f t="shared" si="30"/>
        <v>Friday</v>
      </c>
      <c r="F211" s="4" t="str">
        <f t="shared" si="31"/>
        <v>September</v>
      </c>
      <c r="G211" s="4" t="str">
        <f t="shared" si="32"/>
        <v>2023</v>
      </c>
      <c r="H211" s="3">
        <v>45170</v>
      </c>
      <c r="I211" s="4" t="s">
        <v>225</v>
      </c>
      <c r="J211" s="4" t="s">
        <v>20</v>
      </c>
      <c r="K211" s="4" t="str" cm="1">
        <f t="array" ref="K211">_xlfn.IFS(L211&gt;50,"Senior", L211&gt;=30,"Adult", L211&lt;30,"Young Adult")</f>
        <v>Young Adult</v>
      </c>
      <c r="L211" s="4">
        <v>27</v>
      </c>
      <c r="M211" s="4" t="s">
        <v>21</v>
      </c>
      <c r="N211" s="4">
        <v>3</v>
      </c>
      <c r="O211" s="5">
        <v>50</v>
      </c>
      <c r="P211">
        <f t="shared" si="33"/>
        <v>150</v>
      </c>
      <c r="Q211" s="14">
        <f t="shared" si="34"/>
        <v>2.25</v>
      </c>
      <c r="R211" s="14">
        <f t="shared" si="35"/>
        <v>3</v>
      </c>
    </row>
    <row r="212" spans="1:18" x14ac:dyDescent="0.35">
      <c r="A212" s="2">
        <v>201</v>
      </c>
      <c r="B212" s="4">
        <f t="shared" si="27"/>
        <v>9</v>
      </c>
      <c r="C212" s="4">
        <f t="shared" si="28"/>
        <v>10</v>
      </c>
      <c r="D212" s="4">
        <f t="shared" si="29"/>
        <v>2023</v>
      </c>
      <c r="E212" s="4" t="str">
        <f t="shared" si="30"/>
        <v>Monday</v>
      </c>
      <c r="F212" s="4" t="str">
        <f t="shared" si="31"/>
        <v>October</v>
      </c>
      <c r="G212" s="4" t="str">
        <f t="shared" si="32"/>
        <v>2023</v>
      </c>
      <c r="H212" s="3">
        <v>45208</v>
      </c>
      <c r="I212" s="4" t="s">
        <v>226</v>
      </c>
      <c r="J212" s="4" t="s">
        <v>20</v>
      </c>
      <c r="K212" s="4" t="str" cm="1">
        <f t="array" ref="K212">_xlfn.IFS(L212&gt;50,"Senior", L212&gt;=30,"Adult", L212&lt;30,"Young Adult")</f>
        <v>Senior</v>
      </c>
      <c r="L212" s="4">
        <v>56</v>
      </c>
      <c r="M212" s="4" t="s">
        <v>26</v>
      </c>
      <c r="N212" s="4">
        <v>1</v>
      </c>
      <c r="O212" s="5">
        <v>25</v>
      </c>
      <c r="P212">
        <f t="shared" si="33"/>
        <v>25</v>
      </c>
      <c r="Q212" s="14">
        <f t="shared" si="34"/>
        <v>0.375</v>
      </c>
      <c r="R212" s="14">
        <f t="shared" si="35"/>
        <v>0.5</v>
      </c>
    </row>
    <row r="213" spans="1:18" x14ac:dyDescent="0.35">
      <c r="A213" s="2">
        <v>202</v>
      </c>
      <c r="B213" s="4">
        <f t="shared" si="27"/>
        <v>26</v>
      </c>
      <c r="C213" s="4">
        <f t="shared" si="28"/>
        <v>3</v>
      </c>
      <c r="D213" s="4">
        <f t="shared" si="29"/>
        <v>2023</v>
      </c>
      <c r="E213" s="4" t="str">
        <f t="shared" si="30"/>
        <v>Sunday</v>
      </c>
      <c r="F213" s="4" t="str">
        <f t="shared" si="31"/>
        <v>March</v>
      </c>
      <c r="G213" s="4" t="str">
        <f t="shared" si="32"/>
        <v>2023</v>
      </c>
      <c r="H213" s="3">
        <v>45011</v>
      </c>
      <c r="I213" s="4" t="s">
        <v>227</v>
      </c>
      <c r="J213" s="4" t="s">
        <v>23</v>
      </c>
      <c r="K213" s="4" t="str" cm="1">
        <f t="array" ref="K213">_xlfn.IFS(L213&gt;50,"Senior", L213&gt;=30,"Adult", L213&lt;30,"Young Adult")</f>
        <v>Adult</v>
      </c>
      <c r="L213" s="4">
        <v>34</v>
      </c>
      <c r="M213" s="4" t="s">
        <v>24</v>
      </c>
      <c r="N213" s="4">
        <v>4</v>
      </c>
      <c r="O213" s="5">
        <v>300</v>
      </c>
      <c r="P213">
        <f t="shared" si="33"/>
        <v>1200</v>
      </c>
      <c r="Q213" s="14">
        <f t="shared" si="34"/>
        <v>18</v>
      </c>
      <c r="R213" s="14">
        <f t="shared" si="35"/>
        <v>24</v>
      </c>
    </row>
    <row r="214" spans="1:18" x14ac:dyDescent="0.35">
      <c r="A214" s="2">
        <v>203</v>
      </c>
      <c r="B214" s="4">
        <f t="shared" si="27"/>
        <v>16</v>
      </c>
      <c r="C214" s="4">
        <f t="shared" si="28"/>
        <v>5</v>
      </c>
      <c r="D214" s="4">
        <f t="shared" si="29"/>
        <v>2023</v>
      </c>
      <c r="E214" s="4" t="str">
        <f t="shared" si="30"/>
        <v>Tuesday</v>
      </c>
      <c r="F214" s="4" t="str">
        <f t="shared" si="31"/>
        <v>May</v>
      </c>
      <c r="G214" s="4" t="str">
        <f t="shared" si="32"/>
        <v>2023</v>
      </c>
      <c r="H214" s="3">
        <v>45062</v>
      </c>
      <c r="I214" s="4" t="s">
        <v>228</v>
      </c>
      <c r="J214" s="4" t="s">
        <v>20</v>
      </c>
      <c r="K214" s="4" t="str" cm="1">
        <f t="array" ref="K214">_xlfn.IFS(L214&gt;50,"Senior", L214&gt;=30,"Adult", L214&lt;30,"Young Adult")</f>
        <v>Senior</v>
      </c>
      <c r="L214" s="4">
        <v>56</v>
      </c>
      <c r="M214" s="4" t="s">
        <v>24</v>
      </c>
      <c r="N214" s="4">
        <v>2</v>
      </c>
      <c r="O214" s="5">
        <v>500</v>
      </c>
      <c r="P214">
        <f t="shared" si="33"/>
        <v>1000</v>
      </c>
      <c r="Q214" s="14">
        <f t="shared" si="34"/>
        <v>15</v>
      </c>
      <c r="R214" s="14">
        <f t="shared" si="35"/>
        <v>20</v>
      </c>
    </row>
    <row r="215" spans="1:18" x14ac:dyDescent="0.35">
      <c r="A215" s="2">
        <v>204</v>
      </c>
      <c r="B215" s="4">
        <f t="shared" si="27"/>
        <v>28</v>
      </c>
      <c r="C215" s="4">
        <f t="shared" si="28"/>
        <v>9</v>
      </c>
      <c r="D215" s="4">
        <f t="shared" si="29"/>
        <v>2023</v>
      </c>
      <c r="E215" s="4" t="str">
        <f t="shared" si="30"/>
        <v>Thursday</v>
      </c>
      <c r="F215" s="4" t="str">
        <f t="shared" si="31"/>
        <v>September</v>
      </c>
      <c r="G215" s="4" t="str">
        <f t="shared" si="32"/>
        <v>2023</v>
      </c>
      <c r="H215" s="3">
        <v>45197</v>
      </c>
      <c r="I215" s="4" t="s">
        <v>229</v>
      </c>
      <c r="J215" s="4" t="s">
        <v>20</v>
      </c>
      <c r="K215" s="4" t="str" cm="1">
        <f t="array" ref="K215">_xlfn.IFS(L215&gt;50,"Senior", L215&gt;=30,"Adult", L215&lt;30,"Young Adult")</f>
        <v>Adult</v>
      </c>
      <c r="L215" s="4">
        <v>39</v>
      </c>
      <c r="M215" s="4" t="s">
        <v>21</v>
      </c>
      <c r="N215" s="4">
        <v>1</v>
      </c>
      <c r="O215" s="5">
        <v>25</v>
      </c>
      <c r="P215">
        <f t="shared" si="33"/>
        <v>25</v>
      </c>
      <c r="Q215" s="14">
        <f t="shared" si="34"/>
        <v>0.375</v>
      </c>
      <c r="R215" s="14">
        <f t="shared" si="35"/>
        <v>0.5</v>
      </c>
    </row>
    <row r="216" spans="1:18" x14ac:dyDescent="0.35">
      <c r="A216" s="2">
        <v>205</v>
      </c>
      <c r="B216" s="4">
        <f t="shared" si="27"/>
        <v>7</v>
      </c>
      <c r="C216" s="4">
        <f t="shared" si="28"/>
        <v>11</v>
      </c>
      <c r="D216" s="4">
        <f t="shared" si="29"/>
        <v>2023</v>
      </c>
      <c r="E216" s="4" t="str">
        <f t="shared" si="30"/>
        <v>Tuesday</v>
      </c>
      <c r="F216" s="4" t="str">
        <f t="shared" si="31"/>
        <v>November</v>
      </c>
      <c r="G216" s="4" t="str">
        <f t="shared" si="32"/>
        <v>2023</v>
      </c>
      <c r="H216" s="3">
        <v>45237</v>
      </c>
      <c r="I216" s="4" t="s">
        <v>230</v>
      </c>
      <c r="J216" s="4" t="s">
        <v>23</v>
      </c>
      <c r="K216" s="4" t="str" cm="1">
        <f t="array" ref="K216">_xlfn.IFS(L216&gt;50,"Senior", L216&gt;=30,"Adult", L216&lt;30,"Young Adult")</f>
        <v>Adult</v>
      </c>
      <c r="L216" s="4">
        <v>43</v>
      </c>
      <c r="M216" s="4" t="s">
        <v>24</v>
      </c>
      <c r="N216" s="4">
        <v>1</v>
      </c>
      <c r="O216" s="5">
        <v>25</v>
      </c>
      <c r="P216">
        <f t="shared" si="33"/>
        <v>25</v>
      </c>
      <c r="Q216" s="14">
        <f t="shared" si="34"/>
        <v>0.375</v>
      </c>
      <c r="R216" s="14">
        <f t="shared" si="35"/>
        <v>0.5</v>
      </c>
    </row>
    <row r="217" spans="1:18" x14ac:dyDescent="0.35">
      <c r="A217" s="2">
        <v>206</v>
      </c>
      <c r="B217" s="4">
        <f t="shared" si="27"/>
        <v>5</v>
      </c>
      <c r="C217" s="4">
        <f t="shared" si="28"/>
        <v>8</v>
      </c>
      <c r="D217" s="4">
        <f t="shared" si="29"/>
        <v>2023</v>
      </c>
      <c r="E217" s="4" t="str">
        <f t="shared" si="30"/>
        <v>Saturday</v>
      </c>
      <c r="F217" s="4" t="str">
        <f t="shared" si="31"/>
        <v>August</v>
      </c>
      <c r="G217" s="4" t="str">
        <f t="shared" si="32"/>
        <v>2023</v>
      </c>
      <c r="H217" s="3">
        <v>45143</v>
      </c>
      <c r="I217" s="4" t="s">
        <v>231</v>
      </c>
      <c r="J217" s="4" t="s">
        <v>20</v>
      </c>
      <c r="K217" s="4" t="str" cm="1">
        <f t="array" ref="K217">_xlfn.IFS(L217&gt;50,"Senior", L217&gt;=30,"Adult", L217&lt;30,"Young Adult")</f>
        <v>Senior</v>
      </c>
      <c r="L217" s="4">
        <v>61</v>
      </c>
      <c r="M217" s="4" t="s">
        <v>24</v>
      </c>
      <c r="N217" s="4">
        <v>1</v>
      </c>
      <c r="O217" s="5">
        <v>25</v>
      </c>
      <c r="P217">
        <f t="shared" si="33"/>
        <v>25</v>
      </c>
      <c r="Q217" s="14">
        <f t="shared" si="34"/>
        <v>0.375</v>
      </c>
      <c r="R217" s="14">
        <f t="shared" si="35"/>
        <v>0.5</v>
      </c>
    </row>
    <row r="218" spans="1:18" x14ac:dyDescent="0.35">
      <c r="A218" s="2">
        <v>207</v>
      </c>
      <c r="B218" s="4">
        <f t="shared" si="27"/>
        <v>19</v>
      </c>
      <c r="C218" s="4">
        <f t="shared" si="28"/>
        <v>4</v>
      </c>
      <c r="D218" s="4">
        <f t="shared" si="29"/>
        <v>2023</v>
      </c>
      <c r="E218" s="4" t="str">
        <f t="shared" si="30"/>
        <v>Wednesday</v>
      </c>
      <c r="F218" s="4" t="str">
        <f t="shared" si="31"/>
        <v>April</v>
      </c>
      <c r="G218" s="4" t="str">
        <f t="shared" si="32"/>
        <v>2023</v>
      </c>
      <c r="H218" s="3">
        <v>45035</v>
      </c>
      <c r="I218" s="4" t="s">
        <v>232</v>
      </c>
      <c r="J218" s="4" t="s">
        <v>23</v>
      </c>
      <c r="K218" s="4" t="str" cm="1">
        <f t="array" ref="K218">_xlfn.IFS(L218&gt;50,"Senior", L218&gt;=30,"Adult", L218&lt;30,"Young Adult")</f>
        <v>Adult</v>
      </c>
      <c r="L218" s="4">
        <v>42</v>
      </c>
      <c r="M218" s="4" t="s">
        <v>21</v>
      </c>
      <c r="N218" s="4">
        <v>2</v>
      </c>
      <c r="O218" s="5">
        <v>25</v>
      </c>
      <c r="P218">
        <f t="shared" si="33"/>
        <v>50</v>
      </c>
      <c r="Q218" s="14">
        <f t="shared" si="34"/>
        <v>0.75</v>
      </c>
      <c r="R218" s="14">
        <f t="shared" si="35"/>
        <v>1</v>
      </c>
    </row>
    <row r="219" spans="1:18" x14ac:dyDescent="0.35">
      <c r="A219" s="2">
        <v>208</v>
      </c>
      <c r="B219" s="4">
        <f t="shared" si="27"/>
        <v>4</v>
      </c>
      <c r="C219" s="4">
        <f t="shared" si="28"/>
        <v>10</v>
      </c>
      <c r="D219" s="4">
        <f t="shared" si="29"/>
        <v>2023</v>
      </c>
      <c r="E219" s="4" t="str">
        <f t="shared" si="30"/>
        <v>Wednesday</v>
      </c>
      <c r="F219" s="4" t="str">
        <f t="shared" si="31"/>
        <v>October</v>
      </c>
      <c r="G219" s="4" t="str">
        <f t="shared" si="32"/>
        <v>2023</v>
      </c>
      <c r="H219" s="3">
        <v>45203</v>
      </c>
      <c r="I219" s="4" t="s">
        <v>233</v>
      </c>
      <c r="J219" s="4" t="s">
        <v>23</v>
      </c>
      <c r="K219" s="4" t="str" cm="1">
        <f t="array" ref="K219">_xlfn.IFS(L219&gt;50,"Senior", L219&gt;=30,"Adult", L219&lt;30,"Young Adult")</f>
        <v>Adult</v>
      </c>
      <c r="L219" s="4">
        <v>34</v>
      </c>
      <c r="M219" s="4" t="s">
        <v>26</v>
      </c>
      <c r="N219" s="4">
        <v>4</v>
      </c>
      <c r="O219" s="5">
        <v>50</v>
      </c>
      <c r="P219">
        <f t="shared" si="33"/>
        <v>200</v>
      </c>
      <c r="Q219" s="14">
        <f t="shared" si="34"/>
        <v>3</v>
      </c>
      <c r="R219" s="14">
        <f t="shared" si="35"/>
        <v>4</v>
      </c>
    </row>
    <row r="220" spans="1:18" x14ac:dyDescent="0.35">
      <c r="A220" s="2">
        <v>209</v>
      </c>
      <c r="B220" s="4">
        <f t="shared" si="27"/>
        <v>20</v>
      </c>
      <c r="C220" s="4">
        <f t="shared" si="28"/>
        <v>12</v>
      </c>
      <c r="D220" s="4">
        <f t="shared" si="29"/>
        <v>2023</v>
      </c>
      <c r="E220" s="4" t="str">
        <f t="shared" si="30"/>
        <v>Wednesday</v>
      </c>
      <c r="F220" s="4" t="str">
        <f t="shared" si="31"/>
        <v>December</v>
      </c>
      <c r="G220" s="4" t="str">
        <f t="shared" si="32"/>
        <v>2023</v>
      </c>
      <c r="H220" s="3">
        <v>45280</v>
      </c>
      <c r="I220" s="4" t="s">
        <v>234</v>
      </c>
      <c r="J220" s="4" t="s">
        <v>23</v>
      </c>
      <c r="K220" s="4" t="str" cm="1">
        <f t="array" ref="K220">_xlfn.IFS(L220&gt;50,"Senior", L220&gt;=30,"Adult", L220&lt;30,"Young Adult")</f>
        <v>Adult</v>
      </c>
      <c r="L220" s="4">
        <v>30</v>
      </c>
      <c r="M220" s="4" t="s">
        <v>26</v>
      </c>
      <c r="N220" s="4">
        <v>4</v>
      </c>
      <c r="O220" s="5">
        <v>50</v>
      </c>
      <c r="P220">
        <f t="shared" si="33"/>
        <v>200</v>
      </c>
      <c r="Q220" s="14">
        <f t="shared" si="34"/>
        <v>3</v>
      </c>
      <c r="R220" s="14">
        <f t="shared" si="35"/>
        <v>4</v>
      </c>
    </row>
    <row r="221" spans="1:18" x14ac:dyDescent="0.35">
      <c r="A221" s="2">
        <v>210</v>
      </c>
      <c r="B221" s="4">
        <f t="shared" si="27"/>
        <v>13</v>
      </c>
      <c r="C221" s="4">
        <f t="shared" si="28"/>
        <v>4</v>
      </c>
      <c r="D221" s="4">
        <f t="shared" si="29"/>
        <v>2023</v>
      </c>
      <c r="E221" s="4" t="str">
        <f t="shared" si="30"/>
        <v>Thursday</v>
      </c>
      <c r="F221" s="4" t="str">
        <f t="shared" si="31"/>
        <v>April</v>
      </c>
      <c r="G221" s="4" t="str">
        <f t="shared" si="32"/>
        <v>2023</v>
      </c>
      <c r="H221" s="3">
        <v>45029</v>
      </c>
      <c r="I221" s="4" t="s">
        <v>235</v>
      </c>
      <c r="J221" s="4" t="s">
        <v>20</v>
      </c>
      <c r="K221" s="4" t="str" cm="1">
        <f t="array" ref="K221">_xlfn.IFS(L221&gt;50,"Senior", L221&gt;=30,"Adult", L221&lt;30,"Young Adult")</f>
        <v>Adult</v>
      </c>
      <c r="L221" s="4">
        <v>37</v>
      </c>
      <c r="M221" s="4" t="s">
        <v>26</v>
      </c>
      <c r="N221" s="4">
        <v>4</v>
      </c>
      <c r="O221" s="5">
        <v>50</v>
      </c>
      <c r="P221">
        <f t="shared" si="33"/>
        <v>200</v>
      </c>
      <c r="Q221" s="14">
        <f t="shared" si="34"/>
        <v>3</v>
      </c>
      <c r="R221" s="14">
        <f t="shared" si="35"/>
        <v>4</v>
      </c>
    </row>
    <row r="222" spans="1:18" x14ac:dyDescent="0.35">
      <c r="A222" s="2">
        <v>211</v>
      </c>
      <c r="B222" s="4">
        <f t="shared" si="27"/>
        <v>1</v>
      </c>
      <c r="C222" s="4">
        <f t="shared" si="28"/>
        <v>1</v>
      </c>
      <c r="D222" s="4">
        <f t="shared" si="29"/>
        <v>2024</v>
      </c>
      <c r="E222" s="4" t="str">
        <f t="shared" si="30"/>
        <v>Monday</v>
      </c>
      <c r="F222" s="4" t="str">
        <f t="shared" si="31"/>
        <v>January</v>
      </c>
      <c r="G222" s="4" t="str">
        <f t="shared" si="32"/>
        <v>2024</v>
      </c>
      <c r="H222" s="3">
        <v>45292</v>
      </c>
      <c r="I222" s="4" t="s">
        <v>236</v>
      </c>
      <c r="J222" s="4" t="s">
        <v>20</v>
      </c>
      <c r="K222" s="4" t="str" cm="1">
        <f t="array" ref="K222">_xlfn.IFS(L222&gt;50,"Senior", L222&gt;=30,"Adult", L222&lt;30,"Young Adult")</f>
        <v>Adult</v>
      </c>
      <c r="L222" s="4">
        <v>42</v>
      </c>
      <c r="M222" s="4" t="s">
        <v>21</v>
      </c>
      <c r="N222" s="4">
        <v>3</v>
      </c>
      <c r="O222" s="5">
        <v>500</v>
      </c>
      <c r="P222">
        <f t="shared" si="33"/>
        <v>1500</v>
      </c>
      <c r="Q222" s="14">
        <f t="shared" si="34"/>
        <v>22.5</v>
      </c>
      <c r="R222" s="14">
        <f t="shared" si="35"/>
        <v>30</v>
      </c>
    </row>
    <row r="223" spans="1:18" x14ac:dyDescent="0.35">
      <c r="A223" s="2">
        <v>212</v>
      </c>
      <c r="B223" s="4">
        <f t="shared" si="27"/>
        <v>9</v>
      </c>
      <c r="C223" s="4">
        <f t="shared" si="28"/>
        <v>6</v>
      </c>
      <c r="D223" s="4">
        <f t="shared" si="29"/>
        <v>2023</v>
      </c>
      <c r="E223" s="4" t="str">
        <f t="shared" si="30"/>
        <v>Friday</v>
      </c>
      <c r="F223" s="4" t="str">
        <f t="shared" si="31"/>
        <v>June</v>
      </c>
      <c r="G223" s="4" t="str">
        <f t="shared" si="32"/>
        <v>2023</v>
      </c>
      <c r="H223" s="3">
        <v>45086</v>
      </c>
      <c r="I223" s="4" t="s">
        <v>237</v>
      </c>
      <c r="J223" s="4" t="s">
        <v>20</v>
      </c>
      <c r="K223" s="4" t="str" cm="1">
        <f t="array" ref="K223">_xlfn.IFS(L223&gt;50,"Senior", L223&gt;=30,"Adult", L223&lt;30,"Young Adult")</f>
        <v>Young Adult</v>
      </c>
      <c r="L223" s="4">
        <v>21</v>
      </c>
      <c r="M223" s="4" t="s">
        <v>24</v>
      </c>
      <c r="N223" s="4">
        <v>3</v>
      </c>
      <c r="O223" s="5">
        <v>500</v>
      </c>
      <c r="P223">
        <f t="shared" si="33"/>
        <v>1500</v>
      </c>
      <c r="Q223" s="14">
        <f t="shared" si="34"/>
        <v>22.5</v>
      </c>
      <c r="R223" s="14">
        <f t="shared" si="35"/>
        <v>30</v>
      </c>
    </row>
    <row r="224" spans="1:18" x14ac:dyDescent="0.35">
      <c r="A224" s="2">
        <v>213</v>
      </c>
      <c r="B224" s="4">
        <f t="shared" si="27"/>
        <v>24</v>
      </c>
      <c r="C224" s="4">
        <f t="shared" si="28"/>
        <v>7</v>
      </c>
      <c r="D224" s="4">
        <f t="shared" si="29"/>
        <v>2023</v>
      </c>
      <c r="E224" s="4" t="str">
        <f t="shared" si="30"/>
        <v>Monday</v>
      </c>
      <c r="F224" s="4" t="str">
        <f t="shared" si="31"/>
        <v>July</v>
      </c>
      <c r="G224" s="4" t="str">
        <f t="shared" si="32"/>
        <v>2023</v>
      </c>
      <c r="H224" s="3">
        <v>45131</v>
      </c>
      <c r="I224" s="4" t="s">
        <v>238</v>
      </c>
      <c r="J224" s="4" t="s">
        <v>20</v>
      </c>
      <c r="K224" s="4" t="str" cm="1">
        <f t="array" ref="K224">_xlfn.IFS(L224&gt;50,"Senior", L224&gt;=30,"Adult", L224&lt;30,"Young Adult")</f>
        <v>Young Adult</v>
      </c>
      <c r="L224" s="4">
        <v>27</v>
      </c>
      <c r="M224" s="4" t="s">
        <v>21</v>
      </c>
      <c r="N224" s="4">
        <v>3</v>
      </c>
      <c r="O224" s="5">
        <v>500</v>
      </c>
      <c r="P224">
        <f t="shared" si="33"/>
        <v>1500</v>
      </c>
      <c r="Q224" s="14">
        <f t="shared" si="34"/>
        <v>22.5</v>
      </c>
      <c r="R224" s="14">
        <f t="shared" si="35"/>
        <v>30</v>
      </c>
    </row>
    <row r="225" spans="1:18" x14ac:dyDescent="0.35">
      <c r="A225" s="2">
        <v>214</v>
      </c>
      <c r="B225" s="4">
        <f t="shared" si="27"/>
        <v>10</v>
      </c>
      <c r="C225" s="4">
        <f t="shared" si="28"/>
        <v>12</v>
      </c>
      <c r="D225" s="4">
        <f t="shared" si="29"/>
        <v>2023</v>
      </c>
      <c r="E225" s="4" t="str">
        <f t="shared" si="30"/>
        <v>Sunday</v>
      </c>
      <c r="F225" s="4" t="str">
        <f t="shared" si="31"/>
        <v>December</v>
      </c>
      <c r="G225" s="4" t="str">
        <f t="shared" si="32"/>
        <v>2023</v>
      </c>
      <c r="H225" s="3">
        <v>45270</v>
      </c>
      <c r="I225" s="4" t="s">
        <v>239</v>
      </c>
      <c r="J225" s="4" t="s">
        <v>20</v>
      </c>
      <c r="K225" s="4" t="str" cm="1">
        <f t="array" ref="K225">_xlfn.IFS(L225&gt;50,"Senior", L225&gt;=30,"Adult", L225&lt;30,"Young Adult")</f>
        <v>Young Adult</v>
      </c>
      <c r="L225" s="4">
        <v>20</v>
      </c>
      <c r="M225" s="4" t="s">
        <v>21</v>
      </c>
      <c r="N225" s="4">
        <v>2</v>
      </c>
      <c r="O225" s="5">
        <v>30</v>
      </c>
      <c r="P225">
        <f t="shared" si="33"/>
        <v>60</v>
      </c>
      <c r="Q225" s="14">
        <f t="shared" si="34"/>
        <v>0.89999999999999991</v>
      </c>
      <c r="R225" s="14">
        <f t="shared" si="35"/>
        <v>1.2</v>
      </c>
    </row>
    <row r="226" spans="1:18" x14ac:dyDescent="0.35">
      <c r="A226" s="2">
        <v>215</v>
      </c>
      <c r="B226" s="4">
        <f t="shared" si="27"/>
        <v>29</v>
      </c>
      <c r="C226" s="4">
        <f t="shared" si="28"/>
        <v>11</v>
      </c>
      <c r="D226" s="4">
        <f t="shared" si="29"/>
        <v>2023</v>
      </c>
      <c r="E226" s="4" t="str">
        <f t="shared" si="30"/>
        <v>Wednesday</v>
      </c>
      <c r="F226" s="4" t="str">
        <f t="shared" si="31"/>
        <v>November</v>
      </c>
      <c r="G226" s="4" t="str">
        <f t="shared" si="32"/>
        <v>2023</v>
      </c>
      <c r="H226" s="3">
        <v>45259</v>
      </c>
      <c r="I226" s="4" t="s">
        <v>240</v>
      </c>
      <c r="J226" s="4" t="s">
        <v>20</v>
      </c>
      <c r="K226" s="4" t="str" cm="1">
        <f t="array" ref="K226">_xlfn.IFS(L226&gt;50,"Senior", L226&gt;=30,"Adult", L226&lt;30,"Young Adult")</f>
        <v>Senior</v>
      </c>
      <c r="L226" s="4">
        <v>58</v>
      </c>
      <c r="M226" s="4" t="s">
        <v>24</v>
      </c>
      <c r="N226" s="4">
        <v>3</v>
      </c>
      <c r="O226" s="5">
        <v>500</v>
      </c>
      <c r="P226">
        <f t="shared" si="33"/>
        <v>1500</v>
      </c>
      <c r="Q226" s="14">
        <f t="shared" si="34"/>
        <v>22.5</v>
      </c>
      <c r="R226" s="14">
        <f t="shared" si="35"/>
        <v>30</v>
      </c>
    </row>
    <row r="227" spans="1:18" x14ac:dyDescent="0.35">
      <c r="A227" s="2">
        <v>216</v>
      </c>
      <c r="B227" s="4">
        <f t="shared" si="27"/>
        <v>11</v>
      </c>
      <c r="C227" s="4">
        <f t="shared" si="28"/>
        <v>7</v>
      </c>
      <c r="D227" s="4">
        <f t="shared" si="29"/>
        <v>2023</v>
      </c>
      <c r="E227" s="4" t="str">
        <f t="shared" si="30"/>
        <v>Tuesday</v>
      </c>
      <c r="F227" s="4" t="str">
        <f t="shared" si="31"/>
        <v>July</v>
      </c>
      <c r="G227" s="4" t="str">
        <f t="shared" si="32"/>
        <v>2023</v>
      </c>
      <c r="H227" s="3">
        <v>45118</v>
      </c>
      <c r="I227" s="4" t="s">
        <v>241</v>
      </c>
      <c r="J227" s="4" t="s">
        <v>20</v>
      </c>
      <c r="K227" s="4" t="str" cm="1">
        <f t="array" ref="K227">_xlfn.IFS(L227&gt;50,"Senior", L227&gt;=30,"Adult", L227&lt;30,"Young Adult")</f>
        <v>Senior</v>
      </c>
      <c r="L227" s="4">
        <v>62</v>
      </c>
      <c r="M227" s="4" t="s">
        <v>26</v>
      </c>
      <c r="N227" s="4">
        <v>2</v>
      </c>
      <c r="O227" s="5">
        <v>50</v>
      </c>
      <c r="P227">
        <f t="shared" si="33"/>
        <v>100</v>
      </c>
      <c r="Q227" s="14">
        <f t="shared" si="34"/>
        <v>1.5</v>
      </c>
      <c r="R227" s="14">
        <f t="shared" si="35"/>
        <v>2</v>
      </c>
    </row>
    <row r="228" spans="1:18" x14ac:dyDescent="0.35">
      <c r="A228" s="2">
        <v>217</v>
      </c>
      <c r="B228" s="4">
        <f t="shared" si="27"/>
        <v>13</v>
      </c>
      <c r="C228" s="4">
        <f t="shared" si="28"/>
        <v>8</v>
      </c>
      <c r="D228" s="4">
        <f t="shared" si="29"/>
        <v>2023</v>
      </c>
      <c r="E228" s="4" t="str">
        <f t="shared" si="30"/>
        <v>Sunday</v>
      </c>
      <c r="F228" s="4" t="str">
        <f t="shared" si="31"/>
        <v>August</v>
      </c>
      <c r="G228" s="4" t="str">
        <f t="shared" si="32"/>
        <v>2023</v>
      </c>
      <c r="H228" s="3">
        <v>45151</v>
      </c>
      <c r="I228" s="4" t="s">
        <v>242</v>
      </c>
      <c r="J228" s="4" t="s">
        <v>23</v>
      </c>
      <c r="K228" s="4" t="str" cm="1">
        <f t="array" ref="K228">_xlfn.IFS(L228&gt;50,"Senior", L228&gt;=30,"Adult", L228&lt;30,"Young Adult")</f>
        <v>Adult</v>
      </c>
      <c r="L228" s="4">
        <v>35</v>
      </c>
      <c r="M228" s="4" t="s">
        <v>26</v>
      </c>
      <c r="N228" s="4">
        <v>4</v>
      </c>
      <c r="O228" s="5">
        <v>50</v>
      </c>
      <c r="P228">
        <f t="shared" si="33"/>
        <v>200</v>
      </c>
      <c r="Q228" s="14">
        <f t="shared" si="34"/>
        <v>3</v>
      </c>
      <c r="R228" s="14">
        <f t="shared" si="35"/>
        <v>4</v>
      </c>
    </row>
    <row r="229" spans="1:18" x14ac:dyDescent="0.35">
      <c r="A229" s="2">
        <v>218</v>
      </c>
      <c r="B229" s="4">
        <f t="shared" si="27"/>
        <v>22</v>
      </c>
      <c r="C229" s="4">
        <f t="shared" si="28"/>
        <v>9</v>
      </c>
      <c r="D229" s="4">
        <f t="shared" si="29"/>
        <v>2023</v>
      </c>
      <c r="E229" s="4" t="str">
        <f t="shared" si="30"/>
        <v>Friday</v>
      </c>
      <c r="F229" s="4" t="str">
        <f t="shared" si="31"/>
        <v>September</v>
      </c>
      <c r="G229" s="4" t="str">
        <f t="shared" si="32"/>
        <v>2023</v>
      </c>
      <c r="H229" s="3">
        <v>45191</v>
      </c>
      <c r="I229" s="4" t="s">
        <v>243</v>
      </c>
      <c r="J229" s="4" t="s">
        <v>20</v>
      </c>
      <c r="K229" s="4" t="str" cm="1">
        <f t="array" ref="K229">_xlfn.IFS(L229&gt;50,"Senior", L229&gt;=30,"Adult", L229&lt;30,"Young Adult")</f>
        <v>Senior</v>
      </c>
      <c r="L229" s="4">
        <v>64</v>
      </c>
      <c r="M229" s="4" t="s">
        <v>21</v>
      </c>
      <c r="N229" s="4">
        <v>3</v>
      </c>
      <c r="O229" s="5">
        <v>30</v>
      </c>
      <c r="P229">
        <f t="shared" si="33"/>
        <v>90</v>
      </c>
      <c r="Q229" s="14">
        <f t="shared" si="34"/>
        <v>1.3499999999999999</v>
      </c>
      <c r="R229" s="14">
        <f t="shared" si="35"/>
        <v>1.8</v>
      </c>
    </row>
    <row r="230" spans="1:18" x14ac:dyDescent="0.35">
      <c r="A230" s="2">
        <v>219</v>
      </c>
      <c r="B230" s="4">
        <f t="shared" si="27"/>
        <v>20</v>
      </c>
      <c r="C230" s="4">
        <f t="shared" si="28"/>
        <v>8</v>
      </c>
      <c r="D230" s="4">
        <f t="shared" si="29"/>
        <v>2023</v>
      </c>
      <c r="E230" s="4" t="str">
        <f t="shared" si="30"/>
        <v>Sunday</v>
      </c>
      <c r="F230" s="4" t="str">
        <f t="shared" si="31"/>
        <v>August</v>
      </c>
      <c r="G230" s="4" t="str">
        <f t="shared" si="32"/>
        <v>2023</v>
      </c>
      <c r="H230" s="3">
        <v>45158</v>
      </c>
      <c r="I230" s="4" t="s">
        <v>244</v>
      </c>
      <c r="J230" s="4" t="s">
        <v>23</v>
      </c>
      <c r="K230" s="4" t="str" cm="1">
        <f t="array" ref="K230">_xlfn.IFS(L230&gt;50,"Senior", L230&gt;=30,"Adult", L230&lt;30,"Young Adult")</f>
        <v>Senior</v>
      </c>
      <c r="L230" s="4">
        <v>53</v>
      </c>
      <c r="M230" s="4" t="s">
        <v>26</v>
      </c>
      <c r="N230" s="4">
        <v>3</v>
      </c>
      <c r="O230" s="5">
        <v>30</v>
      </c>
      <c r="P230">
        <f t="shared" si="33"/>
        <v>90</v>
      </c>
      <c r="Q230" s="14">
        <f t="shared" si="34"/>
        <v>1.3499999999999999</v>
      </c>
      <c r="R230" s="14">
        <f t="shared" si="35"/>
        <v>1.8</v>
      </c>
    </row>
    <row r="231" spans="1:18" x14ac:dyDescent="0.35">
      <c r="A231" s="2">
        <v>220</v>
      </c>
      <c r="B231" s="4">
        <f t="shared" si="27"/>
        <v>3</v>
      </c>
      <c r="C231" s="4">
        <f t="shared" si="28"/>
        <v>3</v>
      </c>
      <c r="D231" s="4">
        <f t="shared" si="29"/>
        <v>2023</v>
      </c>
      <c r="E231" s="4" t="str">
        <f t="shared" si="30"/>
        <v>Friday</v>
      </c>
      <c r="F231" s="4" t="str">
        <f t="shared" si="31"/>
        <v>March</v>
      </c>
      <c r="G231" s="4" t="str">
        <f t="shared" si="32"/>
        <v>2023</v>
      </c>
      <c r="H231" s="3">
        <v>44988</v>
      </c>
      <c r="I231" s="4" t="s">
        <v>245</v>
      </c>
      <c r="J231" s="4" t="s">
        <v>20</v>
      </c>
      <c r="K231" s="4" t="str" cm="1">
        <f t="array" ref="K231">_xlfn.IFS(L231&gt;50,"Senior", L231&gt;=30,"Adult", L231&lt;30,"Young Adult")</f>
        <v>Senior</v>
      </c>
      <c r="L231" s="4">
        <v>64</v>
      </c>
      <c r="M231" s="4" t="s">
        <v>21</v>
      </c>
      <c r="N231" s="4">
        <v>1</v>
      </c>
      <c r="O231" s="5">
        <v>500</v>
      </c>
      <c r="P231">
        <f t="shared" si="33"/>
        <v>500</v>
      </c>
      <c r="Q231" s="14">
        <f t="shared" si="34"/>
        <v>7.5</v>
      </c>
      <c r="R231" s="14">
        <f t="shared" si="35"/>
        <v>10</v>
      </c>
    </row>
    <row r="232" spans="1:18" x14ac:dyDescent="0.35">
      <c r="A232" s="2">
        <v>221</v>
      </c>
      <c r="B232" s="4">
        <f t="shared" si="27"/>
        <v>7</v>
      </c>
      <c r="C232" s="4">
        <f t="shared" si="28"/>
        <v>5</v>
      </c>
      <c r="D232" s="4">
        <f t="shared" si="29"/>
        <v>2023</v>
      </c>
      <c r="E232" s="4" t="str">
        <f t="shared" si="30"/>
        <v>Sunday</v>
      </c>
      <c r="F232" s="4" t="str">
        <f t="shared" si="31"/>
        <v>May</v>
      </c>
      <c r="G232" s="4" t="str">
        <f t="shared" si="32"/>
        <v>2023</v>
      </c>
      <c r="H232" s="3">
        <v>45053</v>
      </c>
      <c r="I232" s="4" t="s">
        <v>246</v>
      </c>
      <c r="J232" s="4" t="s">
        <v>20</v>
      </c>
      <c r="K232" s="4" t="str" cm="1">
        <f t="array" ref="K232">_xlfn.IFS(L232&gt;50,"Senior", L232&gt;=30,"Adult", L232&lt;30,"Young Adult")</f>
        <v>Adult</v>
      </c>
      <c r="L232" s="4">
        <v>39</v>
      </c>
      <c r="M232" s="4" t="s">
        <v>21</v>
      </c>
      <c r="N232" s="4">
        <v>2</v>
      </c>
      <c r="O232" s="5">
        <v>300</v>
      </c>
      <c r="P232">
        <f t="shared" si="33"/>
        <v>600</v>
      </c>
      <c r="Q232" s="14">
        <f t="shared" si="34"/>
        <v>9</v>
      </c>
      <c r="R232" s="14">
        <f t="shared" si="35"/>
        <v>12</v>
      </c>
    </row>
    <row r="233" spans="1:18" x14ac:dyDescent="0.35">
      <c r="A233" s="2">
        <v>222</v>
      </c>
      <c r="B233" s="4">
        <f t="shared" si="27"/>
        <v>26</v>
      </c>
      <c r="C233" s="4">
        <f t="shared" si="28"/>
        <v>4</v>
      </c>
      <c r="D233" s="4">
        <f t="shared" si="29"/>
        <v>2023</v>
      </c>
      <c r="E233" s="4" t="str">
        <f t="shared" si="30"/>
        <v>Wednesday</v>
      </c>
      <c r="F233" s="4" t="str">
        <f t="shared" si="31"/>
        <v>April</v>
      </c>
      <c r="G233" s="4" t="str">
        <f t="shared" si="32"/>
        <v>2023</v>
      </c>
      <c r="H233" s="3">
        <v>45042</v>
      </c>
      <c r="I233" s="4" t="s">
        <v>247</v>
      </c>
      <c r="J233" s="4" t="s">
        <v>20</v>
      </c>
      <c r="K233" s="4" t="str" cm="1">
        <f t="array" ref="K233">_xlfn.IFS(L233&gt;50,"Senior", L233&gt;=30,"Adult", L233&lt;30,"Young Adult")</f>
        <v>Senior</v>
      </c>
      <c r="L233" s="4">
        <v>51</v>
      </c>
      <c r="M233" s="4" t="s">
        <v>24</v>
      </c>
      <c r="N233" s="4">
        <v>4</v>
      </c>
      <c r="O233" s="5">
        <v>30</v>
      </c>
      <c r="P233">
        <f t="shared" si="33"/>
        <v>120</v>
      </c>
      <c r="Q233" s="14">
        <f t="shared" si="34"/>
        <v>1.7999999999999998</v>
      </c>
      <c r="R233" s="14">
        <f t="shared" si="35"/>
        <v>2.4</v>
      </c>
    </row>
    <row r="234" spans="1:18" x14ac:dyDescent="0.35">
      <c r="A234" s="2">
        <v>223</v>
      </c>
      <c r="B234" s="4">
        <f t="shared" si="27"/>
        <v>2</v>
      </c>
      <c r="C234" s="4">
        <f t="shared" si="28"/>
        <v>2</v>
      </c>
      <c r="D234" s="4">
        <f t="shared" si="29"/>
        <v>2023</v>
      </c>
      <c r="E234" s="4" t="str">
        <f t="shared" si="30"/>
        <v>Thursday</v>
      </c>
      <c r="F234" s="4" t="str">
        <f t="shared" si="31"/>
        <v>February</v>
      </c>
      <c r="G234" s="4" t="str">
        <f t="shared" si="32"/>
        <v>2023</v>
      </c>
      <c r="H234" s="3">
        <v>44959</v>
      </c>
      <c r="I234" s="4" t="s">
        <v>248</v>
      </c>
      <c r="J234" s="4" t="s">
        <v>23</v>
      </c>
      <c r="K234" s="4" t="str" cm="1">
        <f t="array" ref="K234">_xlfn.IFS(L234&gt;50,"Senior", L234&gt;=30,"Adult", L234&lt;30,"Young Adult")</f>
        <v>Senior</v>
      </c>
      <c r="L234" s="4">
        <v>64</v>
      </c>
      <c r="M234" s="4" t="s">
        <v>24</v>
      </c>
      <c r="N234" s="4">
        <v>1</v>
      </c>
      <c r="O234" s="5">
        <v>25</v>
      </c>
      <c r="P234">
        <f t="shared" si="33"/>
        <v>25</v>
      </c>
      <c r="Q234" s="14">
        <f t="shared" si="34"/>
        <v>0.375</v>
      </c>
      <c r="R234" s="14">
        <f t="shared" si="35"/>
        <v>0.5</v>
      </c>
    </row>
    <row r="235" spans="1:18" x14ac:dyDescent="0.35">
      <c r="A235" s="2">
        <v>224</v>
      </c>
      <c r="B235" s="4">
        <f t="shared" si="27"/>
        <v>23</v>
      </c>
      <c r="C235" s="4">
        <f t="shared" si="28"/>
        <v>6</v>
      </c>
      <c r="D235" s="4">
        <f t="shared" si="29"/>
        <v>2023</v>
      </c>
      <c r="E235" s="4" t="str">
        <f t="shared" si="30"/>
        <v>Friday</v>
      </c>
      <c r="F235" s="4" t="str">
        <f t="shared" si="31"/>
        <v>June</v>
      </c>
      <c r="G235" s="4" t="str">
        <f t="shared" si="32"/>
        <v>2023</v>
      </c>
      <c r="H235" s="3">
        <v>45100</v>
      </c>
      <c r="I235" s="4" t="s">
        <v>249</v>
      </c>
      <c r="J235" s="4" t="s">
        <v>23</v>
      </c>
      <c r="K235" s="4" t="str" cm="1">
        <f t="array" ref="K235">_xlfn.IFS(L235&gt;50,"Senior", L235&gt;=30,"Adult", L235&lt;30,"Young Adult")</f>
        <v>Young Adult</v>
      </c>
      <c r="L235" s="4">
        <v>25</v>
      </c>
      <c r="M235" s="4" t="s">
        <v>24</v>
      </c>
      <c r="N235" s="4">
        <v>1</v>
      </c>
      <c r="O235" s="5">
        <v>50</v>
      </c>
      <c r="P235">
        <f t="shared" si="33"/>
        <v>50</v>
      </c>
      <c r="Q235" s="14">
        <f t="shared" si="34"/>
        <v>0.75</v>
      </c>
      <c r="R235" s="14">
        <f t="shared" si="35"/>
        <v>1</v>
      </c>
    </row>
    <row r="236" spans="1:18" x14ac:dyDescent="0.35">
      <c r="A236" s="2">
        <v>225</v>
      </c>
      <c r="B236" s="4">
        <f t="shared" si="27"/>
        <v>11</v>
      </c>
      <c r="C236" s="4">
        <f t="shared" si="28"/>
        <v>1</v>
      </c>
      <c r="D236" s="4">
        <f t="shared" si="29"/>
        <v>2023</v>
      </c>
      <c r="E236" s="4" t="str">
        <f t="shared" si="30"/>
        <v>Wednesday</v>
      </c>
      <c r="F236" s="4" t="str">
        <f t="shared" si="31"/>
        <v>January</v>
      </c>
      <c r="G236" s="4" t="str">
        <f t="shared" si="32"/>
        <v>2023</v>
      </c>
      <c r="H236" s="3">
        <v>44937</v>
      </c>
      <c r="I236" s="4" t="s">
        <v>250</v>
      </c>
      <c r="J236" s="4" t="s">
        <v>23</v>
      </c>
      <c r="K236" s="4" t="str" cm="1">
        <f t="array" ref="K236">_xlfn.IFS(L236&gt;50,"Senior", L236&gt;=30,"Adult", L236&lt;30,"Young Adult")</f>
        <v>Senior</v>
      </c>
      <c r="L236" s="4">
        <v>57</v>
      </c>
      <c r="M236" s="4" t="s">
        <v>21</v>
      </c>
      <c r="N236" s="4">
        <v>4</v>
      </c>
      <c r="O236" s="5">
        <v>25</v>
      </c>
      <c r="P236">
        <f t="shared" si="33"/>
        <v>100</v>
      </c>
      <c r="Q236" s="14">
        <f t="shared" si="34"/>
        <v>1.5</v>
      </c>
      <c r="R236" s="14">
        <f t="shared" si="35"/>
        <v>2</v>
      </c>
    </row>
    <row r="237" spans="1:18" x14ac:dyDescent="0.35">
      <c r="A237" s="2">
        <v>226</v>
      </c>
      <c r="B237" s="4">
        <f t="shared" si="27"/>
        <v>29</v>
      </c>
      <c r="C237" s="4">
        <f t="shared" si="28"/>
        <v>10</v>
      </c>
      <c r="D237" s="4">
        <f t="shared" si="29"/>
        <v>2023</v>
      </c>
      <c r="E237" s="4" t="str">
        <f t="shared" si="30"/>
        <v>Sunday</v>
      </c>
      <c r="F237" s="4" t="str">
        <f t="shared" si="31"/>
        <v>October</v>
      </c>
      <c r="G237" s="4" t="str">
        <f t="shared" si="32"/>
        <v>2023</v>
      </c>
      <c r="H237" s="3">
        <v>45228</v>
      </c>
      <c r="I237" s="4" t="s">
        <v>251</v>
      </c>
      <c r="J237" s="4" t="s">
        <v>23</v>
      </c>
      <c r="K237" s="4" t="str" cm="1">
        <f t="array" ref="K237">_xlfn.IFS(L237&gt;50,"Senior", L237&gt;=30,"Adult", L237&lt;30,"Young Adult")</f>
        <v>Senior</v>
      </c>
      <c r="L237" s="4">
        <v>61</v>
      </c>
      <c r="M237" s="4" t="s">
        <v>24</v>
      </c>
      <c r="N237" s="4">
        <v>1</v>
      </c>
      <c r="O237" s="5">
        <v>50</v>
      </c>
      <c r="P237">
        <f t="shared" si="33"/>
        <v>50</v>
      </c>
      <c r="Q237" s="14">
        <f t="shared" si="34"/>
        <v>0.75</v>
      </c>
      <c r="R237" s="14">
        <f t="shared" si="35"/>
        <v>1</v>
      </c>
    </row>
    <row r="238" spans="1:18" x14ac:dyDescent="0.35">
      <c r="A238" s="2">
        <v>227</v>
      </c>
      <c r="B238" s="4">
        <f t="shared" si="27"/>
        <v>11</v>
      </c>
      <c r="C238" s="4">
        <f t="shared" si="28"/>
        <v>10</v>
      </c>
      <c r="D238" s="4">
        <f t="shared" si="29"/>
        <v>2023</v>
      </c>
      <c r="E238" s="4" t="str">
        <f t="shared" si="30"/>
        <v>Wednesday</v>
      </c>
      <c r="F238" s="4" t="str">
        <f t="shared" si="31"/>
        <v>October</v>
      </c>
      <c r="G238" s="4" t="str">
        <f t="shared" si="32"/>
        <v>2023</v>
      </c>
      <c r="H238" s="3">
        <v>45210</v>
      </c>
      <c r="I238" s="4" t="s">
        <v>252</v>
      </c>
      <c r="J238" s="4" t="s">
        <v>20</v>
      </c>
      <c r="K238" s="4" t="str" cm="1">
        <f t="array" ref="K238">_xlfn.IFS(L238&gt;50,"Senior", L238&gt;=30,"Adult", L238&lt;30,"Young Adult")</f>
        <v>Adult</v>
      </c>
      <c r="L238" s="4">
        <v>36</v>
      </c>
      <c r="M238" s="4" t="s">
        <v>26</v>
      </c>
      <c r="N238" s="4">
        <v>2</v>
      </c>
      <c r="O238" s="5">
        <v>50</v>
      </c>
      <c r="P238">
        <f t="shared" si="33"/>
        <v>100</v>
      </c>
      <c r="Q238" s="14">
        <f t="shared" si="34"/>
        <v>1.5</v>
      </c>
      <c r="R238" s="14">
        <f t="shared" si="35"/>
        <v>2</v>
      </c>
    </row>
    <row r="239" spans="1:18" x14ac:dyDescent="0.35">
      <c r="A239" s="2">
        <v>228</v>
      </c>
      <c r="B239" s="4">
        <f t="shared" si="27"/>
        <v>28</v>
      </c>
      <c r="C239" s="4">
        <f t="shared" si="28"/>
        <v>4</v>
      </c>
      <c r="D239" s="4">
        <f t="shared" si="29"/>
        <v>2023</v>
      </c>
      <c r="E239" s="4" t="str">
        <f t="shared" si="30"/>
        <v>Friday</v>
      </c>
      <c r="F239" s="4" t="str">
        <f t="shared" si="31"/>
        <v>April</v>
      </c>
      <c r="G239" s="4" t="str">
        <f t="shared" si="32"/>
        <v>2023</v>
      </c>
      <c r="H239" s="3">
        <v>45044</v>
      </c>
      <c r="I239" s="4" t="s">
        <v>253</v>
      </c>
      <c r="J239" s="4" t="s">
        <v>23</v>
      </c>
      <c r="K239" s="4" t="str" cm="1">
        <f t="array" ref="K239">_xlfn.IFS(L239&gt;50,"Senior", L239&gt;=30,"Adult", L239&lt;30,"Young Adult")</f>
        <v>Senior</v>
      </c>
      <c r="L239" s="4">
        <v>59</v>
      </c>
      <c r="M239" s="4" t="s">
        <v>26</v>
      </c>
      <c r="N239" s="4">
        <v>2</v>
      </c>
      <c r="O239" s="5">
        <v>30</v>
      </c>
      <c r="P239">
        <f t="shared" si="33"/>
        <v>60</v>
      </c>
      <c r="Q239" s="14">
        <f t="shared" si="34"/>
        <v>0.89999999999999991</v>
      </c>
      <c r="R239" s="14">
        <f t="shared" si="35"/>
        <v>1.2</v>
      </c>
    </row>
    <row r="240" spans="1:18" x14ac:dyDescent="0.35">
      <c r="A240" s="2">
        <v>229</v>
      </c>
      <c r="B240" s="4">
        <f t="shared" si="27"/>
        <v>29</v>
      </c>
      <c r="C240" s="4">
        <f t="shared" si="28"/>
        <v>10</v>
      </c>
      <c r="D240" s="4">
        <f t="shared" si="29"/>
        <v>2023</v>
      </c>
      <c r="E240" s="4" t="str">
        <f t="shared" si="30"/>
        <v>Sunday</v>
      </c>
      <c r="F240" s="4" t="str">
        <f t="shared" si="31"/>
        <v>October</v>
      </c>
      <c r="G240" s="4" t="str">
        <f t="shared" si="32"/>
        <v>2023</v>
      </c>
      <c r="H240" s="3">
        <v>45228</v>
      </c>
      <c r="I240" s="4" t="s">
        <v>254</v>
      </c>
      <c r="J240" s="4" t="s">
        <v>20</v>
      </c>
      <c r="K240" s="4" t="str" cm="1">
        <f t="array" ref="K240">_xlfn.IFS(L240&gt;50,"Senior", L240&gt;=30,"Adult", L240&lt;30,"Young Adult")</f>
        <v>Senior</v>
      </c>
      <c r="L240" s="4">
        <v>58</v>
      </c>
      <c r="M240" s="4" t="s">
        <v>21</v>
      </c>
      <c r="N240" s="4">
        <v>3</v>
      </c>
      <c r="O240" s="5">
        <v>30</v>
      </c>
      <c r="P240">
        <f t="shared" si="33"/>
        <v>90</v>
      </c>
      <c r="Q240" s="14">
        <f t="shared" si="34"/>
        <v>1.3499999999999999</v>
      </c>
      <c r="R240" s="14">
        <f t="shared" si="35"/>
        <v>1.8</v>
      </c>
    </row>
    <row r="241" spans="1:18" x14ac:dyDescent="0.35">
      <c r="A241" s="2">
        <v>230</v>
      </c>
      <c r="B241" s="4">
        <f t="shared" si="27"/>
        <v>23</v>
      </c>
      <c r="C241" s="4">
        <f t="shared" si="28"/>
        <v>4</v>
      </c>
      <c r="D241" s="4">
        <f t="shared" si="29"/>
        <v>2023</v>
      </c>
      <c r="E241" s="4" t="str">
        <f t="shared" si="30"/>
        <v>Sunday</v>
      </c>
      <c r="F241" s="4" t="str">
        <f t="shared" si="31"/>
        <v>April</v>
      </c>
      <c r="G241" s="4" t="str">
        <f t="shared" si="32"/>
        <v>2023</v>
      </c>
      <c r="H241" s="3">
        <v>45039</v>
      </c>
      <c r="I241" s="4" t="s">
        <v>255</v>
      </c>
      <c r="J241" s="4" t="s">
        <v>20</v>
      </c>
      <c r="K241" s="4" t="str" cm="1">
        <f t="array" ref="K241">_xlfn.IFS(L241&gt;50,"Senior", L241&gt;=30,"Adult", L241&lt;30,"Young Adult")</f>
        <v>Senior</v>
      </c>
      <c r="L241" s="4">
        <v>54</v>
      </c>
      <c r="M241" s="4" t="s">
        <v>21</v>
      </c>
      <c r="N241" s="4">
        <v>1</v>
      </c>
      <c r="O241" s="5">
        <v>25</v>
      </c>
      <c r="P241">
        <f t="shared" si="33"/>
        <v>25</v>
      </c>
      <c r="Q241" s="14">
        <f t="shared" si="34"/>
        <v>0.375</v>
      </c>
      <c r="R241" s="14">
        <f t="shared" si="35"/>
        <v>0.5</v>
      </c>
    </row>
    <row r="242" spans="1:18" x14ac:dyDescent="0.35">
      <c r="A242" s="2">
        <v>231</v>
      </c>
      <c r="B242" s="4">
        <f t="shared" si="27"/>
        <v>4</v>
      </c>
      <c r="C242" s="4">
        <f t="shared" si="28"/>
        <v>1</v>
      </c>
      <c r="D242" s="4">
        <f t="shared" si="29"/>
        <v>2023</v>
      </c>
      <c r="E242" s="4" t="str">
        <f t="shared" si="30"/>
        <v>Wednesday</v>
      </c>
      <c r="F242" s="4" t="str">
        <f t="shared" si="31"/>
        <v>January</v>
      </c>
      <c r="G242" s="4" t="str">
        <f t="shared" si="32"/>
        <v>2023</v>
      </c>
      <c r="H242" s="3">
        <v>44930</v>
      </c>
      <c r="I242" s="4" t="s">
        <v>256</v>
      </c>
      <c r="J242" s="4" t="s">
        <v>23</v>
      </c>
      <c r="K242" s="4" t="str" cm="1">
        <f t="array" ref="K242">_xlfn.IFS(L242&gt;50,"Senior", L242&gt;=30,"Adult", L242&lt;30,"Young Adult")</f>
        <v>Young Adult</v>
      </c>
      <c r="L242" s="4">
        <v>23</v>
      </c>
      <c r="M242" s="4" t="s">
        <v>24</v>
      </c>
      <c r="N242" s="4">
        <v>3</v>
      </c>
      <c r="O242" s="5">
        <v>50</v>
      </c>
      <c r="P242">
        <f t="shared" si="33"/>
        <v>150</v>
      </c>
      <c r="Q242" s="14">
        <f t="shared" si="34"/>
        <v>2.25</v>
      </c>
      <c r="R242" s="14">
        <f t="shared" si="35"/>
        <v>3</v>
      </c>
    </row>
    <row r="243" spans="1:18" x14ac:dyDescent="0.35">
      <c r="A243" s="2">
        <v>232</v>
      </c>
      <c r="B243" s="4">
        <f t="shared" si="27"/>
        <v>6</v>
      </c>
      <c r="C243" s="4">
        <f t="shared" si="28"/>
        <v>2</v>
      </c>
      <c r="D243" s="4">
        <f t="shared" si="29"/>
        <v>2023</v>
      </c>
      <c r="E243" s="4" t="str">
        <f t="shared" si="30"/>
        <v>Monday</v>
      </c>
      <c r="F243" s="4" t="str">
        <f t="shared" si="31"/>
        <v>February</v>
      </c>
      <c r="G243" s="4" t="str">
        <f t="shared" si="32"/>
        <v>2023</v>
      </c>
      <c r="H243" s="3">
        <v>44963</v>
      </c>
      <c r="I243" s="4" t="s">
        <v>257</v>
      </c>
      <c r="J243" s="4" t="s">
        <v>23</v>
      </c>
      <c r="K243" s="4" t="str" cm="1">
        <f t="array" ref="K243">_xlfn.IFS(L243&gt;50,"Senior", L243&gt;=30,"Adult", L243&lt;30,"Young Adult")</f>
        <v>Adult</v>
      </c>
      <c r="L243" s="4">
        <v>43</v>
      </c>
      <c r="M243" s="4" t="s">
        <v>21</v>
      </c>
      <c r="N243" s="4">
        <v>1</v>
      </c>
      <c r="O243" s="5">
        <v>25</v>
      </c>
      <c r="P243">
        <f t="shared" si="33"/>
        <v>25</v>
      </c>
      <c r="Q243" s="14">
        <f t="shared" si="34"/>
        <v>0.375</v>
      </c>
      <c r="R243" s="14">
        <f t="shared" si="35"/>
        <v>0.5</v>
      </c>
    </row>
    <row r="244" spans="1:18" x14ac:dyDescent="0.35">
      <c r="A244" s="2">
        <v>233</v>
      </c>
      <c r="B244" s="4">
        <f t="shared" si="27"/>
        <v>29</v>
      </c>
      <c r="C244" s="4">
        <f t="shared" si="28"/>
        <v>12</v>
      </c>
      <c r="D244" s="4">
        <f t="shared" si="29"/>
        <v>2023</v>
      </c>
      <c r="E244" s="4" t="str">
        <f t="shared" si="30"/>
        <v>Friday</v>
      </c>
      <c r="F244" s="4" t="str">
        <f t="shared" si="31"/>
        <v>December</v>
      </c>
      <c r="G244" s="4" t="str">
        <f t="shared" si="32"/>
        <v>2023</v>
      </c>
      <c r="H244" s="3">
        <v>45289</v>
      </c>
      <c r="I244" s="4" t="s">
        <v>258</v>
      </c>
      <c r="J244" s="4" t="s">
        <v>23</v>
      </c>
      <c r="K244" s="4" t="str" cm="1">
        <f t="array" ref="K244">_xlfn.IFS(L244&gt;50,"Senior", L244&gt;=30,"Adult", L244&lt;30,"Young Adult")</f>
        <v>Senior</v>
      </c>
      <c r="L244" s="4">
        <v>51</v>
      </c>
      <c r="M244" s="4" t="s">
        <v>21</v>
      </c>
      <c r="N244" s="4">
        <v>2</v>
      </c>
      <c r="O244" s="5">
        <v>300</v>
      </c>
      <c r="P244">
        <f t="shared" si="33"/>
        <v>600</v>
      </c>
      <c r="Q244" s="14">
        <f t="shared" si="34"/>
        <v>9</v>
      </c>
      <c r="R244" s="14">
        <f t="shared" si="35"/>
        <v>12</v>
      </c>
    </row>
    <row r="245" spans="1:18" x14ac:dyDescent="0.35">
      <c r="A245" s="2">
        <v>234</v>
      </c>
      <c r="B245" s="4">
        <f t="shared" si="27"/>
        <v>20</v>
      </c>
      <c r="C245" s="4">
        <f t="shared" si="28"/>
        <v>11</v>
      </c>
      <c r="D245" s="4">
        <f t="shared" si="29"/>
        <v>2023</v>
      </c>
      <c r="E245" s="4" t="str">
        <f t="shared" si="30"/>
        <v>Monday</v>
      </c>
      <c r="F245" s="4" t="str">
        <f t="shared" si="31"/>
        <v>November</v>
      </c>
      <c r="G245" s="4" t="str">
        <f t="shared" si="32"/>
        <v>2023</v>
      </c>
      <c r="H245" s="3">
        <v>45250</v>
      </c>
      <c r="I245" s="4" t="s">
        <v>259</v>
      </c>
      <c r="J245" s="4" t="s">
        <v>23</v>
      </c>
      <c r="K245" s="4" t="str" cm="1">
        <f t="array" ref="K245">_xlfn.IFS(L245&gt;50,"Senior", L245&gt;=30,"Adult", L245&lt;30,"Young Adult")</f>
        <v>Senior</v>
      </c>
      <c r="L245" s="4">
        <v>62</v>
      </c>
      <c r="M245" s="4" t="s">
        <v>26</v>
      </c>
      <c r="N245" s="4">
        <v>2</v>
      </c>
      <c r="O245" s="5">
        <v>25</v>
      </c>
      <c r="P245">
        <f t="shared" si="33"/>
        <v>50</v>
      </c>
      <c r="Q245" s="14">
        <f t="shared" si="34"/>
        <v>0.75</v>
      </c>
      <c r="R245" s="14">
        <f t="shared" si="35"/>
        <v>1</v>
      </c>
    </row>
    <row r="246" spans="1:18" x14ac:dyDescent="0.35">
      <c r="A246" s="2">
        <v>235</v>
      </c>
      <c r="B246" s="4">
        <f t="shared" si="27"/>
        <v>31</v>
      </c>
      <c r="C246" s="4">
        <f t="shared" si="28"/>
        <v>1</v>
      </c>
      <c r="D246" s="4">
        <f t="shared" si="29"/>
        <v>2023</v>
      </c>
      <c r="E246" s="4" t="str">
        <f t="shared" si="30"/>
        <v>Tuesday</v>
      </c>
      <c r="F246" s="4" t="str">
        <f t="shared" si="31"/>
        <v>January</v>
      </c>
      <c r="G246" s="4" t="str">
        <f t="shared" si="32"/>
        <v>2023</v>
      </c>
      <c r="H246" s="3">
        <v>44957</v>
      </c>
      <c r="I246" s="4" t="s">
        <v>260</v>
      </c>
      <c r="J246" s="4" t="s">
        <v>23</v>
      </c>
      <c r="K246" s="4" t="str" cm="1">
        <f t="array" ref="K246">_xlfn.IFS(L246&gt;50,"Senior", L246&gt;=30,"Adult", L246&lt;30,"Young Adult")</f>
        <v>Young Adult</v>
      </c>
      <c r="L246" s="4">
        <v>23</v>
      </c>
      <c r="M246" s="4" t="s">
        <v>26</v>
      </c>
      <c r="N246" s="4">
        <v>2</v>
      </c>
      <c r="O246" s="5">
        <v>500</v>
      </c>
      <c r="P246">
        <f t="shared" si="33"/>
        <v>1000</v>
      </c>
      <c r="Q246" s="14">
        <f t="shared" si="34"/>
        <v>15</v>
      </c>
      <c r="R246" s="14">
        <f t="shared" si="35"/>
        <v>20</v>
      </c>
    </row>
    <row r="247" spans="1:18" x14ac:dyDescent="0.35">
      <c r="A247" s="2">
        <v>236</v>
      </c>
      <c r="B247" s="4">
        <f t="shared" si="27"/>
        <v>28</v>
      </c>
      <c r="C247" s="4">
        <f t="shared" si="28"/>
        <v>4</v>
      </c>
      <c r="D247" s="4">
        <f t="shared" si="29"/>
        <v>2023</v>
      </c>
      <c r="E247" s="4" t="str">
        <f t="shared" si="30"/>
        <v>Friday</v>
      </c>
      <c r="F247" s="4" t="str">
        <f t="shared" si="31"/>
        <v>April</v>
      </c>
      <c r="G247" s="4" t="str">
        <f t="shared" si="32"/>
        <v>2023</v>
      </c>
      <c r="H247" s="3">
        <v>45044</v>
      </c>
      <c r="I247" s="4" t="s">
        <v>261</v>
      </c>
      <c r="J247" s="4" t="s">
        <v>23</v>
      </c>
      <c r="K247" s="4" t="str" cm="1">
        <f t="array" ref="K247">_xlfn.IFS(L247&gt;50,"Senior", L247&gt;=30,"Adult", L247&lt;30,"Young Adult")</f>
        <v>Senior</v>
      </c>
      <c r="L247" s="4">
        <v>54</v>
      </c>
      <c r="M247" s="4" t="s">
        <v>24</v>
      </c>
      <c r="N247" s="4">
        <v>1</v>
      </c>
      <c r="O247" s="5">
        <v>25</v>
      </c>
      <c r="P247">
        <f t="shared" si="33"/>
        <v>25</v>
      </c>
      <c r="Q247" s="14">
        <f t="shared" si="34"/>
        <v>0.375</v>
      </c>
      <c r="R247" s="14">
        <f t="shared" si="35"/>
        <v>0.5</v>
      </c>
    </row>
    <row r="248" spans="1:18" x14ac:dyDescent="0.35">
      <c r="A248" s="2">
        <v>237</v>
      </c>
      <c r="B248" s="4">
        <f t="shared" si="27"/>
        <v>4</v>
      </c>
      <c r="C248" s="4">
        <f t="shared" si="28"/>
        <v>2</v>
      </c>
      <c r="D248" s="4">
        <f t="shared" si="29"/>
        <v>2023</v>
      </c>
      <c r="E248" s="4" t="str">
        <f t="shared" si="30"/>
        <v>Saturday</v>
      </c>
      <c r="F248" s="4" t="str">
        <f t="shared" si="31"/>
        <v>February</v>
      </c>
      <c r="G248" s="4" t="str">
        <f t="shared" si="32"/>
        <v>2023</v>
      </c>
      <c r="H248" s="3">
        <v>44961</v>
      </c>
      <c r="I248" s="4" t="s">
        <v>262</v>
      </c>
      <c r="J248" s="4" t="s">
        <v>23</v>
      </c>
      <c r="K248" s="4" t="str" cm="1">
        <f t="array" ref="K248">_xlfn.IFS(L248&gt;50,"Senior", L248&gt;=30,"Adult", L248&lt;30,"Young Adult")</f>
        <v>Adult</v>
      </c>
      <c r="L248" s="4">
        <v>50</v>
      </c>
      <c r="M248" s="4" t="s">
        <v>21</v>
      </c>
      <c r="N248" s="4">
        <v>2</v>
      </c>
      <c r="O248" s="5">
        <v>500</v>
      </c>
      <c r="P248">
        <f t="shared" si="33"/>
        <v>1000</v>
      </c>
      <c r="Q248" s="14">
        <f t="shared" si="34"/>
        <v>15</v>
      </c>
      <c r="R248" s="14">
        <f t="shared" si="35"/>
        <v>20</v>
      </c>
    </row>
    <row r="249" spans="1:18" x14ac:dyDescent="0.35">
      <c r="A249" s="2">
        <v>238</v>
      </c>
      <c r="B249" s="4">
        <f t="shared" si="27"/>
        <v>17</v>
      </c>
      <c r="C249" s="4">
        <f t="shared" si="28"/>
        <v>1</v>
      </c>
      <c r="D249" s="4">
        <f t="shared" si="29"/>
        <v>2023</v>
      </c>
      <c r="E249" s="4" t="str">
        <f t="shared" si="30"/>
        <v>Tuesday</v>
      </c>
      <c r="F249" s="4" t="str">
        <f t="shared" si="31"/>
        <v>January</v>
      </c>
      <c r="G249" s="4" t="str">
        <f t="shared" si="32"/>
        <v>2023</v>
      </c>
      <c r="H249" s="3">
        <v>44943</v>
      </c>
      <c r="I249" s="4" t="s">
        <v>263</v>
      </c>
      <c r="J249" s="4" t="s">
        <v>23</v>
      </c>
      <c r="K249" s="4" t="str" cm="1">
        <f t="array" ref="K249">_xlfn.IFS(L249&gt;50,"Senior", L249&gt;=30,"Adult", L249&lt;30,"Young Adult")</f>
        <v>Adult</v>
      </c>
      <c r="L249" s="4">
        <v>39</v>
      </c>
      <c r="M249" s="4" t="s">
        <v>21</v>
      </c>
      <c r="N249" s="4">
        <v>1</v>
      </c>
      <c r="O249" s="5">
        <v>500</v>
      </c>
      <c r="P249">
        <f t="shared" si="33"/>
        <v>500</v>
      </c>
      <c r="Q249" s="14">
        <f t="shared" si="34"/>
        <v>7.5</v>
      </c>
      <c r="R249" s="14">
        <f t="shared" si="35"/>
        <v>10</v>
      </c>
    </row>
    <row r="250" spans="1:18" x14ac:dyDescent="0.35">
      <c r="A250" s="2">
        <v>239</v>
      </c>
      <c r="B250" s="4">
        <f t="shared" si="27"/>
        <v>19</v>
      </c>
      <c r="C250" s="4">
        <f t="shared" si="28"/>
        <v>6</v>
      </c>
      <c r="D250" s="4">
        <f t="shared" si="29"/>
        <v>2023</v>
      </c>
      <c r="E250" s="4" t="str">
        <f t="shared" si="30"/>
        <v>Monday</v>
      </c>
      <c r="F250" s="4" t="str">
        <f t="shared" si="31"/>
        <v>June</v>
      </c>
      <c r="G250" s="4" t="str">
        <f t="shared" si="32"/>
        <v>2023</v>
      </c>
      <c r="H250" s="3">
        <v>45096</v>
      </c>
      <c r="I250" s="4" t="s">
        <v>264</v>
      </c>
      <c r="J250" s="4" t="s">
        <v>20</v>
      </c>
      <c r="K250" s="4" t="str" cm="1">
        <f t="array" ref="K250">_xlfn.IFS(L250&gt;50,"Senior", L250&gt;=30,"Adult", L250&lt;30,"Young Adult")</f>
        <v>Adult</v>
      </c>
      <c r="L250" s="4">
        <v>38</v>
      </c>
      <c r="M250" s="4" t="s">
        <v>26</v>
      </c>
      <c r="N250" s="4">
        <v>3</v>
      </c>
      <c r="O250" s="5">
        <v>500</v>
      </c>
      <c r="P250">
        <f t="shared" si="33"/>
        <v>1500</v>
      </c>
      <c r="Q250" s="14">
        <f t="shared" si="34"/>
        <v>22.5</v>
      </c>
      <c r="R250" s="14">
        <f t="shared" si="35"/>
        <v>30</v>
      </c>
    </row>
    <row r="251" spans="1:18" x14ac:dyDescent="0.35">
      <c r="A251" s="2">
        <v>240</v>
      </c>
      <c r="B251" s="4">
        <f t="shared" si="27"/>
        <v>6</v>
      </c>
      <c r="C251" s="4">
        <f t="shared" si="28"/>
        <v>2</v>
      </c>
      <c r="D251" s="4">
        <f t="shared" si="29"/>
        <v>2023</v>
      </c>
      <c r="E251" s="4" t="str">
        <f t="shared" si="30"/>
        <v>Monday</v>
      </c>
      <c r="F251" s="4" t="str">
        <f t="shared" si="31"/>
        <v>February</v>
      </c>
      <c r="G251" s="4" t="str">
        <f t="shared" si="32"/>
        <v>2023</v>
      </c>
      <c r="H251" s="3">
        <v>44963</v>
      </c>
      <c r="I251" s="4" t="s">
        <v>265</v>
      </c>
      <c r="J251" s="4" t="s">
        <v>23</v>
      </c>
      <c r="K251" s="4" t="str" cm="1">
        <f t="array" ref="K251">_xlfn.IFS(L251&gt;50,"Senior", L251&gt;=30,"Adult", L251&lt;30,"Young Adult")</f>
        <v>Young Adult</v>
      </c>
      <c r="L251" s="4">
        <v>23</v>
      </c>
      <c r="M251" s="4" t="s">
        <v>21</v>
      </c>
      <c r="N251" s="4">
        <v>1</v>
      </c>
      <c r="O251" s="5">
        <v>300</v>
      </c>
      <c r="P251">
        <f t="shared" si="33"/>
        <v>300</v>
      </c>
      <c r="Q251" s="14">
        <f t="shared" si="34"/>
        <v>4.5</v>
      </c>
      <c r="R251" s="14">
        <f t="shared" si="35"/>
        <v>6</v>
      </c>
    </row>
    <row r="252" spans="1:18" x14ac:dyDescent="0.35">
      <c r="A252" s="2">
        <v>241</v>
      </c>
      <c r="B252" s="4">
        <f t="shared" si="27"/>
        <v>21</v>
      </c>
      <c r="C252" s="4">
        <f t="shared" si="28"/>
        <v>9</v>
      </c>
      <c r="D252" s="4">
        <f t="shared" si="29"/>
        <v>2023</v>
      </c>
      <c r="E252" s="4" t="str">
        <f t="shared" si="30"/>
        <v>Thursday</v>
      </c>
      <c r="F252" s="4" t="str">
        <f t="shared" si="31"/>
        <v>September</v>
      </c>
      <c r="G252" s="4" t="str">
        <f t="shared" si="32"/>
        <v>2023</v>
      </c>
      <c r="H252" s="3">
        <v>45190</v>
      </c>
      <c r="I252" s="4" t="s">
        <v>266</v>
      </c>
      <c r="J252" s="4" t="s">
        <v>23</v>
      </c>
      <c r="K252" s="4" t="str" cm="1">
        <f t="array" ref="K252">_xlfn.IFS(L252&gt;50,"Senior", L252&gt;=30,"Adult", L252&lt;30,"Young Adult")</f>
        <v>Young Adult</v>
      </c>
      <c r="L252" s="4">
        <v>23</v>
      </c>
      <c r="M252" s="4" t="s">
        <v>26</v>
      </c>
      <c r="N252" s="4">
        <v>3</v>
      </c>
      <c r="O252" s="5">
        <v>25</v>
      </c>
      <c r="P252">
        <f t="shared" si="33"/>
        <v>75</v>
      </c>
      <c r="Q252" s="14">
        <f t="shared" si="34"/>
        <v>1.125</v>
      </c>
      <c r="R252" s="14">
        <f t="shared" si="35"/>
        <v>1.5</v>
      </c>
    </row>
    <row r="253" spans="1:18" x14ac:dyDescent="0.35">
      <c r="A253" s="2">
        <v>242</v>
      </c>
      <c r="B253" s="4">
        <f t="shared" si="27"/>
        <v>2</v>
      </c>
      <c r="C253" s="4">
        <f t="shared" si="28"/>
        <v>5</v>
      </c>
      <c r="D253" s="4">
        <f t="shared" si="29"/>
        <v>2023</v>
      </c>
      <c r="E253" s="4" t="str">
        <f t="shared" si="30"/>
        <v>Tuesday</v>
      </c>
      <c r="F253" s="4" t="str">
        <f t="shared" si="31"/>
        <v>May</v>
      </c>
      <c r="G253" s="4" t="str">
        <f t="shared" si="32"/>
        <v>2023</v>
      </c>
      <c r="H253" s="3">
        <v>45048</v>
      </c>
      <c r="I253" s="4" t="s">
        <v>267</v>
      </c>
      <c r="J253" s="4" t="s">
        <v>20</v>
      </c>
      <c r="K253" s="4" t="str" cm="1">
        <f t="array" ref="K253">_xlfn.IFS(L253&gt;50,"Senior", L253&gt;=30,"Adult", L253&lt;30,"Young Adult")</f>
        <v>Young Adult</v>
      </c>
      <c r="L253" s="4">
        <v>21</v>
      </c>
      <c r="M253" s="4" t="s">
        <v>24</v>
      </c>
      <c r="N253" s="4">
        <v>1</v>
      </c>
      <c r="O253" s="5">
        <v>25</v>
      </c>
      <c r="P253">
        <f t="shared" si="33"/>
        <v>25</v>
      </c>
      <c r="Q253" s="14">
        <f t="shared" si="34"/>
        <v>0.375</v>
      </c>
      <c r="R253" s="14">
        <f t="shared" si="35"/>
        <v>0.5</v>
      </c>
    </row>
    <row r="254" spans="1:18" x14ac:dyDescent="0.35">
      <c r="A254" s="2">
        <v>243</v>
      </c>
      <c r="B254" s="4">
        <f t="shared" si="27"/>
        <v>23</v>
      </c>
      <c r="C254" s="4">
        <f t="shared" si="28"/>
        <v>5</v>
      </c>
      <c r="D254" s="4">
        <f t="shared" si="29"/>
        <v>2023</v>
      </c>
      <c r="E254" s="4" t="str">
        <f t="shared" si="30"/>
        <v>Tuesday</v>
      </c>
      <c r="F254" s="4" t="str">
        <f t="shared" si="31"/>
        <v>May</v>
      </c>
      <c r="G254" s="4" t="str">
        <f t="shared" si="32"/>
        <v>2023</v>
      </c>
      <c r="H254" s="3">
        <v>45069</v>
      </c>
      <c r="I254" s="4" t="s">
        <v>268</v>
      </c>
      <c r="J254" s="4" t="s">
        <v>23</v>
      </c>
      <c r="K254" s="4" t="str" cm="1">
        <f t="array" ref="K254">_xlfn.IFS(L254&gt;50,"Senior", L254&gt;=30,"Adult", L254&lt;30,"Young Adult")</f>
        <v>Adult</v>
      </c>
      <c r="L254" s="4">
        <v>47</v>
      </c>
      <c r="M254" s="4" t="s">
        <v>26</v>
      </c>
      <c r="N254" s="4">
        <v>3</v>
      </c>
      <c r="O254" s="5">
        <v>300</v>
      </c>
      <c r="P254">
        <f t="shared" si="33"/>
        <v>900</v>
      </c>
      <c r="Q254" s="14">
        <f t="shared" si="34"/>
        <v>13.5</v>
      </c>
      <c r="R254" s="14">
        <f t="shared" si="35"/>
        <v>18</v>
      </c>
    </row>
    <row r="255" spans="1:18" x14ac:dyDescent="0.35">
      <c r="A255" s="2">
        <v>244</v>
      </c>
      <c r="B255" s="4">
        <f t="shared" si="27"/>
        <v>9</v>
      </c>
      <c r="C255" s="4">
        <f t="shared" si="28"/>
        <v>12</v>
      </c>
      <c r="D255" s="4">
        <f t="shared" si="29"/>
        <v>2023</v>
      </c>
      <c r="E255" s="4" t="str">
        <f t="shared" si="30"/>
        <v>Saturday</v>
      </c>
      <c r="F255" s="4" t="str">
        <f t="shared" si="31"/>
        <v>December</v>
      </c>
      <c r="G255" s="4" t="str">
        <f t="shared" si="32"/>
        <v>2023</v>
      </c>
      <c r="H255" s="3">
        <v>45269</v>
      </c>
      <c r="I255" s="4" t="s">
        <v>269</v>
      </c>
      <c r="J255" s="4" t="s">
        <v>20</v>
      </c>
      <c r="K255" s="4" t="str" cm="1">
        <f t="array" ref="K255">_xlfn.IFS(L255&gt;50,"Senior", L255&gt;=30,"Adult", L255&lt;30,"Young Adult")</f>
        <v>Young Adult</v>
      </c>
      <c r="L255" s="4">
        <v>28</v>
      </c>
      <c r="M255" s="4" t="s">
        <v>21</v>
      </c>
      <c r="N255" s="4">
        <v>2</v>
      </c>
      <c r="O255" s="5">
        <v>50</v>
      </c>
      <c r="P255">
        <f t="shared" si="33"/>
        <v>100</v>
      </c>
      <c r="Q255" s="14">
        <f t="shared" si="34"/>
        <v>1.5</v>
      </c>
      <c r="R255" s="14">
        <f t="shared" si="35"/>
        <v>2</v>
      </c>
    </row>
    <row r="256" spans="1:18" x14ac:dyDescent="0.35">
      <c r="A256" s="2">
        <v>245</v>
      </c>
      <c r="B256" s="4">
        <f t="shared" si="27"/>
        <v>6</v>
      </c>
      <c r="C256" s="4">
        <f t="shared" si="28"/>
        <v>9</v>
      </c>
      <c r="D256" s="4">
        <f t="shared" si="29"/>
        <v>2023</v>
      </c>
      <c r="E256" s="4" t="str">
        <f t="shared" si="30"/>
        <v>Wednesday</v>
      </c>
      <c r="F256" s="4" t="str">
        <f t="shared" si="31"/>
        <v>September</v>
      </c>
      <c r="G256" s="4" t="str">
        <f t="shared" si="32"/>
        <v>2023</v>
      </c>
      <c r="H256" s="3">
        <v>45175</v>
      </c>
      <c r="I256" s="4" t="s">
        <v>270</v>
      </c>
      <c r="J256" s="4" t="s">
        <v>20</v>
      </c>
      <c r="K256" s="4" t="str" cm="1">
        <f t="array" ref="K256">_xlfn.IFS(L256&gt;50,"Senior", L256&gt;=30,"Adult", L256&lt;30,"Young Adult")</f>
        <v>Adult</v>
      </c>
      <c r="L256" s="4">
        <v>47</v>
      </c>
      <c r="M256" s="4" t="s">
        <v>24</v>
      </c>
      <c r="N256" s="4">
        <v>3</v>
      </c>
      <c r="O256" s="5">
        <v>30</v>
      </c>
      <c r="P256">
        <f t="shared" si="33"/>
        <v>90</v>
      </c>
      <c r="Q256" s="14">
        <f t="shared" si="34"/>
        <v>1.3499999999999999</v>
      </c>
      <c r="R256" s="14">
        <f t="shared" si="35"/>
        <v>1.8</v>
      </c>
    </row>
    <row r="257" spans="1:18" x14ac:dyDescent="0.35">
      <c r="A257" s="2">
        <v>246</v>
      </c>
      <c r="B257" s="4">
        <f t="shared" si="27"/>
        <v>20</v>
      </c>
      <c r="C257" s="4">
        <f t="shared" si="28"/>
        <v>4</v>
      </c>
      <c r="D257" s="4">
        <f t="shared" si="29"/>
        <v>2023</v>
      </c>
      <c r="E257" s="4" t="str">
        <f t="shared" si="30"/>
        <v>Thursday</v>
      </c>
      <c r="F257" s="4" t="str">
        <f t="shared" si="31"/>
        <v>April</v>
      </c>
      <c r="G257" s="4" t="str">
        <f t="shared" si="32"/>
        <v>2023</v>
      </c>
      <c r="H257" s="3">
        <v>45036</v>
      </c>
      <c r="I257" s="4" t="s">
        <v>271</v>
      </c>
      <c r="J257" s="4" t="s">
        <v>23</v>
      </c>
      <c r="K257" s="4" t="str" cm="1">
        <f t="array" ref="K257">_xlfn.IFS(L257&gt;50,"Senior", L257&gt;=30,"Adult", L257&lt;30,"Young Adult")</f>
        <v>Adult</v>
      </c>
      <c r="L257" s="4">
        <v>48</v>
      </c>
      <c r="M257" s="4" t="s">
        <v>26</v>
      </c>
      <c r="N257" s="4">
        <v>2</v>
      </c>
      <c r="O257" s="5">
        <v>25</v>
      </c>
      <c r="P257">
        <f t="shared" si="33"/>
        <v>50</v>
      </c>
      <c r="Q257" s="14">
        <f t="shared" si="34"/>
        <v>0.75</v>
      </c>
      <c r="R257" s="14">
        <f t="shared" si="35"/>
        <v>1</v>
      </c>
    </row>
    <row r="258" spans="1:18" x14ac:dyDescent="0.35">
      <c r="A258" s="2">
        <v>247</v>
      </c>
      <c r="B258" s="4">
        <f t="shared" si="27"/>
        <v>4</v>
      </c>
      <c r="C258" s="4">
        <f t="shared" si="28"/>
        <v>10</v>
      </c>
      <c r="D258" s="4">
        <f t="shared" si="29"/>
        <v>2023</v>
      </c>
      <c r="E258" s="4" t="str">
        <f t="shared" si="30"/>
        <v>Wednesday</v>
      </c>
      <c r="F258" s="4" t="str">
        <f t="shared" si="31"/>
        <v>October</v>
      </c>
      <c r="G258" s="4" t="str">
        <f t="shared" si="32"/>
        <v>2023</v>
      </c>
      <c r="H258" s="3">
        <v>45203</v>
      </c>
      <c r="I258" s="4" t="s">
        <v>272</v>
      </c>
      <c r="J258" s="4" t="s">
        <v>20</v>
      </c>
      <c r="K258" s="4" t="str" cm="1">
        <f t="array" ref="K258">_xlfn.IFS(L258&gt;50,"Senior", L258&gt;=30,"Adult", L258&lt;30,"Young Adult")</f>
        <v>Adult</v>
      </c>
      <c r="L258" s="4">
        <v>41</v>
      </c>
      <c r="M258" s="4" t="s">
        <v>26</v>
      </c>
      <c r="N258" s="4">
        <v>2</v>
      </c>
      <c r="O258" s="5">
        <v>30</v>
      </c>
      <c r="P258">
        <f t="shared" si="33"/>
        <v>60</v>
      </c>
      <c r="Q258" s="14">
        <f t="shared" si="34"/>
        <v>0.89999999999999991</v>
      </c>
      <c r="R258" s="14">
        <f t="shared" si="35"/>
        <v>1.2</v>
      </c>
    </row>
    <row r="259" spans="1:18" x14ac:dyDescent="0.35">
      <c r="A259" s="2">
        <v>248</v>
      </c>
      <c r="B259" s="4">
        <f t="shared" si="27"/>
        <v>9</v>
      </c>
      <c r="C259" s="4">
        <f t="shared" si="28"/>
        <v>3</v>
      </c>
      <c r="D259" s="4">
        <f t="shared" si="29"/>
        <v>2023</v>
      </c>
      <c r="E259" s="4" t="str">
        <f t="shared" si="30"/>
        <v>Thursday</v>
      </c>
      <c r="F259" s="4" t="str">
        <f t="shared" si="31"/>
        <v>March</v>
      </c>
      <c r="G259" s="4" t="str">
        <f t="shared" si="32"/>
        <v>2023</v>
      </c>
      <c r="H259" s="3">
        <v>44994</v>
      </c>
      <c r="I259" s="4" t="s">
        <v>273</v>
      </c>
      <c r="J259" s="4" t="s">
        <v>20</v>
      </c>
      <c r="K259" s="4" t="str" cm="1">
        <f t="array" ref="K259">_xlfn.IFS(L259&gt;50,"Senior", L259&gt;=30,"Adult", L259&lt;30,"Young Adult")</f>
        <v>Young Adult</v>
      </c>
      <c r="L259" s="4">
        <v>26</v>
      </c>
      <c r="M259" s="4" t="s">
        <v>24</v>
      </c>
      <c r="N259" s="4">
        <v>3</v>
      </c>
      <c r="O259" s="5">
        <v>300</v>
      </c>
      <c r="P259">
        <f t="shared" si="33"/>
        <v>900</v>
      </c>
      <c r="Q259" s="14">
        <f t="shared" si="34"/>
        <v>13.5</v>
      </c>
      <c r="R259" s="14">
        <f t="shared" si="35"/>
        <v>18</v>
      </c>
    </row>
    <row r="260" spans="1:18" x14ac:dyDescent="0.35">
      <c r="A260" s="2">
        <v>249</v>
      </c>
      <c r="B260" s="4">
        <f t="shared" si="27"/>
        <v>20</v>
      </c>
      <c r="C260" s="4">
        <f t="shared" si="28"/>
        <v>10</v>
      </c>
      <c r="D260" s="4">
        <f t="shared" si="29"/>
        <v>2023</v>
      </c>
      <c r="E260" s="4" t="str">
        <f t="shared" si="30"/>
        <v>Friday</v>
      </c>
      <c r="F260" s="4" t="str">
        <f t="shared" si="31"/>
        <v>October</v>
      </c>
      <c r="G260" s="4" t="str">
        <f t="shared" si="32"/>
        <v>2023</v>
      </c>
      <c r="H260" s="3">
        <v>45219</v>
      </c>
      <c r="I260" s="4" t="s">
        <v>274</v>
      </c>
      <c r="J260" s="4" t="s">
        <v>20</v>
      </c>
      <c r="K260" s="4" t="str" cm="1">
        <f t="array" ref="K260">_xlfn.IFS(L260&gt;50,"Senior", L260&gt;=30,"Adult", L260&lt;30,"Young Adult")</f>
        <v>Young Adult</v>
      </c>
      <c r="L260" s="4">
        <v>20</v>
      </c>
      <c r="M260" s="4" t="s">
        <v>24</v>
      </c>
      <c r="N260" s="4">
        <v>1</v>
      </c>
      <c r="O260" s="5">
        <v>50</v>
      </c>
      <c r="P260">
        <f t="shared" si="33"/>
        <v>50</v>
      </c>
      <c r="Q260" s="14">
        <f t="shared" si="34"/>
        <v>0.75</v>
      </c>
      <c r="R260" s="14">
        <f t="shared" si="35"/>
        <v>1</v>
      </c>
    </row>
    <row r="261" spans="1:18" x14ac:dyDescent="0.35">
      <c r="A261" s="2">
        <v>250</v>
      </c>
      <c r="B261" s="4">
        <f t="shared" si="27"/>
        <v>23</v>
      </c>
      <c r="C261" s="4">
        <f t="shared" si="28"/>
        <v>10</v>
      </c>
      <c r="D261" s="4">
        <f t="shared" si="29"/>
        <v>2023</v>
      </c>
      <c r="E261" s="4" t="str">
        <f t="shared" si="30"/>
        <v>Monday</v>
      </c>
      <c r="F261" s="4" t="str">
        <f t="shared" si="31"/>
        <v>October</v>
      </c>
      <c r="G261" s="4" t="str">
        <f t="shared" si="32"/>
        <v>2023</v>
      </c>
      <c r="H261" s="3">
        <v>45222</v>
      </c>
      <c r="I261" s="4" t="s">
        <v>275</v>
      </c>
      <c r="J261" s="4" t="s">
        <v>20</v>
      </c>
      <c r="K261" s="4" t="str" cm="1">
        <f t="array" ref="K261">_xlfn.IFS(L261&gt;50,"Senior", L261&gt;=30,"Adult", L261&lt;30,"Young Adult")</f>
        <v>Adult</v>
      </c>
      <c r="L261" s="4">
        <v>48</v>
      </c>
      <c r="M261" s="4" t="s">
        <v>26</v>
      </c>
      <c r="N261" s="4">
        <v>1</v>
      </c>
      <c r="O261" s="5">
        <v>50</v>
      </c>
      <c r="P261">
        <f t="shared" si="33"/>
        <v>50</v>
      </c>
      <c r="Q261" s="14">
        <f t="shared" si="34"/>
        <v>0.75</v>
      </c>
      <c r="R261" s="14">
        <f t="shared" si="35"/>
        <v>1</v>
      </c>
    </row>
    <row r="262" spans="1:18" x14ac:dyDescent="0.35">
      <c r="A262" s="2">
        <v>251</v>
      </c>
      <c r="B262" s="4">
        <f t="shared" si="27"/>
        <v>31</v>
      </c>
      <c r="C262" s="4">
        <f t="shared" si="28"/>
        <v>8</v>
      </c>
      <c r="D262" s="4">
        <f t="shared" si="29"/>
        <v>2023</v>
      </c>
      <c r="E262" s="4" t="str">
        <f t="shared" si="30"/>
        <v>Thursday</v>
      </c>
      <c r="F262" s="4" t="str">
        <f t="shared" si="31"/>
        <v>August</v>
      </c>
      <c r="G262" s="4" t="str">
        <f t="shared" si="32"/>
        <v>2023</v>
      </c>
      <c r="H262" s="3">
        <v>45169</v>
      </c>
      <c r="I262" s="4" t="s">
        <v>276</v>
      </c>
      <c r="J262" s="4" t="s">
        <v>23</v>
      </c>
      <c r="K262" s="4" t="str" cm="1">
        <f t="array" ref="K262">_xlfn.IFS(L262&gt;50,"Senior", L262&gt;=30,"Adult", L262&lt;30,"Young Adult")</f>
        <v>Senior</v>
      </c>
      <c r="L262" s="4">
        <v>57</v>
      </c>
      <c r="M262" s="4" t="s">
        <v>21</v>
      </c>
      <c r="N262" s="4">
        <v>4</v>
      </c>
      <c r="O262" s="5">
        <v>50</v>
      </c>
      <c r="P262">
        <f t="shared" si="33"/>
        <v>200</v>
      </c>
      <c r="Q262" s="14">
        <f t="shared" si="34"/>
        <v>3</v>
      </c>
      <c r="R262" s="14">
        <f t="shared" si="35"/>
        <v>4</v>
      </c>
    </row>
    <row r="263" spans="1:18" x14ac:dyDescent="0.35">
      <c r="A263" s="2">
        <v>252</v>
      </c>
      <c r="B263" s="4">
        <f t="shared" si="27"/>
        <v>5</v>
      </c>
      <c r="C263" s="4">
        <f t="shared" si="28"/>
        <v>5</v>
      </c>
      <c r="D263" s="4">
        <f t="shared" si="29"/>
        <v>2023</v>
      </c>
      <c r="E263" s="4" t="str">
        <f t="shared" si="30"/>
        <v>Friday</v>
      </c>
      <c r="F263" s="4" t="str">
        <f t="shared" si="31"/>
        <v>May</v>
      </c>
      <c r="G263" s="4" t="str">
        <f t="shared" si="32"/>
        <v>2023</v>
      </c>
      <c r="H263" s="3">
        <v>45051</v>
      </c>
      <c r="I263" s="4" t="s">
        <v>277</v>
      </c>
      <c r="J263" s="4" t="s">
        <v>20</v>
      </c>
      <c r="K263" s="4" t="str" cm="1">
        <f t="array" ref="K263">_xlfn.IFS(L263&gt;50,"Senior", L263&gt;=30,"Adult", L263&lt;30,"Young Adult")</f>
        <v>Senior</v>
      </c>
      <c r="L263" s="4">
        <v>54</v>
      </c>
      <c r="M263" s="4" t="s">
        <v>26</v>
      </c>
      <c r="N263" s="4">
        <v>1</v>
      </c>
      <c r="O263" s="5">
        <v>300</v>
      </c>
      <c r="P263">
        <f t="shared" si="33"/>
        <v>300</v>
      </c>
      <c r="Q263" s="14">
        <f t="shared" si="34"/>
        <v>4.5</v>
      </c>
      <c r="R263" s="14">
        <f t="shared" si="35"/>
        <v>6</v>
      </c>
    </row>
    <row r="264" spans="1:18" x14ac:dyDescent="0.35">
      <c r="A264" s="2">
        <v>253</v>
      </c>
      <c r="B264" s="4">
        <f t="shared" si="27"/>
        <v>31</v>
      </c>
      <c r="C264" s="4">
        <f t="shared" si="28"/>
        <v>8</v>
      </c>
      <c r="D264" s="4">
        <f t="shared" si="29"/>
        <v>2023</v>
      </c>
      <c r="E264" s="4" t="str">
        <f t="shared" si="30"/>
        <v>Thursday</v>
      </c>
      <c r="F264" s="4" t="str">
        <f t="shared" si="31"/>
        <v>August</v>
      </c>
      <c r="G264" s="4" t="str">
        <f t="shared" si="32"/>
        <v>2023</v>
      </c>
      <c r="H264" s="3">
        <v>45169</v>
      </c>
      <c r="I264" s="4" t="s">
        <v>278</v>
      </c>
      <c r="J264" s="4" t="s">
        <v>23</v>
      </c>
      <c r="K264" s="4" t="str" cm="1">
        <f t="array" ref="K264">_xlfn.IFS(L264&gt;50,"Senior", L264&gt;=30,"Adult", L264&lt;30,"Young Adult")</f>
        <v>Senior</v>
      </c>
      <c r="L264" s="4">
        <v>53</v>
      </c>
      <c r="M264" s="4" t="s">
        <v>24</v>
      </c>
      <c r="N264" s="4">
        <v>4</v>
      </c>
      <c r="O264" s="5">
        <v>500</v>
      </c>
      <c r="P264">
        <f t="shared" si="33"/>
        <v>2000</v>
      </c>
      <c r="Q264" s="14">
        <f t="shared" si="34"/>
        <v>30</v>
      </c>
      <c r="R264" s="14">
        <f t="shared" si="35"/>
        <v>40</v>
      </c>
    </row>
    <row r="265" spans="1:18" x14ac:dyDescent="0.35">
      <c r="A265" s="2">
        <v>254</v>
      </c>
      <c r="B265" s="4">
        <f t="shared" si="27"/>
        <v>28</v>
      </c>
      <c r="C265" s="4">
        <f t="shared" si="28"/>
        <v>7</v>
      </c>
      <c r="D265" s="4">
        <f t="shared" si="29"/>
        <v>2023</v>
      </c>
      <c r="E265" s="4" t="str">
        <f t="shared" si="30"/>
        <v>Friday</v>
      </c>
      <c r="F265" s="4" t="str">
        <f t="shared" si="31"/>
        <v>July</v>
      </c>
      <c r="G265" s="4" t="str">
        <f t="shared" si="32"/>
        <v>2023</v>
      </c>
      <c r="H265" s="3">
        <v>45135</v>
      </c>
      <c r="I265" s="4" t="s">
        <v>279</v>
      </c>
      <c r="J265" s="4" t="s">
        <v>20</v>
      </c>
      <c r="K265" s="4" t="str" cm="1">
        <f t="array" ref="K265">_xlfn.IFS(L265&gt;50,"Senior", L265&gt;=30,"Adult", L265&lt;30,"Young Adult")</f>
        <v>Adult</v>
      </c>
      <c r="L265" s="4">
        <v>41</v>
      </c>
      <c r="M265" s="4" t="s">
        <v>26</v>
      </c>
      <c r="N265" s="4">
        <v>1</v>
      </c>
      <c r="O265" s="5">
        <v>500</v>
      </c>
      <c r="P265">
        <f t="shared" si="33"/>
        <v>500</v>
      </c>
      <c r="Q265" s="14">
        <f t="shared" si="34"/>
        <v>7.5</v>
      </c>
      <c r="R265" s="14">
        <f t="shared" si="35"/>
        <v>10</v>
      </c>
    </row>
    <row r="266" spans="1:18" x14ac:dyDescent="0.35">
      <c r="A266" s="2">
        <v>255</v>
      </c>
      <c r="B266" s="4">
        <f t="shared" si="27"/>
        <v>8</v>
      </c>
      <c r="C266" s="4">
        <f t="shared" si="28"/>
        <v>4</v>
      </c>
      <c r="D266" s="4">
        <f t="shared" si="29"/>
        <v>2023</v>
      </c>
      <c r="E266" s="4" t="str">
        <f t="shared" si="30"/>
        <v>Saturday</v>
      </c>
      <c r="F266" s="4" t="str">
        <f t="shared" si="31"/>
        <v>April</v>
      </c>
      <c r="G266" s="4" t="str">
        <f t="shared" si="32"/>
        <v>2023</v>
      </c>
      <c r="H266" s="3">
        <v>45024</v>
      </c>
      <c r="I266" s="4" t="s">
        <v>280</v>
      </c>
      <c r="J266" s="4" t="s">
        <v>20</v>
      </c>
      <c r="K266" s="4" t="str" cm="1">
        <f t="array" ref="K266">_xlfn.IFS(L266&gt;50,"Senior", L266&gt;=30,"Adult", L266&lt;30,"Young Adult")</f>
        <v>Adult</v>
      </c>
      <c r="L266" s="4">
        <v>48</v>
      </c>
      <c r="M266" s="4" t="s">
        <v>24</v>
      </c>
      <c r="N266" s="4">
        <v>1</v>
      </c>
      <c r="O266" s="5">
        <v>30</v>
      </c>
      <c r="P266">
        <f t="shared" si="33"/>
        <v>30</v>
      </c>
      <c r="Q266" s="14">
        <f t="shared" si="34"/>
        <v>0.44999999999999996</v>
      </c>
      <c r="R266" s="14">
        <f t="shared" si="35"/>
        <v>0.6</v>
      </c>
    </row>
    <row r="267" spans="1:18" x14ac:dyDescent="0.35">
      <c r="A267" s="2">
        <v>256</v>
      </c>
      <c r="B267" s="4">
        <f t="shared" si="27"/>
        <v>18</v>
      </c>
      <c r="C267" s="4">
        <f t="shared" si="28"/>
        <v>2</v>
      </c>
      <c r="D267" s="4">
        <f t="shared" si="29"/>
        <v>2023</v>
      </c>
      <c r="E267" s="4" t="str">
        <f t="shared" si="30"/>
        <v>Saturday</v>
      </c>
      <c r="F267" s="4" t="str">
        <f t="shared" si="31"/>
        <v>February</v>
      </c>
      <c r="G267" s="4" t="str">
        <f t="shared" si="32"/>
        <v>2023</v>
      </c>
      <c r="H267" s="3">
        <v>44975</v>
      </c>
      <c r="I267" s="4" t="s">
        <v>281</v>
      </c>
      <c r="J267" s="4" t="s">
        <v>20</v>
      </c>
      <c r="K267" s="4" t="str" cm="1">
        <f t="array" ref="K267">_xlfn.IFS(L267&gt;50,"Senior", L267&gt;=30,"Adult", L267&lt;30,"Young Adult")</f>
        <v>Young Adult</v>
      </c>
      <c r="L267" s="4">
        <v>23</v>
      </c>
      <c r="M267" s="4" t="s">
        <v>24</v>
      </c>
      <c r="N267" s="4">
        <v>2</v>
      </c>
      <c r="O267" s="5">
        <v>500</v>
      </c>
      <c r="P267">
        <f t="shared" si="33"/>
        <v>1000</v>
      </c>
      <c r="Q267" s="14">
        <f t="shared" si="34"/>
        <v>15</v>
      </c>
      <c r="R267" s="14">
        <f t="shared" si="35"/>
        <v>20</v>
      </c>
    </row>
    <row r="268" spans="1:18" x14ac:dyDescent="0.35">
      <c r="A268" s="2">
        <v>257</v>
      </c>
      <c r="B268" s="4">
        <f t="shared" ref="B268:B331" si="36">DAY(H268)</f>
        <v>19</v>
      </c>
      <c r="C268" s="4">
        <f t="shared" ref="C268:C331" si="37">MONTH(H268)</f>
        <v>2</v>
      </c>
      <c r="D268" s="4">
        <f t="shared" ref="D268:D331" si="38">YEAR(H268)</f>
        <v>2023</v>
      </c>
      <c r="E268" s="4" t="str">
        <f t="shared" ref="E268:E331" si="39">TEXT(H268,"DDDD")</f>
        <v>Sunday</v>
      </c>
      <c r="F268" s="4" t="str">
        <f t="shared" ref="F268:F331" si="40">TEXT(H268,"MMMM")</f>
        <v>February</v>
      </c>
      <c r="G268" s="4" t="str">
        <f t="shared" ref="G268:G331" si="41">TEXT(H268,"YYYY")</f>
        <v>2023</v>
      </c>
      <c r="H268" s="3">
        <v>44976</v>
      </c>
      <c r="I268" s="4" t="s">
        <v>282</v>
      </c>
      <c r="J268" s="4" t="s">
        <v>20</v>
      </c>
      <c r="K268" s="4" t="str" cm="1">
        <f t="array" ref="K268">_xlfn.IFS(L268&gt;50,"Senior", L268&gt;=30,"Adult", L268&lt;30,"Young Adult")</f>
        <v>Young Adult</v>
      </c>
      <c r="L268" s="4">
        <v>19</v>
      </c>
      <c r="M268" s="4" t="s">
        <v>21</v>
      </c>
      <c r="N268" s="4">
        <v>4</v>
      </c>
      <c r="O268" s="5">
        <v>500</v>
      </c>
      <c r="P268">
        <f t="shared" ref="P268:P331" si="42">O268*N268</f>
        <v>2000</v>
      </c>
      <c r="Q268" s="14">
        <f t="shared" si="34"/>
        <v>30</v>
      </c>
      <c r="R268" s="14">
        <f t="shared" si="35"/>
        <v>40</v>
      </c>
    </row>
    <row r="269" spans="1:18" x14ac:dyDescent="0.35">
      <c r="A269" s="2">
        <v>258</v>
      </c>
      <c r="B269" s="4">
        <f t="shared" si="36"/>
        <v>4</v>
      </c>
      <c r="C269" s="4">
        <f t="shared" si="37"/>
        <v>12</v>
      </c>
      <c r="D269" s="4">
        <f t="shared" si="38"/>
        <v>2023</v>
      </c>
      <c r="E269" s="4" t="str">
        <f t="shared" si="39"/>
        <v>Monday</v>
      </c>
      <c r="F269" s="4" t="str">
        <f t="shared" si="40"/>
        <v>December</v>
      </c>
      <c r="G269" s="4" t="str">
        <f t="shared" si="41"/>
        <v>2023</v>
      </c>
      <c r="H269" s="3">
        <v>45264</v>
      </c>
      <c r="I269" s="4" t="s">
        <v>283</v>
      </c>
      <c r="J269" s="4" t="s">
        <v>23</v>
      </c>
      <c r="K269" s="4" t="str" cm="1">
        <f t="array" ref="K269">_xlfn.IFS(L269&gt;50,"Senior", L269&gt;=30,"Adult", L269&lt;30,"Young Adult")</f>
        <v>Adult</v>
      </c>
      <c r="L269" s="4">
        <v>37</v>
      </c>
      <c r="M269" s="4" t="s">
        <v>24</v>
      </c>
      <c r="N269" s="4">
        <v>1</v>
      </c>
      <c r="O269" s="5">
        <v>50</v>
      </c>
      <c r="P269">
        <f t="shared" si="42"/>
        <v>50</v>
      </c>
      <c r="Q269" s="14">
        <f t="shared" ref="Q269:Q332" si="43">P269*$I$4</f>
        <v>0.75</v>
      </c>
      <c r="R269" s="14">
        <f t="shared" ref="R269:R332" si="44">P269*$I$5</f>
        <v>1</v>
      </c>
    </row>
    <row r="270" spans="1:18" x14ac:dyDescent="0.35">
      <c r="A270" s="2">
        <v>259</v>
      </c>
      <c r="B270" s="4">
        <f t="shared" si="36"/>
        <v>9</v>
      </c>
      <c r="C270" s="4">
        <f t="shared" si="37"/>
        <v>8</v>
      </c>
      <c r="D270" s="4">
        <f t="shared" si="38"/>
        <v>2023</v>
      </c>
      <c r="E270" s="4" t="str">
        <f t="shared" si="39"/>
        <v>Wednesday</v>
      </c>
      <c r="F270" s="4" t="str">
        <f t="shared" si="40"/>
        <v>August</v>
      </c>
      <c r="G270" s="4" t="str">
        <f t="shared" si="41"/>
        <v>2023</v>
      </c>
      <c r="H270" s="3">
        <v>45147</v>
      </c>
      <c r="I270" s="4" t="s">
        <v>284</v>
      </c>
      <c r="J270" s="4" t="s">
        <v>23</v>
      </c>
      <c r="K270" s="4" t="str" cm="1">
        <f t="array" ref="K270">_xlfn.IFS(L270&gt;50,"Senior", L270&gt;=30,"Adult", L270&lt;30,"Young Adult")</f>
        <v>Adult</v>
      </c>
      <c r="L270" s="4">
        <v>45</v>
      </c>
      <c r="M270" s="4" t="s">
        <v>24</v>
      </c>
      <c r="N270" s="4">
        <v>4</v>
      </c>
      <c r="O270" s="5">
        <v>50</v>
      </c>
      <c r="P270">
        <f t="shared" si="42"/>
        <v>200</v>
      </c>
      <c r="Q270" s="14">
        <f t="shared" si="43"/>
        <v>3</v>
      </c>
      <c r="R270" s="14">
        <f t="shared" si="44"/>
        <v>4</v>
      </c>
    </row>
    <row r="271" spans="1:18" x14ac:dyDescent="0.35">
      <c r="A271" s="2">
        <v>260</v>
      </c>
      <c r="B271" s="4">
        <f t="shared" si="36"/>
        <v>1</v>
      </c>
      <c r="C271" s="4">
        <f t="shared" si="37"/>
        <v>7</v>
      </c>
      <c r="D271" s="4">
        <f t="shared" si="38"/>
        <v>2023</v>
      </c>
      <c r="E271" s="4" t="str">
        <f t="shared" si="39"/>
        <v>Saturday</v>
      </c>
      <c r="F271" s="4" t="str">
        <f t="shared" si="40"/>
        <v>July</v>
      </c>
      <c r="G271" s="4" t="str">
        <f t="shared" si="41"/>
        <v>2023</v>
      </c>
      <c r="H271" s="3">
        <v>45108</v>
      </c>
      <c r="I271" s="4" t="s">
        <v>285</v>
      </c>
      <c r="J271" s="4" t="s">
        <v>20</v>
      </c>
      <c r="K271" s="4" t="str" cm="1">
        <f t="array" ref="K271">_xlfn.IFS(L271&gt;50,"Senior", L271&gt;=30,"Adult", L271&lt;30,"Young Adult")</f>
        <v>Young Adult</v>
      </c>
      <c r="L271" s="4">
        <v>28</v>
      </c>
      <c r="M271" s="4" t="s">
        <v>21</v>
      </c>
      <c r="N271" s="4">
        <v>2</v>
      </c>
      <c r="O271" s="5">
        <v>30</v>
      </c>
      <c r="P271">
        <f t="shared" si="42"/>
        <v>60</v>
      </c>
      <c r="Q271" s="14">
        <f t="shared" si="43"/>
        <v>0.89999999999999991</v>
      </c>
      <c r="R271" s="14">
        <f t="shared" si="44"/>
        <v>1.2</v>
      </c>
    </row>
    <row r="272" spans="1:18" x14ac:dyDescent="0.35">
      <c r="A272" s="2">
        <v>261</v>
      </c>
      <c r="B272" s="4">
        <f t="shared" si="36"/>
        <v>5</v>
      </c>
      <c r="C272" s="4">
        <f t="shared" si="37"/>
        <v>8</v>
      </c>
      <c r="D272" s="4">
        <f t="shared" si="38"/>
        <v>2023</v>
      </c>
      <c r="E272" s="4" t="str">
        <f t="shared" si="39"/>
        <v>Saturday</v>
      </c>
      <c r="F272" s="4" t="str">
        <f t="shared" si="40"/>
        <v>August</v>
      </c>
      <c r="G272" s="4" t="str">
        <f t="shared" si="41"/>
        <v>2023</v>
      </c>
      <c r="H272" s="3">
        <v>45143</v>
      </c>
      <c r="I272" s="4" t="s">
        <v>286</v>
      </c>
      <c r="J272" s="4" t="s">
        <v>20</v>
      </c>
      <c r="K272" s="4" t="str" cm="1">
        <f t="array" ref="K272">_xlfn.IFS(L272&gt;50,"Senior", L272&gt;=30,"Adult", L272&lt;30,"Young Adult")</f>
        <v>Young Adult</v>
      </c>
      <c r="L272" s="4">
        <v>21</v>
      </c>
      <c r="M272" s="4" t="s">
        <v>24</v>
      </c>
      <c r="N272" s="4">
        <v>2</v>
      </c>
      <c r="O272" s="5">
        <v>25</v>
      </c>
      <c r="P272">
        <f t="shared" si="42"/>
        <v>50</v>
      </c>
      <c r="Q272" s="14">
        <f t="shared" si="43"/>
        <v>0.75</v>
      </c>
      <c r="R272" s="14">
        <f t="shared" si="44"/>
        <v>1</v>
      </c>
    </row>
    <row r="273" spans="1:18" x14ac:dyDescent="0.35">
      <c r="A273" s="2">
        <v>262</v>
      </c>
      <c r="B273" s="4">
        <f t="shared" si="36"/>
        <v>30</v>
      </c>
      <c r="C273" s="4">
        <f t="shared" si="37"/>
        <v>7</v>
      </c>
      <c r="D273" s="4">
        <f t="shared" si="38"/>
        <v>2023</v>
      </c>
      <c r="E273" s="4" t="str">
        <f t="shared" si="39"/>
        <v>Sunday</v>
      </c>
      <c r="F273" s="4" t="str">
        <f t="shared" si="40"/>
        <v>July</v>
      </c>
      <c r="G273" s="4" t="str">
        <f t="shared" si="41"/>
        <v>2023</v>
      </c>
      <c r="H273" s="3">
        <v>45137</v>
      </c>
      <c r="I273" s="4" t="s">
        <v>287</v>
      </c>
      <c r="J273" s="4" t="s">
        <v>23</v>
      </c>
      <c r="K273" s="4" t="str" cm="1">
        <f t="array" ref="K273">_xlfn.IFS(L273&gt;50,"Senior", L273&gt;=30,"Adult", L273&lt;30,"Young Adult")</f>
        <v>Adult</v>
      </c>
      <c r="L273" s="4">
        <v>32</v>
      </c>
      <c r="M273" s="4" t="s">
        <v>21</v>
      </c>
      <c r="N273" s="4">
        <v>4</v>
      </c>
      <c r="O273" s="5">
        <v>30</v>
      </c>
      <c r="P273">
        <f t="shared" si="42"/>
        <v>120</v>
      </c>
      <c r="Q273" s="14">
        <f t="shared" si="43"/>
        <v>1.7999999999999998</v>
      </c>
      <c r="R273" s="14">
        <f t="shared" si="44"/>
        <v>2.4</v>
      </c>
    </row>
    <row r="274" spans="1:18" x14ac:dyDescent="0.35">
      <c r="A274" s="2">
        <v>263</v>
      </c>
      <c r="B274" s="4">
        <f t="shared" si="36"/>
        <v>28</v>
      </c>
      <c r="C274" s="4">
        <f t="shared" si="37"/>
        <v>8</v>
      </c>
      <c r="D274" s="4">
        <f t="shared" si="38"/>
        <v>2023</v>
      </c>
      <c r="E274" s="4" t="str">
        <f t="shared" si="39"/>
        <v>Monday</v>
      </c>
      <c r="F274" s="4" t="str">
        <f t="shared" si="40"/>
        <v>August</v>
      </c>
      <c r="G274" s="4" t="str">
        <f t="shared" si="41"/>
        <v>2023</v>
      </c>
      <c r="H274" s="3">
        <v>45166</v>
      </c>
      <c r="I274" s="4" t="s">
        <v>288</v>
      </c>
      <c r="J274" s="4" t="s">
        <v>20</v>
      </c>
      <c r="K274" s="4" t="str" cm="1">
        <f t="array" ref="K274">_xlfn.IFS(L274&gt;50,"Senior", L274&gt;=30,"Adult", L274&lt;30,"Young Adult")</f>
        <v>Young Adult</v>
      </c>
      <c r="L274" s="4">
        <v>23</v>
      </c>
      <c r="M274" s="4" t="s">
        <v>21</v>
      </c>
      <c r="N274" s="4">
        <v>2</v>
      </c>
      <c r="O274" s="5">
        <v>30</v>
      </c>
      <c r="P274">
        <f t="shared" si="42"/>
        <v>60</v>
      </c>
      <c r="Q274" s="14">
        <f t="shared" si="43"/>
        <v>0.89999999999999991</v>
      </c>
      <c r="R274" s="14">
        <f t="shared" si="44"/>
        <v>1.2</v>
      </c>
    </row>
    <row r="275" spans="1:18" x14ac:dyDescent="0.35">
      <c r="A275" s="2">
        <v>264</v>
      </c>
      <c r="B275" s="4">
        <f t="shared" si="36"/>
        <v>28</v>
      </c>
      <c r="C275" s="4">
        <f t="shared" si="37"/>
        <v>1</v>
      </c>
      <c r="D275" s="4">
        <f t="shared" si="38"/>
        <v>2023</v>
      </c>
      <c r="E275" s="4" t="str">
        <f t="shared" si="39"/>
        <v>Saturday</v>
      </c>
      <c r="F275" s="4" t="str">
        <f t="shared" si="40"/>
        <v>January</v>
      </c>
      <c r="G275" s="4" t="str">
        <f t="shared" si="41"/>
        <v>2023</v>
      </c>
      <c r="H275" s="3">
        <v>44954</v>
      </c>
      <c r="I275" s="4" t="s">
        <v>289</v>
      </c>
      <c r="J275" s="4" t="s">
        <v>20</v>
      </c>
      <c r="K275" s="4" t="str" cm="1">
        <f t="array" ref="K275">_xlfn.IFS(L275&gt;50,"Senior", L275&gt;=30,"Adult", L275&lt;30,"Young Adult")</f>
        <v>Adult</v>
      </c>
      <c r="L275" s="4">
        <v>47</v>
      </c>
      <c r="M275" s="4" t="s">
        <v>24</v>
      </c>
      <c r="N275" s="4">
        <v>3</v>
      </c>
      <c r="O275" s="5">
        <v>300</v>
      </c>
      <c r="P275">
        <f t="shared" si="42"/>
        <v>900</v>
      </c>
      <c r="Q275" s="14">
        <f t="shared" si="43"/>
        <v>13.5</v>
      </c>
      <c r="R275" s="14">
        <f t="shared" si="44"/>
        <v>18</v>
      </c>
    </row>
    <row r="276" spans="1:18" x14ac:dyDescent="0.35">
      <c r="A276" s="2">
        <v>265</v>
      </c>
      <c r="B276" s="4">
        <f t="shared" si="36"/>
        <v>11</v>
      </c>
      <c r="C276" s="4">
        <f t="shared" si="37"/>
        <v>12</v>
      </c>
      <c r="D276" s="4">
        <f t="shared" si="38"/>
        <v>2023</v>
      </c>
      <c r="E276" s="4" t="str">
        <f t="shared" si="39"/>
        <v>Monday</v>
      </c>
      <c r="F276" s="4" t="str">
        <f t="shared" si="40"/>
        <v>December</v>
      </c>
      <c r="G276" s="4" t="str">
        <f t="shared" si="41"/>
        <v>2023</v>
      </c>
      <c r="H276" s="3">
        <v>45271</v>
      </c>
      <c r="I276" s="4" t="s">
        <v>290</v>
      </c>
      <c r="J276" s="4" t="s">
        <v>20</v>
      </c>
      <c r="K276" s="4" t="str" cm="1">
        <f t="array" ref="K276">_xlfn.IFS(L276&gt;50,"Senior", L276&gt;=30,"Adult", L276&lt;30,"Young Adult")</f>
        <v>Senior</v>
      </c>
      <c r="L276" s="4">
        <v>55</v>
      </c>
      <c r="M276" s="4" t="s">
        <v>24</v>
      </c>
      <c r="N276" s="4">
        <v>3</v>
      </c>
      <c r="O276" s="5">
        <v>300</v>
      </c>
      <c r="P276">
        <f t="shared" si="42"/>
        <v>900</v>
      </c>
      <c r="Q276" s="14">
        <f t="shared" si="43"/>
        <v>13.5</v>
      </c>
      <c r="R276" s="14">
        <f t="shared" si="44"/>
        <v>18</v>
      </c>
    </row>
    <row r="277" spans="1:18" x14ac:dyDescent="0.35">
      <c r="A277" s="2">
        <v>266</v>
      </c>
      <c r="B277" s="4">
        <f t="shared" si="36"/>
        <v>1</v>
      </c>
      <c r="C277" s="4">
        <f t="shared" si="37"/>
        <v>12</v>
      </c>
      <c r="D277" s="4">
        <f t="shared" si="38"/>
        <v>2023</v>
      </c>
      <c r="E277" s="4" t="str">
        <f t="shared" si="39"/>
        <v>Friday</v>
      </c>
      <c r="F277" s="4" t="str">
        <f t="shared" si="40"/>
        <v>December</v>
      </c>
      <c r="G277" s="4" t="str">
        <f t="shared" si="41"/>
        <v>2023</v>
      </c>
      <c r="H277" s="3">
        <v>45261</v>
      </c>
      <c r="I277" s="4" t="s">
        <v>291</v>
      </c>
      <c r="J277" s="4" t="s">
        <v>23</v>
      </c>
      <c r="K277" s="4" t="str" cm="1">
        <f t="array" ref="K277">_xlfn.IFS(L277&gt;50,"Senior", L277&gt;=30,"Adult", L277&lt;30,"Young Adult")</f>
        <v>Young Adult</v>
      </c>
      <c r="L277" s="4">
        <v>19</v>
      </c>
      <c r="M277" s="4" t="s">
        <v>26</v>
      </c>
      <c r="N277" s="4">
        <v>2</v>
      </c>
      <c r="O277" s="5">
        <v>30</v>
      </c>
      <c r="P277">
        <f t="shared" si="42"/>
        <v>60</v>
      </c>
      <c r="Q277" s="14">
        <f t="shared" si="43"/>
        <v>0.89999999999999991</v>
      </c>
      <c r="R277" s="14">
        <f t="shared" si="44"/>
        <v>1.2</v>
      </c>
    </row>
    <row r="278" spans="1:18" x14ac:dyDescent="0.35">
      <c r="A278" s="2">
        <v>267</v>
      </c>
      <c r="B278" s="4">
        <f t="shared" si="36"/>
        <v>27</v>
      </c>
      <c r="C278" s="4">
        <f t="shared" si="37"/>
        <v>11</v>
      </c>
      <c r="D278" s="4">
        <f t="shared" si="38"/>
        <v>2023</v>
      </c>
      <c r="E278" s="4" t="str">
        <f t="shared" si="39"/>
        <v>Monday</v>
      </c>
      <c r="F278" s="4" t="str">
        <f t="shared" si="40"/>
        <v>November</v>
      </c>
      <c r="G278" s="4" t="str">
        <f t="shared" si="41"/>
        <v>2023</v>
      </c>
      <c r="H278" s="3">
        <v>45257</v>
      </c>
      <c r="I278" s="4" t="s">
        <v>292</v>
      </c>
      <c r="J278" s="4" t="s">
        <v>23</v>
      </c>
      <c r="K278" s="4" t="str" cm="1">
        <f t="array" ref="K278">_xlfn.IFS(L278&gt;50,"Senior", L278&gt;=30,"Adult", L278&lt;30,"Young Adult")</f>
        <v>Adult</v>
      </c>
      <c r="L278" s="4">
        <v>32</v>
      </c>
      <c r="M278" s="4" t="s">
        <v>21</v>
      </c>
      <c r="N278" s="4">
        <v>3</v>
      </c>
      <c r="O278" s="5">
        <v>30</v>
      </c>
      <c r="P278">
        <f t="shared" si="42"/>
        <v>90</v>
      </c>
      <c r="Q278" s="14">
        <f t="shared" si="43"/>
        <v>1.3499999999999999</v>
      </c>
      <c r="R278" s="14">
        <f t="shared" si="44"/>
        <v>1.8</v>
      </c>
    </row>
    <row r="279" spans="1:18" x14ac:dyDescent="0.35">
      <c r="A279" s="2">
        <v>268</v>
      </c>
      <c r="B279" s="4">
        <f t="shared" si="36"/>
        <v>20</v>
      </c>
      <c r="C279" s="4">
        <f t="shared" si="37"/>
        <v>2</v>
      </c>
      <c r="D279" s="4">
        <f t="shared" si="38"/>
        <v>2023</v>
      </c>
      <c r="E279" s="4" t="str">
        <f t="shared" si="39"/>
        <v>Monday</v>
      </c>
      <c r="F279" s="4" t="str">
        <f t="shared" si="40"/>
        <v>February</v>
      </c>
      <c r="G279" s="4" t="str">
        <f t="shared" si="41"/>
        <v>2023</v>
      </c>
      <c r="H279" s="3">
        <v>44977</v>
      </c>
      <c r="I279" s="4" t="s">
        <v>293</v>
      </c>
      <c r="J279" s="4" t="s">
        <v>23</v>
      </c>
      <c r="K279" s="4" t="str" cm="1">
        <f t="array" ref="K279">_xlfn.IFS(L279&gt;50,"Senior", L279&gt;=30,"Adult", L279&lt;30,"Young Adult")</f>
        <v>Young Adult</v>
      </c>
      <c r="L279" s="4">
        <v>28</v>
      </c>
      <c r="M279" s="4" t="s">
        <v>26</v>
      </c>
      <c r="N279" s="4">
        <v>1</v>
      </c>
      <c r="O279" s="5">
        <v>30</v>
      </c>
      <c r="P279">
        <f t="shared" si="42"/>
        <v>30</v>
      </c>
      <c r="Q279" s="14">
        <f t="shared" si="43"/>
        <v>0.44999999999999996</v>
      </c>
      <c r="R279" s="14">
        <f t="shared" si="44"/>
        <v>0.6</v>
      </c>
    </row>
    <row r="280" spans="1:18" x14ac:dyDescent="0.35">
      <c r="A280" s="2">
        <v>269</v>
      </c>
      <c r="B280" s="4">
        <f t="shared" si="36"/>
        <v>1</v>
      </c>
      <c r="C280" s="4">
        <f t="shared" si="37"/>
        <v>2</v>
      </c>
      <c r="D280" s="4">
        <f t="shared" si="38"/>
        <v>2023</v>
      </c>
      <c r="E280" s="4" t="str">
        <f t="shared" si="39"/>
        <v>Wednesday</v>
      </c>
      <c r="F280" s="4" t="str">
        <f t="shared" si="40"/>
        <v>February</v>
      </c>
      <c r="G280" s="4" t="str">
        <f t="shared" si="41"/>
        <v>2023</v>
      </c>
      <c r="H280" s="3">
        <v>44958</v>
      </c>
      <c r="I280" s="4" t="s">
        <v>294</v>
      </c>
      <c r="J280" s="4" t="s">
        <v>20</v>
      </c>
      <c r="K280" s="4" t="str" cm="1">
        <f t="array" ref="K280">_xlfn.IFS(L280&gt;50,"Senior", L280&gt;=30,"Adult", L280&lt;30,"Young Adult")</f>
        <v>Young Adult</v>
      </c>
      <c r="L280" s="4">
        <v>25</v>
      </c>
      <c r="M280" s="4" t="s">
        <v>24</v>
      </c>
      <c r="N280" s="4">
        <v>4</v>
      </c>
      <c r="O280" s="5">
        <v>500</v>
      </c>
      <c r="P280">
        <f t="shared" si="42"/>
        <v>2000</v>
      </c>
      <c r="Q280" s="14">
        <f t="shared" si="43"/>
        <v>30</v>
      </c>
      <c r="R280" s="14">
        <f t="shared" si="44"/>
        <v>40</v>
      </c>
    </row>
    <row r="281" spans="1:18" x14ac:dyDescent="0.35">
      <c r="A281" s="2">
        <v>270</v>
      </c>
      <c r="B281" s="4">
        <f t="shared" si="36"/>
        <v>26</v>
      </c>
      <c r="C281" s="4">
        <f t="shared" si="37"/>
        <v>7</v>
      </c>
      <c r="D281" s="4">
        <f t="shared" si="38"/>
        <v>2023</v>
      </c>
      <c r="E281" s="4" t="str">
        <f t="shared" si="39"/>
        <v>Wednesday</v>
      </c>
      <c r="F281" s="4" t="str">
        <f t="shared" si="40"/>
        <v>July</v>
      </c>
      <c r="G281" s="4" t="str">
        <f t="shared" si="41"/>
        <v>2023</v>
      </c>
      <c r="H281" s="3">
        <v>45133</v>
      </c>
      <c r="I281" s="4" t="s">
        <v>295</v>
      </c>
      <c r="J281" s="4" t="s">
        <v>20</v>
      </c>
      <c r="K281" s="4" t="str" cm="1">
        <f t="array" ref="K281">_xlfn.IFS(L281&gt;50,"Senior", L281&gt;=30,"Adult", L281&lt;30,"Young Adult")</f>
        <v>Adult</v>
      </c>
      <c r="L281" s="4">
        <v>43</v>
      </c>
      <c r="M281" s="4" t="s">
        <v>26</v>
      </c>
      <c r="N281" s="4">
        <v>1</v>
      </c>
      <c r="O281" s="5">
        <v>300</v>
      </c>
      <c r="P281">
        <f t="shared" si="42"/>
        <v>300</v>
      </c>
      <c r="Q281" s="14">
        <f t="shared" si="43"/>
        <v>4.5</v>
      </c>
      <c r="R281" s="14">
        <f t="shared" si="44"/>
        <v>6</v>
      </c>
    </row>
    <row r="282" spans="1:18" x14ac:dyDescent="0.35">
      <c r="A282" s="2">
        <v>271</v>
      </c>
      <c r="B282" s="4">
        <f t="shared" si="36"/>
        <v>23</v>
      </c>
      <c r="C282" s="4">
        <f t="shared" si="37"/>
        <v>6</v>
      </c>
      <c r="D282" s="4">
        <f t="shared" si="38"/>
        <v>2023</v>
      </c>
      <c r="E282" s="4" t="str">
        <f t="shared" si="39"/>
        <v>Friday</v>
      </c>
      <c r="F282" s="4" t="str">
        <f t="shared" si="40"/>
        <v>June</v>
      </c>
      <c r="G282" s="4" t="str">
        <f t="shared" si="41"/>
        <v>2023</v>
      </c>
      <c r="H282" s="3">
        <v>45100</v>
      </c>
      <c r="I282" s="4" t="s">
        <v>296</v>
      </c>
      <c r="J282" s="4" t="s">
        <v>23</v>
      </c>
      <c r="K282" s="4" t="str" cm="1">
        <f t="array" ref="K282">_xlfn.IFS(L282&gt;50,"Senior", L282&gt;=30,"Adult", L282&lt;30,"Young Adult")</f>
        <v>Senior</v>
      </c>
      <c r="L282" s="4">
        <v>62</v>
      </c>
      <c r="M282" s="4" t="s">
        <v>21</v>
      </c>
      <c r="N282" s="4">
        <v>4</v>
      </c>
      <c r="O282" s="5">
        <v>30</v>
      </c>
      <c r="P282">
        <f t="shared" si="42"/>
        <v>120</v>
      </c>
      <c r="Q282" s="14">
        <f t="shared" si="43"/>
        <v>1.7999999999999998</v>
      </c>
      <c r="R282" s="14">
        <f t="shared" si="44"/>
        <v>2.4</v>
      </c>
    </row>
    <row r="283" spans="1:18" x14ac:dyDescent="0.35">
      <c r="A283" s="2">
        <v>272</v>
      </c>
      <c r="B283" s="4">
        <f t="shared" si="36"/>
        <v>25</v>
      </c>
      <c r="C283" s="4">
        <f t="shared" si="37"/>
        <v>2</v>
      </c>
      <c r="D283" s="4">
        <f t="shared" si="38"/>
        <v>2023</v>
      </c>
      <c r="E283" s="4" t="str">
        <f t="shared" si="39"/>
        <v>Saturday</v>
      </c>
      <c r="F283" s="4" t="str">
        <f t="shared" si="40"/>
        <v>February</v>
      </c>
      <c r="G283" s="4" t="str">
        <f t="shared" si="41"/>
        <v>2023</v>
      </c>
      <c r="H283" s="3">
        <v>44982</v>
      </c>
      <c r="I283" s="4" t="s">
        <v>297</v>
      </c>
      <c r="J283" s="4" t="s">
        <v>23</v>
      </c>
      <c r="K283" s="4" t="str" cm="1">
        <f t="array" ref="K283">_xlfn.IFS(L283&gt;50,"Senior", L283&gt;=30,"Adult", L283&lt;30,"Young Adult")</f>
        <v>Senior</v>
      </c>
      <c r="L283" s="4">
        <v>61</v>
      </c>
      <c r="M283" s="4" t="s">
        <v>26</v>
      </c>
      <c r="N283" s="4">
        <v>2</v>
      </c>
      <c r="O283" s="5">
        <v>50</v>
      </c>
      <c r="P283">
        <f t="shared" si="42"/>
        <v>100</v>
      </c>
      <c r="Q283" s="14">
        <f t="shared" si="43"/>
        <v>1.5</v>
      </c>
      <c r="R283" s="14">
        <f t="shared" si="44"/>
        <v>2</v>
      </c>
    </row>
    <row r="284" spans="1:18" x14ac:dyDescent="0.35">
      <c r="A284" s="2">
        <v>273</v>
      </c>
      <c r="B284" s="4">
        <f t="shared" si="36"/>
        <v>8</v>
      </c>
      <c r="C284" s="4">
        <f t="shared" si="37"/>
        <v>5</v>
      </c>
      <c r="D284" s="4">
        <f t="shared" si="38"/>
        <v>2023</v>
      </c>
      <c r="E284" s="4" t="str">
        <f t="shared" si="39"/>
        <v>Monday</v>
      </c>
      <c r="F284" s="4" t="str">
        <f t="shared" si="40"/>
        <v>May</v>
      </c>
      <c r="G284" s="4" t="str">
        <f t="shared" si="41"/>
        <v>2023</v>
      </c>
      <c r="H284" s="3">
        <v>45054</v>
      </c>
      <c r="I284" s="4" t="s">
        <v>298</v>
      </c>
      <c r="J284" s="4" t="s">
        <v>23</v>
      </c>
      <c r="K284" s="4" t="str" cm="1">
        <f t="array" ref="K284">_xlfn.IFS(L284&gt;50,"Senior", L284&gt;=30,"Adult", L284&lt;30,"Young Adult")</f>
        <v>Young Adult</v>
      </c>
      <c r="L284" s="4">
        <v>22</v>
      </c>
      <c r="M284" s="4" t="s">
        <v>21</v>
      </c>
      <c r="N284" s="4">
        <v>1</v>
      </c>
      <c r="O284" s="5">
        <v>50</v>
      </c>
      <c r="P284">
        <f t="shared" si="42"/>
        <v>50</v>
      </c>
      <c r="Q284" s="14">
        <f t="shared" si="43"/>
        <v>0.75</v>
      </c>
      <c r="R284" s="14">
        <f t="shared" si="44"/>
        <v>1</v>
      </c>
    </row>
    <row r="285" spans="1:18" x14ac:dyDescent="0.35">
      <c r="A285" s="2">
        <v>274</v>
      </c>
      <c r="B285" s="4">
        <f t="shared" si="36"/>
        <v>9</v>
      </c>
      <c r="C285" s="4">
        <f t="shared" si="37"/>
        <v>4</v>
      </c>
      <c r="D285" s="4">
        <f t="shared" si="38"/>
        <v>2023</v>
      </c>
      <c r="E285" s="4" t="str">
        <f t="shared" si="39"/>
        <v>Sunday</v>
      </c>
      <c r="F285" s="4" t="str">
        <f t="shared" si="40"/>
        <v>April</v>
      </c>
      <c r="G285" s="4" t="str">
        <f t="shared" si="41"/>
        <v>2023</v>
      </c>
      <c r="H285" s="3">
        <v>45025</v>
      </c>
      <c r="I285" s="4" t="s">
        <v>299</v>
      </c>
      <c r="J285" s="4" t="s">
        <v>23</v>
      </c>
      <c r="K285" s="4" t="str" cm="1">
        <f t="array" ref="K285">_xlfn.IFS(L285&gt;50,"Senior", L285&gt;=30,"Adult", L285&lt;30,"Young Adult")</f>
        <v>Young Adult</v>
      </c>
      <c r="L285" s="4">
        <v>23</v>
      </c>
      <c r="M285" s="4" t="s">
        <v>24</v>
      </c>
      <c r="N285" s="4">
        <v>2</v>
      </c>
      <c r="O285" s="5">
        <v>500</v>
      </c>
      <c r="P285">
        <f t="shared" si="42"/>
        <v>1000</v>
      </c>
      <c r="Q285" s="14">
        <f t="shared" si="43"/>
        <v>15</v>
      </c>
      <c r="R285" s="14">
        <f t="shared" si="44"/>
        <v>20</v>
      </c>
    </row>
    <row r="286" spans="1:18" x14ac:dyDescent="0.35">
      <c r="A286" s="2">
        <v>275</v>
      </c>
      <c r="B286" s="4">
        <f t="shared" si="36"/>
        <v>8</v>
      </c>
      <c r="C286" s="4">
        <f t="shared" si="37"/>
        <v>4</v>
      </c>
      <c r="D286" s="4">
        <f t="shared" si="38"/>
        <v>2023</v>
      </c>
      <c r="E286" s="4" t="str">
        <f t="shared" si="39"/>
        <v>Saturday</v>
      </c>
      <c r="F286" s="4" t="str">
        <f t="shared" si="40"/>
        <v>April</v>
      </c>
      <c r="G286" s="4" t="str">
        <f t="shared" si="41"/>
        <v>2023</v>
      </c>
      <c r="H286" s="3">
        <v>45024</v>
      </c>
      <c r="I286" s="4" t="s">
        <v>300</v>
      </c>
      <c r="J286" s="4" t="s">
        <v>20</v>
      </c>
      <c r="K286" s="4" t="str" cm="1">
        <f t="array" ref="K286">_xlfn.IFS(L286&gt;50,"Senior", L286&gt;=30,"Adult", L286&lt;30,"Young Adult")</f>
        <v>Adult</v>
      </c>
      <c r="L286" s="4">
        <v>43</v>
      </c>
      <c r="M286" s="4" t="s">
        <v>24</v>
      </c>
      <c r="N286" s="4">
        <v>2</v>
      </c>
      <c r="O286" s="5">
        <v>500</v>
      </c>
      <c r="P286">
        <f t="shared" si="42"/>
        <v>1000</v>
      </c>
      <c r="Q286" s="14">
        <f t="shared" si="43"/>
        <v>15</v>
      </c>
      <c r="R286" s="14">
        <f t="shared" si="44"/>
        <v>20</v>
      </c>
    </row>
    <row r="287" spans="1:18" x14ac:dyDescent="0.35">
      <c r="A287" s="2">
        <v>276</v>
      </c>
      <c r="B287" s="4">
        <f t="shared" si="36"/>
        <v>2</v>
      </c>
      <c r="C287" s="4">
        <f t="shared" si="37"/>
        <v>10</v>
      </c>
      <c r="D287" s="4">
        <f t="shared" si="38"/>
        <v>2023</v>
      </c>
      <c r="E287" s="4" t="str">
        <f t="shared" si="39"/>
        <v>Monday</v>
      </c>
      <c r="F287" s="4" t="str">
        <f t="shared" si="40"/>
        <v>October</v>
      </c>
      <c r="G287" s="4" t="str">
        <f t="shared" si="41"/>
        <v>2023</v>
      </c>
      <c r="H287" s="3">
        <v>45201</v>
      </c>
      <c r="I287" s="4" t="s">
        <v>301</v>
      </c>
      <c r="J287" s="4" t="s">
        <v>23</v>
      </c>
      <c r="K287" s="4" t="str" cm="1">
        <f t="array" ref="K287">_xlfn.IFS(L287&gt;50,"Senior", L287&gt;=30,"Adult", L287&lt;30,"Young Adult")</f>
        <v>Young Adult</v>
      </c>
      <c r="L287" s="4">
        <v>21</v>
      </c>
      <c r="M287" s="4" t="s">
        <v>21</v>
      </c>
      <c r="N287" s="4">
        <v>4</v>
      </c>
      <c r="O287" s="5">
        <v>25</v>
      </c>
      <c r="P287">
        <f t="shared" si="42"/>
        <v>100</v>
      </c>
      <c r="Q287" s="14">
        <f t="shared" si="43"/>
        <v>1.5</v>
      </c>
      <c r="R287" s="14">
        <f t="shared" si="44"/>
        <v>2</v>
      </c>
    </row>
    <row r="288" spans="1:18" x14ac:dyDescent="0.35">
      <c r="A288" s="2">
        <v>277</v>
      </c>
      <c r="B288" s="4">
        <f t="shared" si="36"/>
        <v>18</v>
      </c>
      <c r="C288" s="4">
        <f t="shared" si="37"/>
        <v>8</v>
      </c>
      <c r="D288" s="4">
        <f t="shared" si="38"/>
        <v>2023</v>
      </c>
      <c r="E288" s="4" t="str">
        <f t="shared" si="39"/>
        <v>Friday</v>
      </c>
      <c r="F288" s="4" t="str">
        <f t="shared" si="40"/>
        <v>August</v>
      </c>
      <c r="G288" s="4" t="str">
        <f t="shared" si="41"/>
        <v>2023</v>
      </c>
      <c r="H288" s="3">
        <v>45156</v>
      </c>
      <c r="I288" s="4" t="s">
        <v>302</v>
      </c>
      <c r="J288" s="4" t="s">
        <v>20</v>
      </c>
      <c r="K288" s="4" t="str" cm="1">
        <f t="array" ref="K288">_xlfn.IFS(L288&gt;50,"Senior", L288&gt;=30,"Adult", L288&lt;30,"Young Adult")</f>
        <v>Adult</v>
      </c>
      <c r="L288" s="4">
        <v>36</v>
      </c>
      <c r="M288" s="4" t="s">
        <v>24</v>
      </c>
      <c r="N288" s="4">
        <v>4</v>
      </c>
      <c r="O288" s="5">
        <v>25</v>
      </c>
      <c r="P288">
        <f t="shared" si="42"/>
        <v>100</v>
      </c>
      <c r="Q288" s="14">
        <f t="shared" si="43"/>
        <v>1.5</v>
      </c>
      <c r="R288" s="14">
        <f t="shared" si="44"/>
        <v>2</v>
      </c>
    </row>
    <row r="289" spans="1:18" x14ac:dyDescent="0.35">
      <c r="A289" s="2">
        <v>278</v>
      </c>
      <c r="B289" s="4">
        <f t="shared" si="36"/>
        <v>13</v>
      </c>
      <c r="C289" s="4">
        <f t="shared" si="37"/>
        <v>3</v>
      </c>
      <c r="D289" s="4">
        <f t="shared" si="38"/>
        <v>2023</v>
      </c>
      <c r="E289" s="4" t="str">
        <f t="shared" si="39"/>
        <v>Monday</v>
      </c>
      <c r="F289" s="4" t="str">
        <f t="shared" si="40"/>
        <v>March</v>
      </c>
      <c r="G289" s="4" t="str">
        <f t="shared" si="41"/>
        <v>2023</v>
      </c>
      <c r="H289" s="3">
        <v>44998</v>
      </c>
      <c r="I289" s="4" t="s">
        <v>303</v>
      </c>
      <c r="J289" s="4" t="s">
        <v>23</v>
      </c>
      <c r="K289" s="4" t="str" cm="1">
        <f t="array" ref="K289">_xlfn.IFS(L289&gt;50,"Senior", L289&gt;=30,"Adult", L289&lt;30,"Young Adult")</f>
        <v>Adult</v>
      </c>
      <c r="L289" s="4">
        <v>37</v>
      </c>
      <c r="M289" s="4" t="s">
        <v>24</v>
      </c>
      <c r="N289" s="4">
        <v>4</v>
      </c>
      <c r="O289" s="5">
        <v>25</v>
      </c>
      <c r="P289">
        <f t="shared" si="42"/>
        <v>100</v>
      </c>
      <c r="Q289" s="14">
        <f t="shared" si="43"/>
        <v>1.5</v>
      </c>
      <c r="R289" s="14">
        <f t="shared" si="44"/>
        <v>2</v>
      </c>
    </row>
    <row r="290" spans="1:18" x14ac:dyDescent="0.35">
      <c r="A290" s="2">
        <v>279</v>
      </c>
      <c r="B290" s="4">
        <f t="shared" si="36"/>
        <v>5</v>
      </c>
      <c r="C290" s="4">
        <f t="shared" si="37"/>
        <v>8</v>
      </c>
      <c r="D290" s="4">
        <f t="shared" si="38"/>
        <v>2023</v>
      </c>
      <c r="E290" s="4" t="str">
        <f t="shared" si="39"/>
        <v>Saturday</v>
      </c>
      <c r="F290" s="4" t="str">
        <f t="shared" si="40"/>
        <v>August</v>
      </c>
      <c r="G290" s="4" t="str">
        <f t="shared" si="41"/>
        <v>2023</v>
      </c>
      <c r="H290" s="3">
        <v>45143</v>
      </c>
      <c r="I290" s="4" t="s">
        <v>304</v>
      </c>
      <c r="J290" s="4" t="s">
        <v>20</v>
      </c>
      <c r="K290" s="4" t="str" cm="1">
        <f t="array" ref="K290">_xlfn.IFS(L290&gt;50,"Senior", L290&gt;=30,"Adult", L290&lt;30,"Young Adult")</f>
        <v>Adult</v>
      </c>
      <c r="L290" s="4">
        <v>50</v>
      </c>
      <c r="M290" s="4" t="s">
        <v>24</v>
      </c>
      <c r="N290" s="4">
        <v>1</v>
      </c>
      <c r="O290" s="5">
        <v>500</v>
      </c>
      <c r="P290">
        <f t="shared" si="42"/>
        <v>500</v>
      </c>
      <c r="Q290" s="14">
        <f t="shared" si="43"/>
        <v>7.5</v>
      </c>
      <c r="R290" s="14">
        <f t="shared" si="44"/>
        <v>10</v>
      </c>
    </row>
    <row r="291" spans="1:18" x14ac:dyDescent="0.35">
      <c r="A291" s="2">
        <v>280</v>
      </c>
      <c r="B291" s="4">
        <f t="shared" si="36"/>
        <v>4</v>
      </c>
      <c r="C291" s="4">
        <f t="shared" si="37"/>
        <v>4</v>
      </c>
      <c r="D291" s="4">
        <f t="shared" si="38"/>
        <v>2023</v>
      </c>
      <c r="E291" s="4" t="str">
        <f t="shared" si="39"/>
        <v>Tuesday</v>
      </c>
      <c r="F291" s="4" t="str">
        <f t="shared" si="40"/>
        <v>April</v>
      </c>
      <c r="G291" s="4" t="str">
        <f t="shared" si="41"/>
        <v>2023</v>
      </c>
      <c r="H291" s="3">
        <v>45020</v>
      </c>
      <c r="I291" s="4" t="s">
        <v>305</v>
      </c>
      <c r="J291" s="4" t="s">
        <v>23</v>
      </c>
      <c r="K291" s="4" t="str" cm="1">
        <f t="array" ref="K291">_xlfn.IFS(L291&gt;50,"Senior", L291&gt;=30,"Adult", L291&lt;30,"Young Adult")</f>
        <v>Adult</v>
      </c>
      <c r="L291" s="4">
        <v>37</v>
      </c>
      <c r="M291" s="4" t="s">
        <v>24</v>
      </c>
      <c r="N291" s="4">
        <v>3</v>
      </c>
      <c r="O291" s="5">
        <v>500</v>
      </c>
      <c r="P291">
        <f t="shared" si="42"/>
        <v>1500</v>
      </c>
      <c r="Q291" s="14">
        <f t="shared" si="43"/>
        <v>22.5</v>
      </c>
      <c r="R291" s="14">
        <f t="shared" si="44"/>
        <v>30</v>
      </c>
    </row>
    <row r="292" spans="1:18" x14ac:dyDescent="0.35">
      <c r="A292" s="2">
        <v>281</v>
      </c>
      <c r="B292" s="4">
        <f t="shared" si="36"/>
        <v>23</v>
      </c>
      <c r="C292" s="4">
        <f t="shared" si="37"/>
        <v>5</v>
      </c>
      <c r="D292" s="4">
        <f t="shared" si="38"/>
        <v>2023</v>
      </c>
      <c r="E292" s="4" t="str">
        <f t="shared" si="39"/>
        <v>Tuesday</v>
      </c>
      <c r="F292" s="4" t="str">
        <f t="shared" si="40"/>
        <v>May</v>
      </c>
      <c r="G292" s="4" t="str">
        <f t="shared" si="41"/>
        <v>2023</v>
      </c>
      <c r="H292" s="3">
        <v>45069</v>
      </c>
      <c r="I292" s="4" t="s">
        <v>306</v>
      </c>
      <c r="J292" s="4" t="s">
        <v>23</v>
      </c>
      <c r="K292" s="4" t="str" cm="1">
        <f t="array" ref="K292">_xlfn.IFS(L292&gt;50,"Senior", L292&gt;=30,"Adult", L292&lt;30,"Young Adult")</f>
        <v>Young Adult</v>
      </c>
      <c r="L292" s="4">
        <v>29</v>
      </c>
      <c r="M292" s="4" t="s">
        <v>21</v>
      </c>
      <c r="N292" s="4">
        <v>4</v>
      </c>
      <c r="O292" s="5">
        <v>500</v>
      </c>
      <c r="P292">
        <f t="shared" si="42"/>
        <v>2000</v>
      </c>
      <c r="Q292" s="14">
        <f t="shared" si="43"/>
        <v>30</v>
      </c>
      <c r="R292" s="14">
        <f t="shared" si="44"/>
        <v>40</v>
      </c>
    </row>
    <row r="293" spans="1:18" x14ac:dyDescent="0.35">
      <c r="A293" s="2">
        <v>282</v>
      </c>
      <c r="B293" s="4">
        <f t="shared" si="36"/>
        <v>25</v>
      </c>
      <c r="C293" s="4">
        <f t="shared" si="37"/>
        <v>8</v>
      </c>
      <c r="D293" s="4">
        <f t="shared" si="38"/>
        <v>2023</v>
      </c>
      <c r="E293" s="4" t="str">
        <f t="shared" si="39"/>
        <v>Friday</v>
      </c>
      <c r="F293" s="4" t="str">
        <f t="shared" si="40"/>
        <v>August</v>
      </c>
      <c r="G293" s="4" t="str">
        <f t="shared" si="41"/>
        <v>2023</v>
      </c>
      <c r="H293" s="3">
        <v>45163</v>
      </c>
      <c r="I293" s="4" t="s">
        <v>307</v>
      </c>
      <c r="J293" s="4" t="s">
        <v>23</v>
      </c>
      <c r="K293" s="4" t="str" cm="1">
        <f t="array" ref="K293">_xlfn.IFS(L293&gt;50,"Senior", L293&gt;=30,"Adult", L293&lt;30,"Young Adult")</f>
        <v>Senior</v>
      </c>
      <c r="L293" s="4">
        <v>64</v>
      </c>
      <c r="M293" s="4" t="s">
        <v>26</v>
      </c>
      <c r="N293" s="4">
        <v>4</v>
      </c>
      <c r="O293" s="5">
        <v>50</v>
      </c>
      <c r="P293">
        <f t="shared" si="42"/>
        <v>200</v>
      </c>
      <c r="Q293" s="14">
        <f t="shared" si="43"/>
        <v>3</v>
      </c>
      <c r="R293" s="14">
        <f t="shared" si="44"/>
        <v>4</v>
      </c>
    </row>
    <row r="294" spans="1:18" x14ac:dyDescent="0.35">
      <c r="A294" s="2">
        <v>283</v>
      </c>
      <c r="B294" s="4">
        <f t="shared" si="36"/>
        <v>8</v>
      </c>
      <c r="C294" s="4">
        <f t="shared" si="37"/>
        <v>5</v>
      </c>
      <c r="D294" s="4">
        <f t="shared" si="38"/>
        <v>2023</v>
      </c>
      <c r="E294" s="4" t="str">
        <f t="shared" si="39"/>
        <v>Monday</v>
      </c>
      <c r="F294" s="4" t="str">
        <f t="shared" si="40"/>
        <v>May</v>
      </c>
      <c r="G294" s="4" t="str">
        <f t="shared" si="41"/>
        <v>2023</v>
      </c>
      <c r="H294" s="3">
        <v>45054</v>
      </c>
      <c r="I294" s="4" t="s">
        <v>308</v>
      </c>
      <c r="J294" s="4" t="s">
        <v>23</v>
      </c>
      <c r="K294" s="4" t="str" cm="1">
        <f t="array" ref="K294">_xlfn.IFS(L294&gt;50,"Senior", L294&gt;=30,"Adult", L294&lt;30,"Young Adult")</f>
        <v>Young Adult</v>
      </c>
      <c r="L294" s="4">
        <v>18</v>
      </c>
      <c r="M294" s="4" t="s">
        <v>26</v>
      </c>
      <c r="N294" s="4">
        <v>1</v>
      </c>
      <c r="O294" s="5">
        <v>500</v>
      </c>
      <c r="P294">
        <f t="shared" si="42"/>
        <v>500</v>
      </c>
      <c r="Q294" s="14">
        <f t="shared" si="43"/>
        <v>7.5</v>
      </c>
      <c r="R294" s="14">
        <f t="shared" si="44"/>
        <v>10</v>
      </c>
    </row>
    <row r="295" spans="1:18" x14ac:dyDescent="0.35">
      <c r="A295" s="2">
        <v>284</v>
      </c>
      <c r="B295" s="4">
        <f t="shared" si="36"/>
        <v>8</v>
      </c>
      <c r="C295" s="4">
        <f t="shared" si="37"/>
        <v>2</v>
      </c>
      <c r="D295" s="4">
        <f t="shared" si="38"/>
        <v>2023</v>
      </c>
      <c r="E295" s="4" t="str">
        <f t="shared" si="39"/>
        <v>Wednesday</v>
      </c>
      <c r="F295" s="4" t="str">
        <f t="shared" si="40"/>
        <v>February</v>
      </c>
      <c r="G295" s="4" t="str">
        <f t="shared" si="41"/>
        <v>2023</v>
      </c>
      <c r="H295" s="3">
        <v>44965</v>
      </c>
      <c r="I295" s="4" t="s">
        <v>309</v>
      </c>
      <c r="J295" s="4" t="s">
        <v>20</v>
      </c>
      <c r="K295" s="4" t="str" cm="1">
        <f t="array" ref="K295">_xlfn.IFS(L295&gt;50,"Senior", L295&gt;=30,"Adult", L295&lt;30,"Young Adult")</f>
        <v>Adult</v>
      </c>
      <c r="L295" s="4">
        <v>43</v>
      </c>
      <c r="M295" s="4" t="s">
        <v>24</v>
      </c>
      <c r="N295" s="4">
        <v>4</v>
      </c>
      <c r="O295" s="5">
        <v>50</v>
      </c>
      <c r="P295">
        <f t="shared" si="42"/>
        <v>200</v>
      </c>
      <c r="Q295" s="14">
        <f t="shared" si="43"/>
        <v>3</v>
      </c>
      <c r="R295" s="14">
        <f t="shared" si="44"/>
        <v>4</v>
      </c>
    </row>
    <row r="296" spans="1:18" x14ac:dyDescent="0.35">
      <c r="A296" s="2">
        <v>285</v>
      </c>
      <c r="B296" s="4">
        <f t="shared" si="36"/>
        <v>15</v>
      </c>
      <c r="C296" s="4">
        <f t="shared" si="37"/>
        <v>8</v>
      </c>
      <c r="D296" s="4">
        <f t="shared" si="38"/>
        <v>2023</v>
      </c>
      <c r="E296" s="4" t="str">
        <f t="shared" si="39"/>
        <v>Tuesday</v>
      </c>
      <c r="F296" s="4" t="str">
        <f t="shared" si="40"/>
        <v>August</v>
      </c>
      <c r="G296" s="4" t="str">
        <f t="shared" si="41"/>
        <v>2023</v>
      </c>
      <c r="H296" s="3">
        <v>45153</v>
      </c>
      <c r="I296" s="4" t="s">
        <v>310</v>
      </c>
      <c r="J296" s="4" t="s">
        <v>23</v>
      </c>
      <c r="K296" s="4" t="str" cm="1">
        <f t="array" ref="K296">_xlfn.IFS(L296&gt;50,"Senior", L296&gt;=30,"Adult", L296&lt;30,"Young Adult")</f>
        <v>Adult</v>
      </c>
      <c r="L296" s="4">
        <v>31</v>
      </c>
      <c r="M296" s="4" t="s">
        <v>26</v>
      </c>
      <c r="N296" s="4">
        <v>1</v>
      </c>
      <c r="O296" s="5">
        <v>25</v>
      </c>
      <c r="P296">
        <f t="shared" si="42"/>
        <v>25</v>
      </c>
      <c r="Q296" s="14">
        <f t="shared" si="43"/>
        <v>0.375</v>
      </c>
      <c r="R296" s="14">
        <f t="shared" si="44"/>
        <v>0.5</v>
      </c>
    </row>
    <row r="297" spans="1:18" x14ac:dyDescent="0.35">
      <c r="A297" s="2">
        <v>286</v>
      </c>
      <c r="B297" s="4">
        <f t="shared" si="36"/>
        <v>9</v>
      </c>
      <c r="C297" s="4">
        <f t="shared" si="37"/>
        <v>10</v>
      </c>
      <c r="D297" s="4">
        <f t="shared" si="38"/>
        <v>2023</v>
      </c>
      <c r="E297" s="4" t="str">
        <f t="shared" si="39"/>
        <v>Monday</v>
      </c>
      <c r="F297" s="4" t="str">
        <f t="shared" si="40"/>
        <v>October</v>
      </c>
      <c r="G297" s="4" t="str">
        <f t="shared" si="41"/>
        <v>2023</v>
      </c>
      <c r="H297" s="3">
        <v>45208</v>
      </c>
      <c r="I297" s="4" t="s">
        <v>311</v>
      </c>
      <c r="J297" s="4" t="s">
        <v>20</v>
      </c>
      <c r="K297" s="4" t="str" cm="1">
        <f t="array" ref="K297">_xlfn.IFS(L297&gt;50,"Senior", L297&gt;=30,"Adult", L297&lt;30,"Young Adult")</f>
        <v>Senior</v>
      </c>
      <c r="L297" s="4">
        <v>55</v>
      </c>
      <c r="M297" s="4" t="s">
        <v>26</v>
      </c>
      <c r="N297" s="4">
        <v>2</v>
      </c>
      <c r="O297" s="5">
        <v>25</v>
      </c>
      <c r="P297">
        <f t="shared" si="42"/>
        <v>50</v>
      </c>
      <c r="Q297" s="14">
        <f t="shared" si="43"/>
        <v>0.75</v>
      </c>
      <c r="R297" s="14">
        <f t="shared" si="44"/>
        <v>1</v>
      </c>
    </row>
    <row r="298" spans="1:18" x14ac:dyDescent="0.35">
      <c r="A298" s="2">
        <v>287</v>
      </c>
      <c r="B298" s="4">
        <f t="shared" si="36"/>
        <v>20</v>
      </c>
      <c r="C298" s="4">
        <f t="shared" si="37"/>
        <v>2</v>
      </c>
      <c r="D298" s="4">
        <f t="shared" si="38"/>
        <v>2023</v>
      </c>
      <c r="E298" s="4" t="str">
        <f t="shared" si="39"/>
        <v>Monday</v>
      </c>
      <c r="F298" s="4" t="str">
        <f t="shared" si="40"/>
        <v>February</v>
      </c>
      <c r="G298" s="4" t="str">
        <f t="shared" si="41"/>
        <v>2023</v>
      </c>
      <c r="H298" s="3">
        <v>44977</v>
      </c>
      <c r="I298" s="4" t="s">
        <v>312</v>
      </c>
      <c r="J298" s="4" t="s">
        <v>20</v>
      </c>
      <c r="K298" s="4" t="str" cm="1">
        <f t="array" ref="K298">_xlfn.IFS(L298&gt;50,"Senior", L298&gt;=30,"Adult", L298&lt;30,"Young Adult")</f>
        <v>Senior</v>
      </c>
      <c r="L298" s="4">
        <v>54</v>
      </c>
      <c r="M298" s="4" t="s">
        <v>24</v>
      </c>
      <c r="N298" s="4">
        <v>4</v>
      </c>
      <c r="O298" s="5">
        <v>25</v>
      </c>
      <c r="P298">
        <f t="shared" si="42"/>
        <v>100</v>
      </c>
      <c r="Q298" s="14">
        <f t="shared" si="43"/>
        <v>1.5</v>
      </c>
      <c r="R298" s="14">
        <f t="shared" si="44"/>
        <v>2</v>
      </c>
    </row>
    <row r="299" spans="1:18" x14ac:dyDescent="0.35">
      <c r="A299" s="2">
        <v>288</v>
      </c>
      <c r="B299" s="4">
        <f t="shared" si="36"/>
        <v>26</v>
      </c>
      <c r="C299" s="4">
        <f t="shared" si="37"/>
        <v>1</v>
      </c>
      <c r="D299" s="4">
        <f t="shared" si="38"/>
        <v>2023</v>
      </c>
      <c r="E299" s="4" t="str">
        <f t="shared" si="39"/>
        <v>Thursday</v>
      </c>
      <c r="F299" s="4" t="str">
        <f t="shared" si="40"/>
        <v>January</v>
      </c>
      <c r="G299" s="4" t="str">
        <f t="shared" si="41"/>
        <v>2023</v>
      </c>
      <c r="H299" s="3">
        <v>44952</v>
      </c>
      <c r="I299" s="4" t="s">
        <v>313</v>
      </c>
      <c r="J299" s="4" t="s">
        <v>20</v>
      </c>
      <c r="K299" s="4" t="str" cm="1">
        <f t="array" ref="K299">_xlfn.IFS(L299&gt;50,"Senior", L299&gt;=30,"Adult", L299&lt;30,"Young Adult")</f>
        <v>Young Adult</v>
      </c>
      <c r="L299" s="4">
        <v>28</v>
      </c>
      <c r="M299" s="4" t="s">
        <v>24</v>
      </c>
      <c r="N299" s="4">
        <v>4</v>
      </c>
      <c r="O299" s="5">
        <v>30</v>
      </c>
      <c r="P299">
        <f t="shared" si="42"/>
        <v>120</v>
      </c>
      <c r="Q299" s="14">
        <f t="shared" si="43"/>
        <v>1.7999999999999998</v>
      </c>
      <c r="R299" s="14">
        <f t="shared" si="44"/>
        <v>2.4</v>
      </c>
    </row>
    <row r="300" spans="1:18" x14ac:dyDescent="0.35">
      <c r="A300" s="2">
        <v>289</v>
      </c>
      <c r="B300" s="4">
        <f t="shared" si="36"/>
        <v>30</v>
      </c>
      <c r="C300" s="4">
        <f t="shared" si="37"/>
        <v>11</v>
      </c>
      <c r="D300" s="4">
        <f t="shared" si="38"/>
        <v>2023</v>
      </c>
      <c r="E300" s="4" t="str">
        <f t="shared" si="39"/>
        <v>Thursday</v>
      </c>
      <c r="F300" s="4" t="str">
        <f t="shared" si="40"/>
        <v>November</v>
      </c>
      <c r="G300" s="4" t="str">
        <f t="shared" si="41"/>
        <v>2023</v>
      </c>
      <c r="H300" s="3">
        <v>45260</v>
      </c>
      <c r="I300" s="4" t="s">
        <v>314</v>
      </c>
      <c r="J300" s="4" t="s">
        <v>20</v>
      </c>
      <c r="K300" s="4" t="str" cm="1">
        <f t="array" ref="K300">_xlfn.IFS(L300&gt;50,"Senior", L300&gt;=30,"Adult", L300&lt;30,"Young Adult")</f>
        <v>Senior</v>
      </c>
      <c r="L300" s="4">
        <v>53</v>
      </c>
      <c r="M300" s="4" t="s">
        <v>26</v>
      </c>
      <c r="N300" s="4">
        <v>2</v>
      </c>
      <c r="O300" s="5">
        <v>30</v>
      </c>
      <c r="P300">
        <f t="shared" si="42"/>
        <v>60</v>
      </c>
      <c r="Q300" s="14">
        <f t="shared" si="43"/>
        <v>0.89999999999999991</v>
      </c>
      <c r="R300" s="14">
        <f t="shared" si="44"/>
        <v>1.2</v>
      </c>
    </row>
    <row r="301" spans="1:18" x14ac:dyDescent="0.35">
      <c r="A301" s="2">
        <v>290</v>
      </c>
      <c r="B301" s="4">
        <f t="shared" si="36"/>
        <v>4</v>
      </c>
      <c r="C301" s="4">
        <f t="shared" si="37"/>
        <v>10</v>
      </c>
      <c r="D301" s="4">
        <f t="shared" si="38"/>
        <v>2023</v>
      </c>
      <c r="E301" s="4" t="str">
        <f t="shared" si="39"/>
        <v>Wednesday</v>
      </c>
      <c r="F301" s="4" t="str">
        <f t="shared" si="40"/>
        <v>October</v>
      </c>
      <c r="G301" s="4" t="str">
        <f t="shared" si="41"/>
        <v>2023</v>
      </c>
      <c r="H301" s="3">
        <v>45203</v>
      </c>
      <c r="I301" s="4" t="s">
        <v>315</v>
      </c>
      <c r="J301" s="4" t="s">
        <v>23</v>
      </c>
      <c r="K301" s="4" t="str" cm="1">
        <f t="array" ref="K301">_xlfn.IFS(L301&gt;50,"Senior", L301&gt;=30,"Adult", L301&lt;30,"Young Adult")</f>
        <v>Adult</v>
      </c>
      <c r="L301" s="4">
        <v>30</v>
      </c>
      <c r="M301" s="4" t="s">
        <v>21</v>
      </c>
      <c r="N301" s="4">
        <v>2</v>
      </c>
      <c r="O301" s="5">
        <v>300</v>
      </c>
      <c r="P301">
        <f t="shared" si="42"/>
        <v>600</v>
      </c>
      <c r="Q301" s="14">
        <f t="shared" si="43"/>
        <v>9</v>
      </c>
      <c r="R301" s="14">
        <f t="shared" si="44"/>
        <v>12</v>
      </c>
    </row>
    <row r="302" spans="1:18" x14ac:dyDescent="0.35">
      <c r="A302" s="2">
        <v>291</v>
      </c>
      <c r="B302" s="4">
        <f t="shared" si="36"/>
        <v>8</v>
      </c>
      <c r="C302" s="4">
        <f t="shared" si="37"/>
        <v>1</v>
      </c>
      <c r="D302" s="4">
        <f t="shared" si="38"/>
        <v>2023</v>
      </c>
      <c r="E302" s="4" t="str">
        <f t="shared" si="39"/>
        <v>Sunday</v>
      </c>
      <c r="F302" s="4" t="str">
        <f t="shared" si="40"/>
        <v>January</v>
      </c>
      <c r="G302" s="4" t="str">
        <f t="shared" si="41"/>
        <v>2023</v>
      </c>
      <c r="H302" s="3">
        <v>44934</v>
      </c>
      <c r="I302" s="4" t="s">
        <v>316</v>
      </c>
      <c r="J302" s="4" t="s">
        <v>20</v>
      </c>
      <c r="K302" s="4" t="str" cm="1">
        <f t="array" ref="K302">_xlfn.IFS(L302&gt;50,"Senior", L302&gt;=30,"Adult", L302&lt;30,"Young Adult")</f>
        <v>Senior</v>
      </c>
      <c r="L302" s="4">
        <v>60</v>
      </c>
      <c r="M302" s="4" t="s">
        <v>24</v>
      </c>
      <c r="N302" s="4">
        <v>2</v>
      </c>
      <c r="O302" s="5">
        <v>300</v>
      </c>
      <c r="P302">
        <f t="shared" si="42"/>
        <v>600</v>
      </c>
      <c r="Q302" s="14">
        <f t="shared" si="43"/>
        <v>9</v>
      </c>
      <c r="R302" s="14">
        <f t="shared" si="44"/>
        <v>12</v>
      </c>
    </row>
    <row r="303" spans="1:18" x14ac:dyDescent="0.35">
      <c r="A303" s="2">
        <v>292</v>
      </c>
      <c r="B303" s="4">
        <f t="shared" si="36"/>
        <v>17</v>
      </c>
      <c r="C303" s="4">
        <f t="shared" si="37"/>
        <v>2</v>
      </c>
      <c r="D303" s="4">
        <f t="shared" si="38"/>
        <v>2023</v>
      </c>
      <c r="E303" s="4" t="str">
        <f t="shared" si="39"/>
        <v>Friday</v>
      </c>
      <c r="F303" s="4" t="str">
        <f t="shared" si="40"/>
        <v>February</v>
      </c>
      <c r="G303" s="4" t="str">
        <f t="shared" si="41"/>
        <v>2023</v>
      </c>
      <c r="H303" s="3">
        <v>44974</v>
      </c>
      <c r="I303" s="4" t="s">
        <v>317</v>
      </c>
      <c r="J303" s="4" t="s">
        <v>20</v>
      </c>
      <c r="K303" s="4" t="str" cm="1">
        <f t="array" ref="K303">_xlfn.IFS(L303&gt;50,"Senior", L303&gt;=30,"Adult", L303&lt;30,"Young Adult")</f>
        <v>Young Adult</v>
      </c>
      <c r="L303" s="4">
        <v>20</v>
      </c>
      <c r="M303" s="4" t="s">
        <v>21</v>
      </c>
      <c r="N303" s="4">
        <v>4</v>
      </c>
      <c r="O303" s="5">
        <v>300</v>
      </c>
      <c r="P303">
        <f t="shared" si="42"/>
        <v>1200</v>
      </c>
      <c r="Q303" s="14">
        <f t="shared" si="43"/>
        <v>18</v>
      </c>
      <c r="R303" s="14">
        <f t="shared" si="44"/>
        <v>24</v>
      </c>
    </row>
    <row r="304" spans="1:18" x14ac:dyDescent="0.35">
      <c r="A304" s="2">
        <v>293</v>
      </c>
      <c r="B304" s="4">
        <f t="shared" si="36"/>
        <v>2</v>
      </c>
      <c r="C304" s="4">
        <f t="shared" si="37"/>
        <v>5</v>
      </c>
      <c r="D304" s="4">
        <f t="shared" si="38"/>
        <v>2023</v>
      </c>
      <c r="E304" s="4" t="str">
        <f t="shared" si="39"/>
        <v>Tuesday</v>
      </c>
      <c r="F304" s="4" t="str">
        <f t="shared" si="40"/>
        <v>May</v>
      </c>
      <c r="G304" s="4" t="str">
        <f t="shared" si="41"/>
        <v>2023</v>
      </c>
      <c r="H304" s="3">
        <v>45048</v>
      </c>
      <c r="I304" s="4" t="s">
        <v>318</v>
      </c>
      <c r="J304" s="4" t="s">
        <v>20</v>
      </c>
      <c r="K304" s="4" t="str" cm="1">
        <f t="array" ref="K304">_xlfn.IFS(L304&gt;50,"Senior", L304&gt;=30,"Adult", L304&lt;30,"Young Adult")</f>
        <v>Adult</v>
      </c>
      <c r="L304" s="4">
        <v>50</v>
      </c>
      <c r="M304" s="4" t="s">
        <v>26</v>
      </c>
      <c r="N304" s="4">
        <v>3</v>
      </c>
      <c r="O304" s="5">
        <v>30</v>
      </c>
      <c r="P304">
        <f t="shared" si="42"/>
        <v>90</v>
      </c>
      <c r="Q304" s="14">
        <f t="shared" si="43"/>
        <v>1.3499999999999999</v>
      </c>
      <c r="R304" s="14">
        <f t="shared" si="44"/>
        <v>1.8</v>
      </c>
    </row>
    <row r="305" spans="1:18" x14ac:dyDescent="0.35">
      <c r="A305" s="2">
        <v>294</v>
      </c>
      <c r="B305" s="4">
        <f t="shared" si="36"/>
        <v>27</v>
      </c>
      <c r="C305" s="4">
        <f t="shared" si="37"/>
        <v>3</v>
      </c>
      <c r="D305" s="4">
        <f t="shared" si="38"/>
        <v>2023</v>
      </c>
      <c r="E305" s="4" t="str">
        <f t="shared" si="39"/>
        <v>Monday</v>
      </c>
      <c r="F305" s="4" t="str">
        <f t="shared" si="40"/>
        <v>March</v>
      </c>
      <c r="G305" s="4" t="str">
        <f t="shared" si="41"/>
        <v>2023</v>
      </c>
      <c r="H305" s="3">
        <v>45012</v>
      </c>
      <c r="I305" s="4" t="s">
        <v>319</v>
      </c>
      <c r="J305" s="4" t="s">
        <v>23</v>
      </c>
      <c r="K305" s="4" t="str" cm="1">
        <f t="array" ref="K305">_xlfn.IFS(L305&gt;50,"Senior", L305&gt;=30,"Adult", L305&lt;30,"Young Adult")</f>
        <v>Young Adult</v>
      </c>
      <c r="L305" s="4">
        <v>23</v>
      </c>
      <c r="M305" s="4" t="s">
        <v>24</v>
      </c>
      <c r="N305" s="4">
        <v>3</v>
      </c>
      <c r="O305" s="5">
        <v>30</v>
      </c>
      <c r="P305">
        <f t="shared" si="42"/>
        <v>90</v>
      </c>
      <c r="Q305" s="14">
        <f t="shared" si="43"/>
        <v>1.3499999999999999</v>
      </c>
      <c r="R305" s="14">
        <f t="shared" si="44"/>
        <v>1.8</v>
      </c>
    </row>
    <row r="306" spans="1:18" x14ac:dyDescent="0.35">
      <c r="A306" s="2">
        <v>295</v>
      </c>
      <c r="B306" s="4">
        <f t="shared" si="36"/>
        <v>28</v>
      </c>
      <c r="C306" s="4">
        <f t="shared" si="37"/>
        <v>7</v>
      </c>
      <c r="D306" s="4">
        <f t="shared" si="38"/>
        <v>2023</v>
      </c>
      <c r="E306" s="4" t="str">
        <f t="shared" si="39"/>
        <v>Friday</v>
      </c>
      <c r="F306" s="4" t="str">
        <f t="shared" si="40"/>
        <v>July</v>
      </c>
      <c r="G306" s="4" t="str">
        <f t="shared" si="41"/>
        <v>2023</v>
      </c>
      <c r="H306" s="3">
        <v>45135</v>
      </c>
      <c r="I306" s="4" t="s">
        <v>320</v>
      </c>
      <c r="J306" s="4" t="s">
        <v>23</v>
      </c>
      <c r="K306" s="4" t="str" cm="1">
        <f t="array" ref="K306">_xlfn.IFS(L306&gt;50,"Senior", L306&gt;=30,"Adult", L306&lt;30,"Young Adult")</f>
        <v>Young Adult</v>
      </c>
      <c r="L306" s="4">
        <v>27</v>
      </c>
      <c r="M306" s="4" t="s">
        <v>21</v>
      </c>
      <c r="N306" s="4">
        <v>3</v>
      </c>
      <c r="O306" s="5">
        <v>300</v>
      </c>
      <c r="P306">
        <f t="shared" si="42"/>
        <v>900</v>
      </c>
      <c r="Q306" s="14">
        <f t="shared" si="43"/>
        <v>13.5</v>
      </c>
      <c r="R306" s="14">
        <f t="shared" si="44"/>
        <v>18</v>
      </c>
    </row>
    <row r="307" spans="1:18" x14ac:dyDescent="0.35">
      <c r="A307" s="2">
        <v>296</v>
      </c>
      <c r="B307" s="4">
        <f t="shared" si="36"/>
        <v>6</v>
      </c>
      <c r="C307" s="4">
        <f t="shared" si="37"/>
        <v>9</v>
      </c>
      <c r="D307" s="4">
        <f t="shared" si="38"/>
        <v>2023</v>
      </c>
      <c r="E307" s="4" t="str">
        <f t="shared" si="39"/>
        <v>Wednesday</v>
      </c>
      <c r="F307" s="4" t="str">
        <f t="shared" si="40"/>
        <v>September</v>
      </c>
      <c r="G307" s="4" t="str">
        <f t="shared" si="41"/>
        <v>2023</v>
      </c>
      <c r="H307" s="3">
        <v>45175</v>
      </c>
      <c r="I307" s="4" t="s">
        <v>321</v>
      </c>
      <c r="J307" s="4" t="s">
        <v>23</v>
      </c>
      <c r="K307" s="4" t="str" cm="1">
        <f t="array" ref="K307">_xlfn.IFS(L307&gt;50,"Senior", L307&gt;=30,"Adult", L307&lt;30,"Young Adult")</f>
        <v>Young Adult</v>
      </c>
      <c r="L307" s="4">
        <v>22</v>
      </c>
      <c r="M307" s="4" t="s">
        <v>24</v>
      </c>
      <c r="N307" s="4">
        <v>4</v>
      </c>
      <c r="O307" s="5">
        <v>300</v>
      </c>
      <c r="P307">
        <f t="shared" si="42"/>
        <v>1200</v>
      </c>
      <c r="Q307" s="14">
        <f t="shared" si="43"/>
        <v>18</v>
      </c>
      <c r="R307" s="14">
        <f t="shared" si="44"/>
        <v>24</v>
      </c>
    </row>
    <row r="308" spans="1:18" x14ac:dyDescent="0.35">
      <c r="A308" s="2">
        <v>297</v>
      </c>
      <c r="B308" s="4">
        <f t="shared" si="36"/>
        <v>4</v>
      </c>
      <c r="C308" s="4">
        <f t="shared" si="37"/>
        <v>9</v>
      </c>
      <c r="D308" s="4">
        <f t="shared" si="38"/>
        <v>2023</v>
      </c>
      <c r="E308" s="4" t="str">
        <f t="shared" si="39"/>
        <v>Monday</v>
      </c>
      <c r="F308" s="4" t="str">
        <f t="shared" si="40"/>
        <v>September</v>
      </c>
      <c r="G308" s="4" t="str">
        <f t="shared" si="41"/>
        <v>2023</v>
      </c>
      <c r="H308" s="3">
        <v>45173</v>
      </c>
      <c r="I308" s="4" t="s">
        <v>322</v>
      </c>
      <c r="J308" s="4" t="s">
        <v>23</v>
      </c>
      <c r="K308" s="4" t="str" cm="1">
        <f t="array" ref="K308">_xlfn.IFS(L308&gt;50,"Senior", L308&gt;=30,"Adult", L308&lt;30,"Young Adult")</f>
        <v>Adult</v>
      </c>
      <c r="L308" s="4">
        <v>40</v>
      </c>
      <c r="M308" s="4" t="s">
        <v>26</v>
      </c>
      <c r="N308" s="4">
        <v>2</v>
      </c>
      <c r="O308" s="5">
        <v>500</v>
      </c>
      <c r="P308">
        <f t="shared" si="42"/>
        <v>1000</v>
      </c>
      <c r="Q308" s="14">
        <f t="shared" si="43"/>
        <v>15</v>
      </c>
      <c r="R308" s="14">
        <f t="shared" si="44"/>
        <v>20</v>
      </c>
    </row>
    <row r="309" spans="1:18" x14ac:dyDescent="0.35">
      <c r="A309" s="2">
        <v>298</v>
      </c>
      <c r="B309" s="4">
        <f t="shared" si="36"/>
        <v>20</v>
      </c>
      <c r="C309" s="4">
        <f t="shared" si="37"/>
        <v>4</v>
      </c>
      <c r="D309" s="4">
        <f t="shared" si="38"/>
        <v>2023</v>
      </c>
      <c r="E309" s="4" t="str">
        <f t="shared" si="39"/>
        <v>Thursday</v>
      </c>
      <c r="F309" s="4" t="str">
        <f t="shared" si="40"/>
        <v>April</v>
      </c>
      <c r="G309" s="4" t="str">
        <f t="shared" si="41"/>
        <v>2023</v>
      </c>
      <c r="H309" s="3">
        <v>45036</v>
      </c>
      <c r="I309" s="4" t="s">
        <v>323</v>
      </c>
      <c r="J309" s="4" t="s">
        <v>20</v>
      </c>
      <c r="K309" s="4" t="str" cm="1">
        <f t="array" ref="K309">_xlfn.IFS(L309&gt;50,"Senior", L309&gt;=30,"Adult", L309&lt;30,"Young Adult")</f>
        <v>Young Adult</v>
      </c>
      <c r="L309" s="4">
        <v>27</v>
      </c>
      <c r="M309" s="4" t="s">
        <v>21</v>
      </c>
      <c r="N309" s="4">
        <v>4</v>
      </c>
      <c r="O309" s="5">
        <v>300</v>
      </c>
      <c r="P309">
        <f t="shared" si="42"/>
        <v>1200</v>
      </c>
      <c r="Q309" s="14">
        <f t="shared" si="43"/>
        <v>18</v>
      </c>
      <c r="R309" s="14">
        <f t="shared" si="44"/>
        <v>24</v>
      </c>
    </row>
    <row r="310" spans="1:18" x14ac:dyDescent="0.35">
      <c r="A310" s="2">
        <v>299</v>
      </c>
      <c r="B310" s="4">
        <f t="shared" si="36"/>
        <v>25</v>
      </c>
      <c r="C310" s="4">
        <f t="shared" si="37"/>
        <v>7</v>
      </c>
      <c r="D310" s="4">
        <f t="shared" si="38"/>
        <v>2023</v>
      </c>
      <c r="E310" s="4" t="str">
        <f t="shared" si="39"/>
        <v>Tuesday</v>
      </c>
      <c r="F310" s="4" t="str">
        <f t="shared" si="40"/>
        <v>July</v>
      </c>
      <c r="G310" s="4" t="str">
        <f t="shared" si="41"/>
        <v>2023</v>
      </c>
      <c r="H310" s="3">
        <v>45132</v>
      </c>
      <c r="I310" s="4" t="s">
        <v>324</v>
      </c>
      <c r="J310" s="4" t="s">
        <v>20</v>
      </c>
      <c r="K310" s="4" t="str" cm="1">
        <f t="array" ref="K310">_xlfn.IFS(L310&gt;50,"Senior", L310&gt;=30,"Adult", L310&lt;30,"Young Adult")</f>
        <v>Senior</v>
      </c>
      <c r="L310" s="4">
        <v>61</v>
      </c>
      <c r="M310" s="4" t="s">
        <v>26</v>
      </c>
      <c r="N310" s="4">
        <v>2</v>
      </c>
      <c r="O310" s="5">
        <v>500</v>
      </c>
      <c r="P310">
        <f t="shared" si="42"/>
        <v>1000</v>
      </c>
      <c r="Q310" s="14">
        <f t="shared" si="43"/>
        <v>15</v>
      </c>
      <c r="R310" s="14">
        <f t="shared" si="44"/>
        <v>20</v>
      </c>
    </row>
    <row r="311" spans="1:18" x14ac:dyDescent="0.35">
      <c r="A311" s="2">
        <v>300</v>
      </c>
      <c r="B311" s="4">
        <f t="shared" si="36"/>
        <v>31</v>
      </c>
      <c r="C311" s="4">
        <f t="shared" si="37"/>
        <v>1</v>
      </c>
      <c r="D311" s="4">
        <f t="shared" si="38"/>
        <v>2023</v>
      </c>
      <c r="E311" s="4" t="str">
        <f t="shared" si="39"/>
        <v>Tuesday</v>
      </c>
      <c r="F311" s="4" t="str">
        <f t="shared" si="40"/>
        <v>January</v>
      </c>
      <c r="G311" s="4" t="str">
        <f t="shared" si="41"/>
        <v>2023</v>
      </c>
      <c r="H311" s="3">
        <v>44957</v>
      </c>
      <c r="I311" s="4" t="s">
        <v>325</v>
      </c>
      <c r="J311" s="4" t="s">
        <v>23</v>
      </c>
      <c r="K311" s="4" t="str" cm="1">
        <f t="array" ref="K311">_xlfn.IFS(L311&gt;50,"Senior", L311&gt;=30,"Adult", L311&lt;30,"Young Adult")</f>
        <v>Young Adult</v>
      </c>
      <c r="L311" s="4">
        <v>19</v>
      </c>
      <c r="M311" s="4" t="s">
        <v>26</v>
      </c>
      <c r="N311" s="4">
        <v>4</v>
      </c>
      <c r="O311" s="5">
        <v>50</v>
      </c>
      <c r="P311">
        <f t="shared" si="42"/>
        <v>200</v>
      </c>
      <c r="Q311" s="14">
        <f t="shared" si="43"/>
        <v>3</v>
      </c>
      <c r="R311" s="14">
        <f t="shared" si="44"/>
        <v>4</v>
      </c>
    </row>
    <row r="312" spans="1:18" x14ac:dyDescent="0.35">
      <c r="A312" s="2">
        <v>301</v>
      </c>
      <c r="B312" s="4">
        <f t="shared" si="36"/>
        <v>26</v>
      </c>
      <c r="C312" s="4">
        <f t="shared" si="37"/>
        <v>3</v>
      </c>
      <c r="D312" s="4">
        <f t="shared" si="38"/>
        <v>2023</v>
      </c>
      <c r="E312" s="4" t="str">
        <f t="shared" si="39"/>
        <v>Sunday</v>
      </c>
      <c r="F312" s="4" t="str">
        <f t="shared" si="40"/>
        <v>March</v>
      </c>
      <c r="G312" s="4" t="str">
        <f t="shared" si="41"/>
        <v>2023</v>
      </c>
      <c r="H312" s="3">
        <v>45011</v>
      </c>
      <c r="I312" s="4" t="s">
        <v>326</v>
      </c>
      <c r="J312" s="4" t="s">
        <v>20</v>
      </c>
      <c r="K312" s="4" t="str" cm="1">
        <f t="array" ref="K312">_xlfn.IFS(L312&gt;50,"Senior", L312&gt;=30,"Adult", L312&lt;30,"Young Adult")</f>
        <v>Adult</v>
      </c>
      <c r="L312" s="4">
        <v>30</v>
      </c>
      <c r="M312" s="4" t="s">
        <v>24</v>
      </c>
      <c r="N312" s="4">
        <v>4</v>
      </c>
      <c r="O312" s="5">
        <v>30</v>
      </c>
      <c r="P312">
        <f t="shared" si="42"/>
        <v>120</v>
      </c>
      <c r="Q312" s="14">
        <f t="shared" si="43"/>
        <v>1.7999999999999998</v>
      </c>
      <c r="R312" s="14">
        <f t="shared" si="44"/>
        <v>2.4</v>
      </c>
    </row>
    <row r="313" spans="1:18" x14ac:dyDescent="0.35">
      <c r="A313" s="2">
        <v>302</v>
      </c>
      <c r="B313" s="4">
        <f t="shared" si="36"/>
        <v>14</v>
      </c>
      <c r="C313" s="4">
        <f t="shared" si="37"/>
        <v>7</v>
      </c>
      <c r="D313" s="4">
        <f t="shared" si="38"/>
        <v>2023</v>
      </c>
      <c r="E313" s="4" t="str">
        <f t="shared" si="39"/>
        <v>Friday</v>
      </c>
      <c r="F313" s="4" t="str">
        <f t="shared" si="40"/>
        <v>July</v>
      </c>
      <c r="G313" s="4" t="str">
        <f t="shared" si="41"/>
        <v>2023</v>
      </c>
      <c r="H313" s="3">
        <v>45121</v>
      </c>
      <c r="I313" s="4" t="s">
        <v>327</v>
      </c>
      <c r="J313" s="4" t="s">
        <v>20</v>
      </c>
      <c r="K313" s="4" t="str" cm="1">
        <f t="array" ref="K313">_xlfn.IFS(L313&gt;50,"Senior", L313&gt;=30,"Adult", L313&lt;30,"Young Adult")</f>
        <v>Senior</v>
      </c>
      <c r="L313" s="4">
        <v>57</v>
      </c>
      <c r="M313" s="4" t="s">
        <v>21</v>
      </c>
      <c r="N313" s="4">
        <v>2</v>
      </c>
      <c r="O313" s="5">
        <v>300</v>
      </c>
      <c r="P313">
        <f t="shared" si="42"/>
        <v>600</v>
      </c>
      <c r="Q313" s="14">
        <f t="shared" si="43"/>
        <v>9</v>
      </c>
      <c r="R313" s="14">
        <f t="shared" si="44"/>
        <v>12</v>
      </c>
    </row>
    <row r="314" spans="1:18" x14ac:dyDescent="0.35">
      <c r="A314" s="2">
        <v>303</v>
      </c>
      <c r="B314" s="4">
        <f t="shared" si="36"/>
        <v>2</v>
      </c>
      <c r="C314" s="4">
        <f t="shared" si="37"/>
        <v>1</v>
      </c>
      <c r="D314" s="4">
        <f t="shared" si="38"/>
        <v>2023</v>
      </c>
      <c r="E314" s="4" t="str">
        <f t="shared" si="39"/>
        <v>Monday</v>
      </c>
      <c r="F314" s="4" t="str">
        <f t="shared" si="40"/>
        <v>January</v>
      </c>
      <c r="G314" s="4" t="str">
        <f t="shared" si="41"/>
        <v>2023</v>
      </c>
      <c r="H314" s="3">
        <v>44928</v>
      </c>
      <c r="I314" s="4" t="s">
        <v>328</v>
      </c>
      <c r="J314" s="4" t="s">
        <v>20</v>
      </c>
      <c r="K314" s="4" t="str" cm="1">
        <f t="array" ref="K314">_xlfn.IFS(L314&gt;50,"Senior", L314&gt;=30,"Adult", L314&lt;30,"Young Adult")</f>
        <v>Young Adult</v>
      </c>
      <c r="L314" s="4">
        <v>19</v>
      </c>
      <c r="M314" s="4" t="s">
        <v>26</v>
      </c>
      <c r="N314" s="4">
        <v>3</v>
      </c>
      <c r="O314" s="5">
        <v>30</v>
      </c>
      <c r="P314">
        <f t="shared" si="42"/>
        <v>90</v>
      </c>
      <c r="Q314" s="14">
        <f t="shared" si="43"/>
        <v>1.3499999999999999</v>
      </c>
      <c r="R314" s="14">
        <f t="shared" si="44"/>
        <v>1.8</v>
      </c>
    </row>
    <row r="315" spans="1:18" x14ac:dyDescent="0.35">
      <c r="A315" s="2">
        <v>304</v>
      </c>
      <c r="B315" s="4">
        <f t="shared" si="36"/>
        <v>19</v>
      </c>
      <c r="C315" s="4">
        <f t="shared" si="37"/>
        <v>7</v>
      </c>
      <c r="D315" s="4">
        <f t="shared" si="38"/>
        <v>2023</v>
      </c>
      <c r="E315" s="4" t="str">
        <f t="shared" si="39"/>
        <v>Wednesday</v>
      </c>
      <c r="F315" s="4" t="str">
        <f t="shared" si="40"/>
        <v>July</v>
      </c>
      <c r="G315" s="4" t="str">
        <f t="shared" si="41"/>
        <v>2023</v>
      </c>
      <c r="H315" s="3">
        <v>45126</v>
      </c>
      <c r="I315" s="4" t="s">
        <v>329</v>
      </c>
      <c r="J315" s="4" t="s">
        <v>23</v>
      </c>
      <c r="K315" s="4" t="str" cm="1">
        <f t="array" ref="K315">_xlfn.IFS(L315&gt;50,"Senior", L315&gt;=30,"Adult", L315&lt;30,"Young Adult")</f>
        <v>Adult</v>
      </c>
      <c r="L315" s="4">
        <v>37</v>
      </c>
      <c r="M315" s="4" t="s">
        <v>26</v>
      </c>
      <c r="N315" s="4">
        <v>2</v>
      </c>
      <c r="O315" s="5">
        <v>30</v>
      </c>
      <c r="P315">
        <f t="shared" si="42"/>
        <v>60</v>
      </c>
      <c r="Q315" s="14">
        <f t="shared" si="43"/>
        <v>0.89999999999999991</v>
      </c>
      <c r="R315" s="14">
        <f t="shared" si="44"/>
        <v>1.2</v>
      </c>
    </row>
    <row r="316" spans="1:18" x14ac:dyDescent="0.35">
      <c r="A316" s="2">
        <v>305</v>
      </c>
      <c r="B316" s="4">
        <f t="shared" si="36"/>
        <v>16</v>
      </c>
      <c r="C316" s="4">
        <f t="shared" si="37"/>
        <v>5</v>
      </c>
      <c r="D316" s="4">
        <f t="shared" si="38"/>
        <v>2023</v>
      </c>
      <c r="E316" s="4" t="str">
        <f t="shared" si="39"/>
        <v>Tuesday</v>
      </c>
      <c r="F316" s="4" t="str">
        <f t="shared" si="40"/>
        <v>May</v>
      </c>
      <c r="G316" s="4" t="str">
        <f t="shared" si="41"/>
        <v>2023</v>
      </c>
      <c r="H316" s="3">
        <v>45062</v>
      </c>
      <c r="I316" s="4" t="s">
        <v>330</v>
      </c>
      <c r="J316" s="4" t="s">
        <v>23</v>
      </c>
      <c r="K316" s="4" t="str" cm="1">
        <f t="array" ref="K316">_xlfn.IFS(L316&gt;50,"Senior", L316&gt;=30,"Adult", L316&lt;30,"Young Adult")</f>
        <v>Young Adult</v>
      </c>
      <c r="L316" s="4">
        <v>18</v>
      </c>
      <c r="M316" s="4" t="s">
        <v>21</v>
      </c>
      <c r="N316" s="4">
        <v>1</v>
      </c>
      <c r="O316" s="5">
        <v>30</v>
      </c>
      <c r="P316">
        <f t="shared" si="42"/>
        <v>30</v>
      </c>
      <c r="Q316" s="14">
        <f t="shared" si="43"/>
        <v>0.44999999999999996</v>
      </c>
      <c r="R316" s="14">
        <f t="shared" si="44"/>
        <v>0.6</v>
      </c>
    </row>
    <row r="317" spans="1:18" x14ac:dyDescent="0.35">
      <c r="A317" s="2">
        <v>306</v>
      </c>
      <c r="B317" s="4">
        <f t="shared" si="36"/>
        <v>21</v>
      </c>
      <c r="C317" s="4">
        <f t="shared" si="37"/>
        <v>8</v>
      </c>
      <c r="D317" s="4">
        <f t="shared" si="38"/>
        <v>2023</v>
      </c>
      <c r="E317" s="4" t="str">
        <f t="shared" si="39"/>
        <v>Monday</v>
      </c>
      <c r="F317" s="4" t="str">
        <f t="shared" si="40"/>
        <v>August</v>
      </c>
      <c r="G317" s="4" t="str">
        <f t="shared" si="41"/>
        <v>2023</v>
      </c>
      <c r="H317" s="3">
        <v>45159</v>
      </c>
      <c r="I317" s="4" t="s">
        <v>331</v>
      </c>
      <c r="J317" s="4" t="s">
        <v>20</v>
      </c>
      <c r="K317" s="4" t="str" cm="1">
        <f t="array" ref="K317">_xlfn.IFS(L317&gt;50,"Senior", L317&gt;=30,"Adult", L317&lt;30,"Young Adult")</f>
        <v>Senior</v>
      </c>
      <c r="L317" s="4">
        <v>54</v>
      </c>
      <c r="M317" s="4" t="s">
        <v>26</v>
      </c>
      <c r="N317" s="4">
        <v>1</v>
      </c>
      <c r="O317" s="5">
        <v>50</v>
      </c>
      <c r="P317">
        <f t="shared" si="42"/>
        <v>50</v>
      </c>
      <c r="Q317" s="14">
        <f t="shared" si="43"/>
        <v>0.75</v>
      </c>
      <c r="R317" s="14">
        <f t="shared" si="44"/>
        <v>1</v>
      </c>
    </row>
    <row r="318" spans="1:18" x14ac:dyDescent="0.35">
      <c r="A318" s="2">
        <v>307</v>
      </c>
      <c r="B318" s="4">
        <f t="shared" si="36"/>
        <v>27</v>
      </c>
      <c r="C318" s="4">
        <f t="shared" si="37"/>
        <v>5</v>
      </c>
      <c r="D318" s="4">
        <f t="shared" si="38"/>
        <v>2023</v>
      </c>
      <c r="E318" s="4" t="str">
        <f t="shared" si="39"/>
        <v>Saturday</v>
      </c>
      <c r="F318" s="4" t="str">
        <f t="shared" si="40"/>
        <v>May</v>
      </c>
      <c r="G318" s="4" t="str">
        <f t="shared" si="41"/>
        <v>2023</v>
      </c>
      <c r="H318" s="3">
        <v>45073</v>
      </c>
      <c r="I318" s="4" t="s">
        <v>332</v>
      </c>
      <c r="J318" s="4" t="s">
        <v>23</v>
      </c>
      <c r="K318" s="4" t="str" cm="1">
        <f t="array" ref="K318">_xlfn.IFS(L318&gt;50,"Senior", L318&gt;=30,"Adult", L318&lt;30,"Young Adult")</f>
        <v>Young Adult</v>
      </c>
      <c r="L318" s="4">
        <v>26</v>
      </c>
      <c r="M318" s="4" t="s">
        <v>26</v>
      </c>
      <c r="N318" s="4">
        <v>2</v>
      </c>
      <c r="O318" s="5">
        <v>25</v>
      </c>
      <c r="P318">
        <f t="shared" si="42"/>
        <v>50</v>
      </c>
      <c r="Q318" s="14">
        <f t="shared" si="43"/>
        <v>0.75</v>
      </c>
      <c r="R318" s="14">
        <f t="shared" si="44"/>
        <v>1</v>
      </c>
    </row>
    <row r="319" spans="1:18" x14ac:dyDescent="0.35">
      <c r="A319" s="2">
        <v>308</v>
      </c>
      <c r="B319" s="4">
        <f t="shared" si="36"/>
        <v>5</v>
      </c>
      <c r="C319" s="4">
        <f t="shared" si="37"/>
        <v>8</v>
      </c>
      <c r="D319" s="4">
        <f t="shared" si="38"/>
        <v>2023</v>
      </c>
      <c r="E319" s="4" t="str">
        <f t="shared" si="39"/>
        <v>Saturday</v>
      </c>
      <c r="F319" s="4" t="str">
        <f t="shared" si="40"/>
        <v>August</v>
      </c>
      <c r="G319" s="4" t="str">
        <f t="shared" si="41"/>
        <v>2023</v>
      </c>
      <c r="H319" s="3">
        <v>45143</v>
      </c>
      <c r="I319" s="4" t="s">
        <v>333</v>
      </c>
      <c r="J319" s="4" t="s">
        <v>23</v>
      </c>
      <c r="K319" s="4" t="str" cm="1">
        <f t="array" ref="K319">_xlfn.IFS(L319&gt;50,"Senior", L319&gt;=30,"Adult", L319&lt;30,"Young Adult")</f>
        <v>Adult</v>
      </c>
      <c r="L319" s="4">
        <v>34</v>
      </c>
      <c r="M319" s="4" t="s">
        <v>21</v>
      </c>
      <c r="N319" s="4">
        <v>4</v>
      </c>
      <c r="O319" s="5">
        <v>300</v>
      </c>
      <c r="P319">
        <f t="shared" si="42"/>
        <v>1200</v>
      </c>
      <c r="Q319" s="14">
        <f t="shared" si="43"/>
        <v>18</v>
      </c>
      <c r="R319" s="14">
        <f t="shared" si="44"/>
        <v>24</v>
      </c>
    </row>
    <row r="320" spans="1:18" x14ac:dyDescent="0.35">
      <c r="A320" s="2">
        <v>309</v>
      </c>
      <c r="B320" s="4">
        <f t="shared" si="36"/>
        <v>23</v>
      </c>
      <c r="C320" s="4">
        <f t="shared" si="37"/>
        <v>12</v>
      </c>
      <c r="D320" s="4">
        <f t="shared" si="38"/>
        <v>2023</v>
      </c>
      <c r="E320" s="4" t="str">
        <f t="shared" si="39"/>
        <v>Saturday</v>
      </c>
      <c r="F320" s="4" t="str">
        <f t="shared" si="40"/>
        <v>December</v>
      </c>
      <c r="G320" s="4" t="str">
        <f t="shared" si="41"/>
        <v>2023</v>
      </c>
      <c r="H320" s="3">
        <v>45283</v>
      </c>
      <c r="I320" s="4" t="s">
        <v>334</v>
      </c>
      <c r="J320" s="4" t="s">
        <v>23</v>
      </c>
      <c r="K320" s="4" t="str" cm="1">
        <f t="array" ref="K320">_xlfn.IFS(L320&gt;50,"Senior", L320&gt;=30,"Adult", L320&lt;30,"Young Adult")</f>
        <v>Young Adult</v>
      </c>
      <c r="L320" s="4">
        <v>26</v>
      </c>
      <c r="M320" s="4" t="s">
        <v>21</v>
      </c>
      <c r="N320" s="4">
        <v>1</v>
      </c>
      <c r="O320" s="5">
        <v>25</v>
      </c>
      <c r="P320">
        <f t="shared" si="42"/>
        <v>25</v>
      </c>
      <c r="Q320" s="14">
        <f t="shared" si="43"/>
        <v>0.375</v>
      </c>
      <c r="R320" s="14">
        <f t="shared" si="44"/>
        <v>0.5</v>
      </c>
    </row>
    <row r="321" spans="1:18" x14ac:dyDescent="0.35">
      <c r="A321" s="2">
        <v>310</v>
      </c>
      <c r="B321" s="4">
        <f t="shared" si="36"/>
        <v>12</v>
      </c>
      <c r="C321" s="4">
        <f t="shared" si="37"/>
        <v>10</v>
      </c>
      <c r="D321" s="4">
        <f t="shared" si="38"/>
        <v>2023</v>
      </c>
      <c r="E321" s="4" t="str">
        <f t="shared" si="39"/>
        <v>Thursday</v>
      </c>
      <c r="F321" s="4" t="str">
        <f t="shared" si="40"/>
        <v>October</v>
      </c>
      <c r="G321" s="4" t="str">
        <f t="shared" si="41"/>
        <v>2023</v>
      </c>
      <c r="H321" s="3">
        <v>45211</v>
      </c>
      <c r="I321" s="4" t="s">
        <v>335</v>
      </c>
      <c r="J321" s="4" t="s">
        <v>23</v>
      </c>
      <c r="K321" s="4" t="str" cm="1">
        <f t="array" ref="K321">_xlfn.IFS(L321&gt;50,"Senior", L321&gt;=30,"Adult", L321&lt;30,"Young Adult")</f>
        <v>Young Adult</v>
      </c>
      <c r="L321" s="4">
        <v>28</v>
      </c>
      <c r="M321" s="4" t="s">
        <v>21</v>
      </c>
      <c r="N321" s="4">
        <v>1</v>
      </c>
      <c r="O321" s="5">
        <v>25</v>
      </c>
      <c r="P321">
        <f t="shared" si="42"/>
        <v>25</v>
      </c>
      <c r="Q321" s="14">
        <f t="shared" si="43"/>
        <v>0.375</v>
      </c>
      <c r="R321" s="14">
        <f t="shared" si="44"/>
        <v>0.5</v>
      </c>
    </row>
    <row r="322" spans="1:18" x14ac:dyDescent="0.35">
      <c r="A322" s="2">
        <v>311</v>
      </c>
      <c r="B322" s="4">
        <f t="shared" si="36"/>
        <v>5</v>
      </c>
      <c r="C322" s="4">
        <f t="shared" si="37"/>
        <v>12</v>
      </c>
      <c r="D322" s="4">
        <f t="shared" si="38"/>
        <v>2023</v>
      </c>
      <c r="E322" s="4" t="str">
        <f t="shared" si="39"/>
        <v>Tuesday</v>
      </c>
      <c r="F322" s="4" t="str">
        <f t="shared" si="40"/>
        <v>December</v>
      </c>
      <c r="G322" s="4" t="str">
        <f t="shared" si="41"/>
        <v>2023</v>
      </c>
      <c r="H322" s="3">
        <v>45265</v>
      </c>
      <c r="I322" s="4" t="s">
        <v>336</v>
      </c>
      <c r="J322" s="4" t="s">
        <v>23</v>
      </c>
      <c r="K322" s="4" t="str" cm="1">
        <f t="array" ref="K322">_xlfn.IFS(L322&gt;50,"Senior", L322&gt;=30,"Adult", L322&lt;30,"Young Adult")</f>
        <v>Adult</v>
      </c>
      <c r="L322" s="4">
        <v>32</v>
      </c>
      <c r="M322" s="4" t="s">
        <v>21</v>
      </c>
      <c r="N322" s="4">
        <v>4</v>
      </c>
      <c r="O322" s="5">
        <v>25</v>
      </c>
      <c r="P322">
        <f t="shared" si="42"/>
        <v>100</v>
      </c>
      <c r="Q322" s="14">
        <f t="shared" si="43"/>
        <v>1.5</v>
      </c>
      <c r="R322" s="14">
        <f t="shared" si="44"/>
        <v>2</v>
      </c>
    </row>
    <row r="323" spans="1:18" x14ac:dyDescent="0.35">
      <c r="A323" s="2">
        <v>312</v>
      </c>
      <c r="B323" s="4">
        <f t="shared" si="36"/>
        <v>7</v>
      </c>
      <c r="C323" s="4">
        <f t="shared" si="37"/>
        <v>9</v>
      </c>
      <c r="D323" s="4">
        <f t="shared" si="38"/>
        <v>2023</v>
      </c>
      <c r="E323" s="4" t="str">
        <f t="shared" si="39"/>
        <v>Thursday</v>
      </c>
      <c r="F323" s="4" t="str">
        <f t="shared" si="40"/>
        <v>September</v>
      </c>
      <c r="G323" s="4" t="str">
        <f t="shared" si="41"/>
        <v>2023</v>
      </c>
      <c r="H323" s="3">
        <v>45176</v>
      </c>
      <c r="I323" s="4" t="s">
        <v>337</v>
      </c>
      <c r="J323" s="4" t="s">
        <v>20</v>
      </c>
      <c r="K323" s="4" t="str" cm="1">
        <f t="array" ref="K323">_xlfn.IFS(L323&gt;50,"Senior", L323&gt;=30,"Adult", L323&lt;30,"Young Adult")</f>
        <v>Adult</v>
      </c>
      <c r="L323" s="4">
        <v>41</v>
      </c>
      <c r="M323" s="4" t="s">
        <v>24</v>
      </c>
      <c r="N323" s="4">
        <v>4</v>
      </c>
      <c r="O323" s="5">
        <v>30</v>
      </c>
      <c r="P323">
        <f t="shared" si="42"/>
        <v>120</v>
      </c>
      <c r="Q323" s="14">
        <f t="shared" si="43"/>
        <v>1.7999999999999998</v>
      </c>
      <c r="R323" s="14">
        <f t="shared" si="44"/>
        <v>2.4</v>
      </c>
    </row>
    <row r="324" spans="1:18" x14ac:dyDescent="0.35">
      <c r="A324" s="2">
        <v>313</v>
      </c>
      <c r="B324" s="4">
        <f t="shared" si="36"/>
        <v>21</v>
      </c>
      <c r="C324" s="4">
        <f t="shared" si="37"/>
        <v>3</v>
      </c>
      <c r="D324" s="4">
        <f t="shared" si="38"/>
        <v>2023</v>
      </c>
      <c r="E324" s="4" t="str">
        <f t="shared" si="39"/>
        <v>Tuesday</v>
      </c>
      <c r="F324" s="4" t="str">
        <f t="shared" si="40"/>
        <v>March</v>
      </c>
      <c r="G324" s="4" t="str">
        <f t="shared" si="41"/>
        <v>2023</v>
      </c>
      <c r="H324" s="3">
        <v>45006</v>
      </c>
      <c r="I324" s="4" t="s">
        <v>338</v>
      </c>
      <c r="J324" s="4" t="s">
        <v>23</v>
      </c>
      <c r="K324" s="4" t="str" cm="1">
        <f t="array" ref="K324">_xlfn.IFS(L324&gt;50,"Senior", L324&gt;=30,"Adult", L324&lt;30,"Young Adult")</f>
        <v>Senior</v>
      </c>
      <c r="L324" s="4">
        <v>55</v>
      </c>
      <c r="M324" s="4" t="s">
        <v>21</v>
      </c>
      <c r="N324" s="4">
        <v>3</v>
      </c>
      <c r="O324" s="5">
        <v>500</v>
      </c>
      <c r="P324">
        <f t="shared" si="42"/>
        <v>1500</v>
      </c>
      <c r="Q324" s="14">
        <f t="shared" si="43"/>
        <v>22.5</v>
      </c>
      <c r="R324" s="14">
        <f t="shared" si="44"/>
        <v>30</v>
      </c>
    </row>
    <row r="325" spans="1:18" x14ac:dyDescent="0.35">
      <c r="A325" s="2">
        <v>314</v>
      </c>
      <c r="B325" s="4">
        <f t="shared" si="36"/>
        <v>8</v>
      </c>
      <c r="C325" s="4">
        <f t="shared" si="37"/>
        <v>4</v>
      </c>
      <c r="D325" s="4">
        <f t="shared" si="38"/>
        <v>2023</v>
      </c>
      <c r="E325" s="4" t="str">
        <f t="shared" si="39"/>
        <v>Saturday</v>
      </c>
      <c r="F325" s="4" t="str">
        <f t="shared" si="40"/>
        <v>April</v>
      </c>
      <c r="G325" s="4" t="str">
        <f t="shared" si="41"/>
        <v>2023</v>
      </c>
      <c r="H325" s="3">
        <v>45024</v>
      </c>
      <c r="I325" s="4" t="s">
        <v>339</v>
      </c>
      <c r="J325" s="4" t="s">
        <v>20</v>
      </c>
      <c r="K325" s="4" t="str" cm="1">
        <f t="array" ref="K325">_xlfn.IFS(L325&gt;50,"Senior", L325&gt;=30,"Adult", L325&lt;30,"Young Adult")</f>
        <v>Senior</v>
      </c>
      <c r="L325" s="4">
        <v>52</v>
      </c>
      <c r="M325" s="4" t="s">
        <v>24</v>
      </c>
      <c r="N325" s="4">
        <v>4</v>
      </c>
      <c r="O325" s="5">
        <v>30</v>
      </c>
      <c r="P325">
        <f t="shared" si="42"/>
        <v>120</v>
      </c>
      <c r="Q325" s="14">
        <f t="shared" si="43"/>
        <v>1.7999999999999998</v>
      </c>
      <c r="R325" s="14">
        <f t="shared" si="44"/>
        <v>2.4</v>
      </c>
    </row>
    <row r="326" spans="1:18" x14ac:dyDescent="0.35">
      <c r="A326" s="2">
        <v>315</v>
      </c>
      <c r="B326" s="4">
        <f t="shared" si="36"/>
        <v>1</v>
      </c>
      <c r="C326" s="4">
        <f t="shared" si="37"/>
        <v>6</v>
      </c>
      <c r="D326" s="4">
        <f t="shared" si="38"/>
        <v>2023</v>
      </c>
      <c r="E326" s="4" t="str">
        <f t="shared" si="39"/>
        <v>Thursday</v>
      </c>
      <c r="F326" s="4" t="str">
        <f t="shared" si="40"/>
        <v>June</v>
      </c>
      <c r="G326" s="4" t="str">
        <f t="shared" si="41"/>
        <v>2023</v>
      </c>
      <c r="H326" s="3">
        <v>45078</v>
      </c>
      <c r="I326" s="4" t="s">
        <v>340</v>
      </c>
      <c r="J326" s="4" t="s">
        <v>20</v>
      </c>
      <c r="K326" s="4" t="str" cm="1">
        <f t="array" ref="K326">_xlfn.IFS(L326&gt;50,"Senior", L326&gt;=30,"Adult", L326&lt;30,"Young Adult")</f>
        <v>Adult</v>
      </c>
      <c r="L326" s="4">
        <v>47</v>
      </c>
      <c r="M326" s="4" t="s">
        <v>24</v>
      </c>
      <c r="N326" s="4">
        <v>2</v>
      </c>
      <c r="O326" s="5">
        <v>30</v>
      </c>
      <c r="P326">
        <f t="shared" si="42"/>
        <v>60</v>
      </c>
      <c r="Q326" s="14">
        <f t="shared" si="43"/>
        <v>0.89999999999999991</v>
      </c>
      <c r="R326" s="14">
        <f t="shared" si="44"/>
        <v>1.2</v>
      </c>
    </row>
    <row r="327" spans="1:18" x14ac:dyDescent="0.35">
      <c r="A327" s="2">
        <v>316</v>
      </c>
      <c r="B327" s="4">
        <f t="shared" si="36"/>
        <v>22</v>
      </c>
      <c r="C327" s="4">
        <f t="shared" si="37"/>
        <v>4</v>
      </c>
      <c r="D327" s="4">
        <f t="shared" si="38"/>
        <v>2023</v>
      </c>
      <c r="E327" s="4" t="str">
        <f t="shared" si="39"/>
        <v>Saturday</v>
      </c>
      <c r="F327" s="4" t="str">
        <f t="shared" si="40"/>
        <v>April</v>
      </c>
      <c r="G327" s="4" t="str">
        <f t="shared" si="41"/>
        <v>2023</v>
      </c>
      <c r="H327" s="3">
        <v>45038</v>
      </c>
      <c r="I327" s="4" t="s">
        <v>341</v>
      </c>
      <c r="J327" s="4" t="s">
        <v>23</v>
      </c>
      <c r="K327" s="4" t="str" cm="1">
        <f t="array" ref="K327">_xlfn.IFS(L327&gt;50,"Senior", L327&gt;=30,"Adult", L327&lt;30,"Young Adult")</f>
        <v>Adult</v>
      </c>
      <c r="L327" s="4">
        <v>48</v>
      </c>
      <c r="M327" s="4" t="s">
        <v>24</v>
      </c>
      <c r="N327" s="4">
        <v>2</v>
      </c>
      <c r="O327" s="5">
        <v>25</v>
      </c>
      <c r="P327">
        <f t="shared" si="42"/>
        <v>50</v>
      </c>
      <c r="Q327" s="14">
        <f t="shared" si="43"/>
        <v>0.75</v>
      </c>
      <c r="R327" s="14">
        <f t="shared" si="44"/>
        <v>1</v>
      </c>
    </row>
    <row r="328" spans="1:18" x14ac:dyDescent="0.35">
      <c r="A328" s="2">
        <v>317</v>
      </c>
      <c r="B328" s="4">
        <f t="shared" si="36"/>
        <v>30</v>
      </c>
      <c r="C328" s="4">
        <f t="shared" si="37"/>
        <v>1</v>
      </c>
      <c r="D328" s="4">
        <f t="shared" si="38"/>
        <v>2023</v>
      </c>
      <c r="E328" s="4" t="str">
        <f t="shared" si="39"/>
        <v>Monday</v>
      </c>
      <c r="F328" s="4" t="str">
        <f t="shared" si="40"/>
        <v>January</v>
      </c>
      <c r="G328" s="4" t="str">
        <f t="shared" si="41"/>
        <v>2023</v>
      </c>
      <c r="H328" s="3">
        <v>44956</v>
      </c>
      <c r="I328" s="4" t="s">
        <v>342</v>
      </c>
      <c r="J328" s="4" t="s">
        <v>20</v>
      </c>
      <c r="K328" s="4" t="str" cm="1">
        <f t="array" ref="K328">_xlfn.IFS(L328&gt;50,"Senior", L328&gt;=30,"Adult", L328&lt;30,"Young Adult")</f>
        <v>Young Adult</v>
      </c>
      <c r="L328" s="4">
        <v>22</v>
      </c>
      <c r="M328" s="4" t="s">
        <v>26</v>
      </c>
      <c r="N328" s="4">
        <v>3</v>
      </c>
      <c r="O328" s="5">
        <v>30</v>
      </c>
      <c r="P328">
        <f t="shared" si="42"/>
        <v>90</v>
      </c>
      <c r="Q328" s="14">
        <f t="shared" si="43"/>
        <v>1.3499999999999999</v>
      </c>
      <c r="R328" s="14">
        <f t="shared" si="44"/>
        <v>1.8</v>
      </c>
    </row>
    <row r="329" spans="1:18" x14ac:dyDescent="0.35">
      <c r="A329" s="2">
        <v>318</v>
      </c>
      <c r="B329" s="4">
        <f t="shared" si="36"/>
        <v>24</v>
      </c>
      <c r="C329" s="4">
        <f t="shared" si="37"/>
        <v>10</v>
      </c>
      <c r="D329" s="4">
        <f t="shared" si="38"/>
        <v>2023</v>
      </c>
      <c r="E329" s="4" t="str">
        <f t="shared" si="39"/>
        <v>Tuesday</v>
      </c>
      <c r="F329" s="4" t="str">
        <f t="shared" si="40"/>
        <v>October</v>
      </c>
      <c r="G329" s="4" t="str">
        <f t="shared" si="41"/>
        <v>2023</v>
      </c>
      <c r="H329" s="3">
        <v>45223</v>
      </c>
      <c r="I329" s="4" t="s">
        <v>343</v>
      </c>
      <c r="J329" s="4" t="s">
        <v>20</v>
      </c>
      <c r="K329" s="4" t="str" cm="1">
        <f t="array" ref="K329">_xlfn.IFS(L329&gt;50,"Senior", L329&gt;=30,"Adult", L329&lt;30,"Young Adult")</f>
        <v>Senior</v>
      </c>
      <c r="L329" s="4">
        <v>61</v>
      </c>
      <c r="M329" s="4" t="s">
        <v>24</v>
      </c>
      <c r="N329" s="4">
        <v>1</v>
      </c>
      <c r="O329" s="5">
        <v>25</v>
      </c>
      <c r="P329">
        <f t="shared" si="42"/>
        <v>25</v>
      </c>
      <c r="Q329" s="14">
        <f t="shared" si="43"/>
        <v>0.375</v>
      </c>
      <c r="R329" s="14">
        <f t="shared" si="44"/>
        <v>0.5</v>
      </c>
    </row>
    <row r="330" spans="1:18" x14ac:dyDescent="0.35">
      <c r="A330" s="2">
        <v>319</v>
      </c>
      <c r="B330" s="4">
        <f t="shared" si="36"/>
        <v>5</v>
      </c>
      <c r="C330" s="4">
        <f t="shared" si="37"/>
        <v>10</v>
      </c>
      <c r="D330" s="4">
        <f t="shared" si="38"/>
        <v>2023</v>
      </c>
      <c r="E330" s="4" t="str">
        <f t="shared" si="39"/>
        <v>Thursday</v>
      </c>
      <c r="F330" s="4" t="str">
        <f t="shared" si="40"/>
        <v>October</v>
      </c>
      <c r="G330" s="4" t="str">
        <f t="shared" si="41"/>
        <v>2023</v>
      </c>
      <c r="H330" s="3">
        <v>45204</v>
      </c>
      <c r="I330" s="4" t="s">
        <v>344</v>
      </c>
      <c r="J330" s="4" t="s">
        <v>20</v>
      </c>
      <c r="K330" s="4" t="str" cm="1">
        <f t="array" ref="K330">_xlfn.IFS(L330&gt;50,"Senior", L330&gt;=30,"Adult", L330&lt;30,"Young Adult")</f>
        <v>Adult</v>
      </c>
      <c r="L330" s="4">
        <v>31</v>
      </c>
      <c r="M330" s="4" t="s">
        <v>24</v>
      </c>
      <c r="N330" s="4">
        <v>1</v>
      </c>
      <c r="O330" s="5">
        <v>500</v>
      </c>
      <c r="P330">
        <f t="shared" si="42"/>
        <v>500</v>
      </c>
      <c r="Q330" s="14">
        <f t="shared" si="43"/>
        <v>7.5</v>
      </c>
      <c r="R330" s="14">
        <f t="shared" si="44"/>
        <v>10</v>
      </c>
    </row>
    <row r="331" spans="1:18" x14ac:dyDescent="0.35">
      <c r="A331" s="2">
        <v>320</v>
      </c>
      <c r="B331" s="4">
        <f t="shared" si="36"/>
        <v>1</v>
      </c>
      <c r="C331" s="4">
        <f t="shared" si="37"/>
        <v>2</v>
      </c>
      <c r="D331" s="4">
        <f t="shared" si="38"/>
        <v>2023</v>
      </c>
      <c r="E331" s="4" t="str">
        <f t="shared" si="39"/>
        <v>Wednesday</v>
      </c>
      <c r="F331" s="4" t="str">
        <f t="shared" si="40"/>
        <v>February</v>
      </c>
      <c r="G331" s="4" t="str">
        <f t="shared" si="41"/>
        <v>2023</v>
      </c>
      <c r="H331" s="3">
        <v>44958</v>
      </c>
      <c r="I331" s="4" t="s">
        <v>345</v>
      </c>
      <c r="J331" s="4" t="s">
        <v>23</v>
      </c>
      <c r="K331" s="4" t="str" cm="1">
        <f t="array" ref="K331">_xlfn.IFS(L331&gt;50,"Senior", L331&gt;=30,"Adult", L331&lt;30,"Young Adult")</f>
        <v>Young Adult</v>
      </c>
      <c r="L331" s="4">
        <v>28</v>
      </c>
      <c r="M331" s="4" t="s">
        <v>26</v>
      </c>
      <c r="N331" s="4">
        <v>4</v>
      </c>
      <c r="O331" s="5">
        <v>300</v>
      </c>
      <c r="P331">
        <f t="shared" si="42"/>
        <v>1200</v>
      </c>
      <c r="Q331" s="14">
        <f t="shared" si="43"/>
        <v>18</v>
      </c>
      <c r="R331" s="14">
        <f t="shared" si="44"/>
        <v>24</v>
      </c>
    </row>
    <row r="332" spans="1:18" x14ac:dyDescent="0.35">
      <c r="A332" s="2">
        <v>321</v>
      </c>
      <c r="B332" s="4">
        <f t="shared" ref="B332:B395" si="45">DAY(H332)</f>
        <v>10</v>
      </c>
      <c r="C332" s="4">
        <f t="shared" ref="C332:C395" si="46">MONTH(H332)</f>
        <v>6</v>
      </c>
      <c r="D332" s="4">
        <f t="shared" ref="D332:D395" si="47">YEAR(H332)</f>
        <v>2023</v>
      </c>
      <c r="E332" s="4" t="str">
        <f t="shared" ref="E332:E395" si="48">TEXT(H332,"DDDD")</f>
        <v>Saturday</v>
      </c>
      <c r="F332" s="4" t="str">
        <f t="shared" ref="F332:F395" si="49">TEXT(H332,"MMMM")</f>
        <v>June</v>
      </c>
      <c r="G332" s="4" t="str">
        <f t="shared" ref="G332:G395" si="50">TEXT(H332,"YYYY")</f>
        <v>2023</v>
      </c>
      <c r="H332" s="3">
        <v>45087</v>
      </c>
      <c r="I332" s="4" t="s">
        <v>346</v>
      </c>
      <c r="J332" s="4" t="s">
        <v>23</v>
      </c>
      <c r="K332" s="4" t="str" cm="1">
        <f t="array" ref="K332">_xlfn.IFS(L332&gt;50,"Senior", L332&gt;=30,"Adult", L332&lt;30,"Young Adult")</f>
        <v>Young Adult</v>
      </c>
      <c r="L332" s="4">
        <v>26</v>
      </c>
      <c r="M332" s="4" t="s">
        <v>26</v>
      </c>
      <c r="N332" s="4">
        <v>2</v>
      </c>
      <c r="O332" s="5">
        <v>25</v>
      </c>
      <c r="P332">
        <f t="shared" ref="P332:P395" si="51">O332*N332</f>
        <v>50</v>
      </c>
      <c r="Q332" s="14">
        <f t="shared" si="43"/>
        <v>0.75</v>
      </c>
      <c r="R332" s="14">
        <f t="shared" si="44"/>
        <v>1</v>
      </c>
    </row>
    <row r="333" spans="1:18" x14ac:dyDescent="0.35">
      <c r="A333" s="2">
        <v>322</v>
      </c>
      <c r="B333" s="4">
        <f t="shared" si="45"/>
        <v>30</v>
      </c>
      <c r="C333" s="4">
        <f t="shared" si="46"/>
        <v>1</v>
      </c>
      <c r="D333" s="4">
        <f t="shared" si="47"/>
        <v>2023</v>
      </c>
      <c r="E333" s="4" t="str">
        <f t="shared" si="48"/>
        <v>Monday</v>
      </c>
      <c r="F333" s="4" t="str">
        <f t="shared" si="49"/>
        <v>January</v>
      </c>
      <c r="G333" s="4" t="str">
        <f t="shared" si="50"/>
        <v>2023</v>
      </c>
      <c r="H333" s="3">
        <v>44956</v>
      </c>
      <c r="I333" s="4" t="s">
        <v>347</v>
      </c>
      <c r="J333" s="4" t="s">
        <v>20</v>
      </c>
      <c r="K333" s="4" t="str" cm="1">
        <f t="array" ref="K333">_xlfn.IFS(L333&gt;50,"Senior", L333&gt;=30,"Adult", L333&lt;30,"Young Adult")</f>
        <v>Senior</v>
      </c>
      <c r="L333" s="4">
        <v>51</v>
      </c>
      <c r="M333" s="4" t="s">
        <v>26</v>
      </c>
      <c r="N333" s="4">
        <v>1</v>
      </c>
      <c r="O333" s="5">
        <v>500</v>
      </c>
      <c r="P333">
        <f t="shared" si="51"/>
        <v>500</v>
      </c>
      <c r="Q333" s="14">
        <f t="shared" ref="Q333:Q396" si="52">P333*$I$4</f>
        <v>7.5</v>
      </c>
      <c r="R333" s="14">
        <f t="shared" ref="R333:R396" si="53">P333*$I$5</f>
        <v>10</v>
      </c>
    </row>
    <row r="334" spans="1:18" x14ac:dyDescent="0.35">
      <c r="A334" s="2">
        <v>323</v>
      </c>
      <c r="B334" s="4">
        <f t="shared" si="45"/>
        <v>26</v>
      </c>
      <c r="C334" s="4">
        <f t="shared" si="46"/>
        <v>1</v>
      </c>
      <c r="D334" s="4">
        <f t="shared" si="47"/>
        <v>2023</v>
      </c>
      <c r="E334" s="4" t="str">
        <f t="shared" si="48"/>
        <v>Thursday</v>
      </c>
      <c r="F334" s="4" t="str">
        <f t="shared" si="49"/>
        <v>January</v>
      </c>
      <c r="G334" s="4" t="str">
        <f t="shared" si="50"/>
        <v>2023</v>
      </c>
      <c r="H334" s="3">
        <v>44952</v>
      </c>
      <c r="I334" s="4" t="s">
        <v>348</v>
      </c>
      <c r="J334" s="4" t="s">
        <v>23</v>
      </c>
      <c r="K334" s="4" t="str" cm="1">
        <f t="array" ref="K334">_xlfn.IFS(L334&gt;50,"Senior", L334&gt;=30,"Adult", L334&lt;30,"Young Adult")</f>
        <v>Young Adult</v>
      </c>
      <c r="L334" s="4">
        <v>29</v>
      </c>
      <c r="M334" s="4" t="s">
        <v>21</v>
      </c>
      <c r="N334" s="4">
        <v>3</v>
      </c>
      <c r="O334" s="5">
        <v>300</v>
      </c>
      <c r="P334">
        <f t="shared" si="51"/>
        <v>900</v>
      </c>
      <c r="Q334" s="14">
        <f t="shared" si="52"/>
        <v>13.5</v>
      </c>
      <c r="R334" s="14">
        <f t="shared" si="53"/>
        <v>18</v>
      </c>
    </row>
    <row r="335" spans="1:18" x14ac:dyDescent="0.35">
      <c r="A335" s="2">
        <v>324</v>
      </c>
      <c r="B335" s="4">
        <f t="shared" si="45"/>
        <v>27</v>
      </c>
      <c r="C335" s="4">
        <f t="shared" si="46"/>
        <v>10</v>
      </c>
      <c r="D335" s="4">
        <f t="shared" si="47"/>
        <v>2023</v>
      </c>
      <c r="E335" s="4" t="str">
        <f t="shared" si="48"/>
        <v>Friday</v>
      </c>
      <c r="F335" s="4" t="str">
        <f t="shared" si="49"/>
        <v>October</v>
      </c>
      <c r="G335" s="4" t="str">
        <f t="shared" si="50"/>
        <v>2023</v>
      </c>
      <c r="H335" s="3">
        <v>45226</v>
      </c>
      <c r="I335" s="4" t="s">
        <v>349</v>
      </c>
      <c r="J335" s="4" t="s">
        <v>23</v>
      </c>
      <c r="K335" s="4" t="str" cm="1">
        <f t="array" ref="K335">_xlfn.IFS(L335&gt;50,"Senior", L335&gt;=30,"Adult", L335&lt;30,"Young Adult")</f>
        <v>Senior</v>
      </c>
      <c r="L335" s="4">
        <v>52</v>
      </c>
      <c r="M335" s="4" t="s">
        <v>26</v>
      </c>
      <c r="N335" s="4">
        <v>3</v>
      </c>
      <c r="O335" s="5">
        <v>50</v>
      </c>
      <c r="P335">
        <f t="shared" si="51"/>
        <v>150</v>
      </c>
      <c r="Q335" s="14">
        <f t="shared" si="52"/>
        <v>2.25</v>
      </c>
      <c r="R335" s="14">
        <f t="shared" si="53"/>
        <v>3</v>
      </c>
    </row>
    <row r="336" spans="1:18" x14ac:dyDescent="0.35">
      <c r="A336" s="2">
        <v>325</v>
      </c>
      <c r="B336" s="4">
        <f t="shared" si="45"/>
        <v>2</v>
      </c>
      <c r="C336" s="4">
        <f t="shared" si="46"/>
        <v>9</v>
      </c>
      <c r="D336" s="4">
        <f t="shared" si="47"/>
        <v>2023</v>
      </c>
      <c r="E336" s="4" t="str">
        <f t="shared" si="48"/>
        <v>Saturday</v>
      </c>
      <c r="F336" s="4" t="str">
        <f t="shared" si="49"/>
        <v>September</v>
      </c>
      <c r="G336" s="4" t="str">
        <f t="shared" si="50"/>
        <v>2023</v>
      </c>
      <c r="H336" s="3">
        <v>45171</v>
      </c>
      <c r="I336" s="4" t="s">
        <v>350</v>
      </c>
      <c r="J336" s="4" t="s">
        <v>23</v>
      </c>
      <c r="K336" s="4" t="str" cm="1">
        <f t="array" ref="K336">_xlfn.IFS(L336&gt;50,"Senior", L336&gt;=30,"Adult", L336&lt;30,"Young Adult")</f>
        <v>Senior</v>
      </c>
      <c r="L336" s="4">
        <v>52</v>
      </c>
      <c r="M336" s="4" t="s">
        <v>26</v>
      </c>
      <c r="N336" s="4">
        <v>2</v>
      </c>
      <c r="O336" s="5">
        <v>25</v>
      </c>
      <c r="P336">
        <f t="shared" si="51"/>
        <v>50</v>
      </c>
      <c r="Q336" s="14">
        <f t="shared" si="52"/>
        <v>0.75</v>
      </c>
      <c r="R336" s="14">
        <f t="shared" si="53"/>
        <v>1</v>
      </c>
    </row>
    <row r="337" spans="1:18" x14ac:dyDescent="0.35">
      <c r="A337" s="2">
        <v>326</v>
      </c>
      <c r="B337" s="4">
        <f t="shared" si="45"/>
        <v>15</v>
      </c>
      <c r="C337" s="4">
        <f t="shared" si="46"/>
        <v>9</v>
      </c>
      <c r="D337" s="4">
        <f t="shared" si="47"/>
        <v>2023</v>
      </c>
      <c r="E337" s="4" t="str">
        <f t="shared" si="48"/>
        <v>Friday</v>
      </c>
      <c r="F337" s="4" t="str">
        <f t="shared" si="49"/>
        <v>September</v>
      </c>
      <c r="G337" s="4" t="str">
        <f t="shared" si="50"/>
        <v>2023</v>
      </c>
      <c r="H337" s="3">
        <v>45184</v>
      </c>
      <c r="I337" s="4" t="s">
        <v>351</v>
      </c>
      <c r="J337" s="4" t="s">
        <v>23</v>
      </c>
      <c r="K337" s="4" t="str" cm="1">
        <f t="array" ref="K337">_xlfn.IFS(L337&gt;50,"Senior", L337&gt;=30,"Adult", L337&lt;30,"Young Adult")</f>
        <v>Young Adult</v>
      </c>
      <c r="L337" s="4">
        <v>18</v>
      </c>
      <c r="M337" s="4" t="s">
        <v>24</v>
      </c>
      <c r="N337" s="4">
        <v>3</v>
      </c>
      <c r="O337" s="5">
        <v>25</v>
      </c>
      <c r="P337">
        <f t="shared" si="51"/>
        <v>75</v>
      </c>
      <c r="Q337" s="14">
        <f t="shared" si="52"/>
        <v>1.125</v>
      </c>
      <c r="R337" s="14">
        <f t="shared" si="53"/>
        <v>1.5</v>
      </c>
    </row>
    <row r="338" spans="1:18" x14ac:dyDescent="0.35">
      <c r="A338" s="2">
        <v>327</v>
      </c>
      <c r="B338" s="4">
        <f t="shared" si="45"/>
        <v>29</v>
      </c>
      <c r="C338" s="4">
        <f t="shared" si="46"/>
        <v>9</v>
      </c>
      <c r="D338" s="4">
        <f t="shared" si="47"/>
        <v>2023</v>
      </c>
      <c r="E338" s="4" t="str">
        <f t="shared" si="48"/>
        <v>Friday</v>
      </c>
      <c r="F338" s="4" t="str">
        <f t="shared" si="49"/>
        <v>September</v>
      </c>
      <c r="G338" s="4" t="str">
        <f t="shared" si="50"/>
        <v>2023</v>
      </c>
      <c r="H338" s="3">
        <v>45198</v>
      </c>
      <c r="I338" s="4" t="s">
        <v>352</v>
      </c>
      <c r="J338" s="4" t="s">
        <v>20</v>
      </c>
      <c r="K338" s="4" t="str" cm="1">
        <f t="array" ref="K338">_xlfn.IFS(L338&gt;50,"Senior", L338&gt;=30,"Adult", L338&lt;30,"Young Adult")</f>
        <v>Senior</v>
      </c>
      <c r="L338" s="4">
        <v>57</v>
      </c>
      <c r="M338" s="4" t="s">
        <v>26</v>
      </c>
      <c r="N338" s="4">
        <v>3</v>
      </c>
      <c r="O338" s="5">
        <v>50</v>
      </c>
      <c r="P338">
        <f t="shared" si="51"/>
        <v>150</v>
      </c>
      <c r="Q338" s="14">
        <f t="shared" si="52"/>
        <v>2.25</v>
      </c>
      <c r="R338" s="14">
        <f t="shared" si="53"/>
        <v>3</v>
      </c>
    </row>
    <row r="339" spans="1:18" x14ac:dyDescent="0.35">
      <c r="A339" s="2">
        <v>328</v>
      </c>
      <c r="B339" s="4">
        <f t="shared" si="45"/>
        <v>22</v>
      </c>
      <c r="C339" s="4">
        <f t="shared" si="46"/>
        <v>3</v>
      </c>
      <c r="D339" s="4">
        <f t="shared" si="47"/>
        <v>2023</v>
      </c>
      <c r="E339" s="4" t="str">
        <f t="shared" si="48"/>
        <v>Wednesday</v>
      </c>
      <c r="F339" s="4" t="str">
        <f t="shared" si="49"/>
        <v>March</v>
      </c>
      <c r="G339" s="4" t="str">
        <f t="shared" si="50"/>
        <v>2023</v>
      </c>
      <c r="H339" s="3">
        <v>45007</v>
      </c>
      <c r="I339" s="4" t="s">
        <v>353</v>
      </c>
      <c r="J339" s="4" t="s">
        <v>20</v>
      </c>
      <c r="K339" s="4" t="str" cm="1">
        <f t="array" ref="K339">_xlfn.IFS(L339&gt;50,"Senior", L339&gt;=30,"Adult", L339&lt;30,"Young Adult")</f>
        <v>Adult</v>
      </c>
      <c r="L339" s="4">
        <v>39</v>
      </c>
      <c r="M339" s="4" t="s">
        <v>21</v>
      </c>
      <c r="N339" s="4">
        <v>2</v>
      </c>
      <c r="O339" s="5">
        <v>50</v>
      </c>
      <c r="P339">
        <f t="shared" si="51"/>
        <v>100</v>
      </c>
      <c r="Q339" s="14">
        <f t="shared" si="52"/>
        <v>1.5</v>
      </c>
      <c r="R339" s="14">
        <f t="shared" si="53"/>
        <v>2</v>
      </c>
    </row>
    <row r="340" spans="1:18" x14ac:dyDescent="0.35">
      <c r="A340" s="2">
        <v>329</v>
      </c>
      <c r="B340" s="4">
        <f t="shared" si="45"/>
        <v>30</v>
      </c>
      <c r="C340" s="4">
        <f t="shared" si="46"/>
        <v>1</v>
      </c>
      <c r="D340" s="4">
        <f t="shared" si="47"/>
        <v>2023</v>
      </c>
      <c r="E340" s="4" t="str">
        <f t="shared" si="48"/>
        <v>Monday</v>
      </c>
      <c r="F340" s="4" t="str">
        <f t="shared" si="49"/>
        <v>January</v>
      </c>
      <c r="G340" s="4" t="str">
        <f t="shared" si="50"/>
        <v>2023</v>
      </c>
      <c r="H340" s="3">
        <v>44956</v>
      </c>
      <c r="I340" s="4" t="s">
        <v>354</v>
      </c>
      <c r="J340" s="4" t="s">
        <v>23</v>
      </c>
      <c r="K340" s="4" t="str" cm="1">
        <f t="array" ref="K340">_xlfn.IFS(L340&gt;50,"Senior", L340&gt;=30,"Adult", L340&lt;30,"Young Adult")</f>
        <v>Adult</v>
      </c>
      <c r="L340" s="4">
        <v>46</v>
      </c>
      <c r="M340" s="4" t="s">
        <v>26</v>
      </c>
      <c r="N340" s="4">
        <v>4</v>
      </c>
      <c r="O340" s="5">
        <v>25</v>
      </c>
      <c r="P340">
        <f t="shared" si="51"/>
        <v>100</v>
      </c>
      <c r="Q340" s="14">
        <f t="shared" si="52"/>
        <v>1.5</v>
      </c>
      <c r="R340" s="14">
        <f t="shared" si="53"/>
        <v>2</v>
      </c>
    </row>
    <row r="341" spans="1:18" x14ac:dyDescent="0.35">
      <c r="A341" s="2">
        <v>330</v>
      </c>
      <c r="B341" s="4">
        <f t="shared" si="45"/>
        <v>18</v>
      </c>
      <c r="C341" s="4">
        <f t="shared" si="46"/>
        <v>9</v>
      </c>
      <c r="D341" s="4">
        <f t="shared" si="47"/>
        <v>2023</v>
      </c>
      <c r="E341" s="4" t="str">
        <f t="shared" si="48"/>
        <v>Monday</v>
      </c>
      <c r="F341" s="4" t="str">
        <f t="shared" si="49"/>
        <v>September</v>
      </c>
      <c r="G341" s="4" t="str">
        <f t="shared" si="50"/>
        <v>2023</v>
      </c>
      <c r="H341" s="3">
        <v>45187</v>
      </c>
      <c r="I341" s="4" t="s">
        <v>355</v>
      </c>
      <c r="J341" s="4" t="s">
        <v>23</v>
      </c>
      <c r="K341" s="4" t="str" cm="1">
        <f t="array" ref="K341">_xlfn.IFS(L341&gt;50,"Senior", L341&gt;=30,"Adult", L341&lt;30,"Young Adult")</f>
        <v>Young Adult</v>
      </c>
      <c r="L341" s="4">
        <v>25</v>
      </c>
      <c r="M341" s="4" t="s">
        <v>21</v>
      </c>
      <c r="N341" s="4">
        <v>4</v>
      </c>
      <c r="O341" s="5">
        <v>50</v>
      </c>
      <c r="P341">
        <f t="shared" si="51"/>
        <v>200</v>
      </c>
      <c r="Q341" s="14">
        <f t="shared" si="52"/>
        <v>3</v>
      </c>
      <c r="R341" s="14">
        <f t="shared" si="53"/>
        <v>4</v>
      </c>
    </row>
    <row r="342" spans="1:18" x14ac:dyDescent="0.35">
      <c r="A342" s="2">
        <v>331</v>
      </c>
      <c r="B342" s="4">
        <f t="shared" si="45"/>
        <v>11</v>
      </c>
      <c r="C342" s="4">
        <f t="shared" si="46"/>
        <v>2</v>
      </c>
      <c r="D342" s="4">
        <f t="shared" si="47"/>
        <v>2023</v>
      </c>
      <c r="E342" s="4" t="str">
        <f t="shared" si="48"/>
        <v>Saturday</v>
      </c>
      <c r="F342" s="4" t="str">
        <f t="shared" si="49"/>
        <v>February</v>
      </c>
      <c r="G342" s="4" t="str">
        <f t="shared" si="50"/>
        <v>2023</v>
      </c>
      <c r="H342" s="3">
        <v>44968</v>
      </c>
      <c r="I342" s="4" t="s">
        <v>356</v>
      </c>
      <c r="J342" s="4" t="s">
        <v>20</v>
      </c>
      <c r="K342" s="4" t="str" cm="1">
        <f t="array" ref="K342">_xlfn.IFS(L342&gt;50,"Senior", L342&gt;=30,"Adult", L342&lt;30,"Young Adult")</f>
        <v>Young Adult</v>
      </c>
      <c r="L342" s="4">
        <v>28</v>
      </c>
      <c r="M342" s="4" t="s">
        <v>26</v>
      </c>
      <c r="N342" s="4">
        <v>3</v>
      </c>
      <c r="O342" s="5">
        <v>30</v>
      </c>
      <c r="P342">
        <f t="shared" si="51"/>
        <v>90</v>
      </c>
      <c r="Q342" s="14">
        <f t="shared" si="52"/>
        <v>1.3499999999999999</v>
      </c>
      <c r="R342" s="14">
        <f t="shared" si="53"/>
        <v>1.8</v>
      </c>
    </row>
    <row r="343" spans="1:18" x14ac:dyDescent="0.35">
      <c r="A343" s="2">
        <v>332</v>
      </c>
      <c r="B343" s="4">
        <f t="shared" si="45"/>
        <v>6</v>
      </c>
      <c r="C343" s="4">
        <f t="shared" si="46"/>
        <v>4</v>
      </c>
      <c r="D343" s="4">
        <f t="shared" si="47"/>
        <v>2023</v>
      </c>
      <c r="E343" s="4" t="str">
        <f t="shared" si="48"/>
        <v>Thursday</v>
      </c>
      <c r="F343" s="4" t="str">
        <f t="shared" si="49"/>
        <v>April</v>
      </c>
      <c r="G343" s="4" t="str">
        <f t="shared" si="50"/>
        <v>2023</v>
      </c>
      <c r="H343" s="3">
        <v>45022</v>
      </c>
      <c r="I343" s="4" t="s">
        <v>357</v>
      </c>
      <c r="J343" s="4" t="s">
        <v>20</v>
      </c>
      <c r="K343" s="4" t="str" cm="1">
        <f t="array" ref="K343">_xlfn.IFS(L343&gt;50,"Senior", L343&gt;=30,"Adult", L343&lt;30,"Young Adult")</f>
        <v>Senior</v>
      </c>
      <c r="L343" s="4">
        <v>58</v>
      </c>
      <c r="M343" s="4" t="s">
        <v>26</v>
      </c>
      <c r="N343" s="4">
        <v>4</v>
      </c>
      <c r="O343" s="5">
        <v>300</v>
      </c>
      <c r="P343">
        <f t="shared" si="51"/>
        <v>1200</v>
      </c>
      <c r="Q343" s="14">
        <f t="shared" si="52"/>
        <v>18</v>
      </c>
      <c r="R343" s="14">
        <f t="shared" si="53"/>
        <v>24</v>
      </c>
    </row>
    <row r="344" spans="1:18" x14ac:dyDescent="0.35">
      <c r="A344" s="2">
        <v>333</v>
      </c>
      <c r="B344" s="4">
        <f t="shared" si="45"/>
        <v>5</v>
      </c>
      <c r="C344" s="4">
        <f t="shared" si="46"/>
        <v>2</v>
      </c>
      <c r="D344" s="4">
        <f t="shared" si="47"/>
        <v>2023</v>
      </c>
      <c r="E344" s="4" t="str">
        <f t="shared" si="48"/>
        <v>Sunday</v>
      </c>
      <c r="F344" s="4" t="str">
        <f t="shared" si="49"/>
        <v>February</v>
      </c>
      <c r="G344" s="4" t="str">
        <f t="shared" si="50"/>
        <v>2023</v>
      </c>
      <c r="H344" s="3">
        <v>44962</v>
      </c>
      <c r="I344" s="4" t="s">
        <v>358</v>
      </c>
      <c r="J344" s="4" t="s">
        <v>23</v>
      </c>
      <c r="K344" s="4" t="str" cm="1">
        <f t="array" ref="K344">_xlfn.IFS(L344&gt;50,"Senior", L344&gt;=30,"Adult", L344&lt;30,"Young Adult")</f>
        <v>Senior</v>
      </c>
      <c r="L344" s="4">
        <v>54</v>
      </c>
      <c r="M344" s="4" t="s">
        <v>26</v>
      </c>
      <c r="N344" s="4">
        <v>4</v>
      </c>
      <c r="O344" s="5">
        <v>300</v>
      </c>
      <c r="P344">
        <f t="shared" si="51"/>
        <v>1200</v>
      </c>
      <c r="Q344" s="14">
        <f t="shared" si="52"/>
        <v>18</v>
      </c>
      <c r="R344" s="14">
        <f t="shared" si="53"/>
        <v>24</v>
      </c>
    </row>
    <row r="345" spans="1:18" x14ac:dyDescent="0.35">
      <c r="A345" s="2">
        <v>334</v>
      </c>
      <c r="B345" s="4">
        <f t="shared" si="45"/>
        <v>1</v>
      </c>
      <c r="C345" s="4">
        <f t="shared" si="46"/>
        <v>11</v>
      </c>
      <c r="D345" s="4">
        <f t="shared" si="47"/>
        <v>2023</v>
      </c>
      <c r="E345" s="4" t="str">
        <f t="shared" si="48"/>
        <v>Wednesday</v>
      </c>
      <c r="F345" s="4" t="str">
        <f t="shared" si="49"/>
        <v>November</v>
      </c>
      <c r="G345" s="4" t="str">
        <f t="shared" si="50"/>
        <v>2023</v>
      </c>
      <c r="H345" s="3">
        <v>45231</v>
      </c>
      <c r="I345" s="4" t="s">
        <v>359</v>
      </c>
      <c r="J345" s="4" t="s">
        <v>20</v>
      </c>
      <c r="K345" s="4" t="str" cm="1">
        <f t="array" ref="K345">_xlfn.IFS(L345&gt;50,"Senior", L345&gt;=30,"Adult", L345&lt;30,"Young Adult")</f>
        <v>Adult</v>
      </c>
      <c r="L345" s="4">
        <v>31</v>
      </c>
      <c r="M345" s="4" t="s">
        <v>26</v>
      </c>
      <c r="N345" s="4">
        <v>3</v>
      </c>
      <c r="O345" s="5">
        <v>300</v>
      </c>
      <c r="P345">
        <f t="shared" si="51"/>
        <v>900</v>
      </c>
      <c r="Q345" s="14">
        <f t="shared" si="52"/>
        <v>13.5</v>
      </c>
      <c r="R345" s="14">
        <f t="shared" si="53"/>
        <v>18</v>
      </c>
    </row>
    <row r="346" spans="1:18" x14ac:dyDescent="0.35">
      <c r="A346" s="2">
        <v>335</v>
      </c>
      <c r="B346" s="4">
        <f t="shared" si="45"/>
        <v>4</v>
      </c>
      <c r="C346" s="4">
        <f t="shared" si="46"/>
        <v>2</v>
      </c>
      <c r="D346" s="4">
        <f t="shared" si="47"/>
        <v>2023</v>
      </c>
      <c r="E346" s="4" t="str">
        <f t="shared" si="48"/>
        <v>Saturday</v>
      </c>
      <c r="F346" s="4" t="str">
        <f t="shared" si="49"/>
        <v>February</v>
      </c>
      <c r="G346" s="4" t="str">
        <f t="shared" si="50"/>
        <v>2023</v>
      </c>
      <c r="H346" s="3">
        <v>44961</v>
      </c>
      <c r="I346" s="4" t="s">
        <v>360</v>
      </c>
      <c r="J346" s="4" t="s">
        <v>23</v>
      </c>
      <c r="K346" s="4" t="str" cm="1">
        <f t="array" ref="K346">_xlfn.IFS(L346&gt;50,"Senior", L346&gt;=30,"Adult", L346&lt;30,"Young Adult")</f>
        <v>Adult</v>
      </c>
      <c r="L346" s="4">
        <v>47</v>
      </c>
      <c r="M346" s="4" t="s">
        <v>21</v>
      </c>
      <c r="N346" s="4">
        <v>4</v>
      </c>
      <c r="O346" s="5">
        <v>30</v>
      </c>
      <c r="P346">
        <f t="shared" si="51"/>
        <v>120</v>
      </c>
      <c r="Q346" s="14">
        <f t="shared" si="52"/>
        <v>1.7999999999999998</v>
      </c>
      <c r="R346" s="14">
        <f t="shared" si="53"/>
        <v>2.4</v>
      </c>
    </row>
    <row r="347" spans="1:18" x14ac:dyDescent="0.35">
      <c r="A347" s="2">
        <v>336</v>
      </c>
      <c r="B347" s="4">
        <f t="shared" si="45"/>
        <v>12</v>
      </c>
      <c r="C347" s="4">
        <f t="shared" si="46"/>
        <v>12</v>
      </c>
      <c r="D347" s="4">
        <f t="shared" si="47"/>
        <v>2023</v>
      </c>
      <c r="E347" s="4" t="str">
        <f t="shared" si="48"/>
        <v>Tuesday</v>
      </c>
      <c r="F347" s="4" t="str">
        <f t="shared" si="49"/>
        <v>December</v>
      </c>
      <c r="G347" s="4" t="str">
        <f t="shared" si="50"/>
        <v>2023</v>
      </c>
      <c r="H347" s="3">
        <v>45272</v>
      </c>
      <c r="I347" s="4" t="s">
        <v>361</v>
      </c>
      <c r="J347" s="4" t="s">
        <v>23</v>
      </c>
      <c r="K347" s="4" t="str" cm="1">
        <f t="array" ref="K347">_xlfn.IFS(L347&gt;50,"Senior", L347&gt;=30,"Adult", L347&lt;30,"Young Adult")</f>
        <v>Senior</v>
      </c>
      <c r="L347" s="4">
        <v>52</v>
      </c>
      <c r="M347" s="4" t="s">
        <v>21</v>
      </c>
      <c r="N347" s="4">
        <v>3</v>
      </c>
      <c r="O347" s="5">
        <v>50</v>
      </c>
      <c r="P347">
        <f t="shared" si="51"/>
        <v>150</v>
      </c>
      <c r="Q347" s="14">
        <f t="shared" si="52"/>
        <v>2.25</v>
      </c>
      <c r="R347" s="14">
        <f t="shared" si="53"/>
        <v>3</v>
      </c>
    </row>
    <row r="348" spans="1:18" x14ac:dyDescent="0.35">
      <c r="A348" s="2">
        <v>337</v>
      </c>
      <c r="B348" s="4">
        <f t="shared" si="45"/>
        <v>1</v>
      </c>
      <c r="C348" s="4">
        <f t="shared" si="46"/>
        <v>5</v>
      </c>
      <c r="D348" s="4">
        <f t="shared" si="47"/>
        <v>2023</v>
      </c>
      <c r="E348" s="4" t="str">
        <f t="shared" si="48"/>
        <v>Monday</v>
      </c>
      <c r="F348" s="4" t="str">
        <f t="shared" si="49"/>
        <v>May</v>
      </c>
      <c r="G348" s="4" t="str">
        <f t="shared" si="50"/>
        <v>2023</v>
      </c>
      <c r="H348" s="3">
        <v>45047</v>
      </c>
      <c r="I348" s="4" t="s">
        <v>362</v>
      </c>
      <c r="J348" s="4" t="s">
        <v>20</v>
      </c>
      <c r="K348" s="4" t="str" cm="1">
        <f t="array" ref="K348">_xlfn.IFS(L348&gt;50,"Senior", L348&gt;=30,"Adult", L348&lt;30,"Young Adult")</f>
        <v>Adult</v>
      </c>
      <c r="L348" s="4">
        <v>38</v>
      </c>
      <c r="M348" s="4" t="s">
        <v>24</v>
      </c>
      <c r="N348" s="4">
        <v>1</v>
      </c>
      <c r="O348" s="5">
        <v>500</v>
      </c>
      <c r="P348">
        <f t="shared" si="51"/>
        <v>500</v>
      </c>
      <c r="Q348" s="14">
        <f t="shared" si="52"/>
        <v>7.5</v>
      </c>
      <c r="R348" s="14">
        <f t="shared" si="53"/>
        <v>10</v>
      </c>
    </row>
    <row r="349" spans="1:18" x14ac:dyDescent="0.35">
      <c r="A349" s="2">
        <v>338</v>
      </c>
      <c r="B349" s="4">
        <f t="shared" si="45"/>
        <v>26</v>
      </c>
      <c r="C349" s="4">
        <f t="shared" si="46"/>
        <v>7</v>
      </c>
      <c r="D349" s="4">
        <f t="shared" si="47"/>
        <v>2023</v>
      </c>
      <c r="E349" s="4" t="str">
        <f t="shared" si="48"/>
        <v>Wednesday</v>
      </c>
      <c r="F349" s="4" t="str">
        <f t="shared" si="49"/>
        <v>July</v>
      </c>
      <c r="G349" s="4" t="str">
        <f t="shared" si="50"/>
        <v>2023</v>
      </c>
      <c r="H349" s="3">
        <v>45133</v>
      </c>
      <c r="I349" s="4" t="s">
        <v>363</v>
      </c>
      <c r="J349" s="4" t="s">
        <v>20</v>
      </c>
      <c r="K349" s="4" t="str" cm="1">
        <f t="array" ref="K349">_xlfn.IFS(L349&gt;50,"Senior", L349&gt;=30,"Adult", L349&lt;30,"Young Adult")</f>
        <v>Senior</v>
      </c>
      <c r="L349" s="4">
        <v>54</v>
      </c>
      <c r="M349" s="4" t="s">
        <v>21</v>
      </c>
      <c r="N349" s="4">
        <v>2</v>
      </c>
      <c r="O349" s="5">
        <v>50</v>
      </c>
      <c r="P349">
        <f t="shared" si="51"/>
        <v>100</v>
      </c>
      <c r="Q349" s="14">
        <f t="shared" si="52"/>
        <v>1.5</v>
      </c>
      <c r="R349" s="14">
        <f t="shared" si="53"/>
        <v>2</v>
      </c>
    </row>
    <row r="350" spans="1:18" x14ac:dyDescent="0.35">
      <c r="A350" s="2">
        <v>339</v>
      </c>
      <c r="B350" s="4">
        <f t="shared" si="45"/>
        <v>3</v>
      </c>
      <c r="C350" s="4">
        <f t="shared" si="46"/>
        <v>3</v>
      </c>
      <c r="D350" s="4">
        <f t="shared" si="47"/>
        <v>2023</v>
      </c>
      <c r="E350" s="4" t="str">
        <f t="shared" si="48"/>
        <v>Friday</v>
      </c>
      <c r="F350" s="4" t="str">
        <f t="shared" si="49"/>
        <v>March</v>
      </c>
      <c r="G350" s="4" t="str">
        <f t="shared" si="50"/>
        <v>2023</v>
      </c>
      <c r="H350" s="3">
        <v>44988</v>
      </c>
      <c r="I350" s="4" t="s">
        <v>364</v>
      </c>
      <c r="J350" s="4" t="s">
        <v>23</v>
      </c>
      <c r="K350" s="4" t="str" cm="1">
        <f t="array" ref="K350">_xlfn.IFS(L350&gt;50,"Senior", L350&gt;=30,"Adult", L350&lt;30,"Young Adult")</f>
        <v>Young Adult</v>
      </c>
      <c r="L350" s="4">
        <v>22</v>
      </c>
      <c r="M350" s="4" t="s">
        <v>26</v>
      </c>
      <c r="N350" s="4">
        <v>2</v>
      </c>
      <c r="O350" s="5">
        <v>25</v>
      </c>
      <c r="P350">
        <f t="shared" si="51"/>
        <v>50</v>
      </c>
      <c r="Q350" s="14">
        <f t="shared" si="52"/>
        <v>0.75</v>
      </c>
      <c r="R350" s="14">
        <f t="shared" si="53"/>
        <v>1</v>
      </c>
    </row>
    <row r="351" spans="1:18" x14ac:dyDescent="0.35">
      <c r="A351" s="2">
        <v>340</v>
      </c>
      <c r="B351" s="4">
        <f t="shared" si="45"/>
        <v>19</v>
      </c>
      <c r="C351" s="4">
        <f t="shared" si="46"/>
        <v>10</v>
      </c>
      <c r="D351" s="4">
        <f t="shared" si="47"/>
        <v>2023</v>
      </c>
      <c r="E351" s="4" t="str">
        <f t="shared" si="48"/>
        <v>Thursday</v>
      </c>
      <c r="F351" s="4" t="str">
        <f t="shared" si="49"/>
        <v>October</v>
      </c>
      <c r="G351" s="4" t="str">
        <f t="shared" si="50"/>
        <v>2023</v>
      </c>
      <c r="H351" s="3">
        <v>45218</v>
      </c>
      <c r="I351" s="4" t="s">
        <v>365</v>
      </c>
      <c r="J351" s="4" t="s">
        <v>23</v>
      </c>
      <c r="K351" s="4" t="str" cm="1">
        <f t="array" ref="K351">_xlfn.IFS(L351&gt;50,"Senior", L351&gt;=30,"Adult", L351&lt;30,"Young Adult")</f>
        <v>Adult</v>
      </c>
      <c r="L351" s="4">
        <v>36</v>
      </c>
      <c r="M351" s="4" t="s">
        <v>24</v>
      </c>
      <c r="N351" s="4">
        <v>4</v>
      </c>
      <c r="O351" s="5">
        <v>300</v>
      </c>
      <c r="P351">
        <f t="shared" si="51"/>
        <v>1200</v>
      </c>
      <c r="Q351" s="14">
        <f t="shared" si="52"/>
        <v>18</v>
      </c>
      <c r="R351" s="14">
        <f t="shared" si="53"/>
        <v>24</v>
      </c>
    </row>
    <row r="352" spans="1:18" x14ac:dyDescent="0.35">
      <c r="A352" s="2">
        <v>341</v>
      </c>
      <c r="B352" s="4">
        <f t="shared" si="45"/>
        <v>7</v>
      </c>
      <c r="C352" s="4">
        <f t="shared" si="46"/>
        <v>5</v>
      </c>
      <c r="D352" s="4">
        <f t="shared" si="47"/>
        <v>2023</v>
      </c>
      <c r="E352" s="4" t="str">
        <f t="shared" si="48"/>
        <v>Sunday</v>
      </c>
      <c r="F352" s="4" t="str">
        <f t="shared" si="49"/>
        <v>May</v>
      </c>
      <c r="G352" s="4" t="str">
        <f t="shared" si="50"/>
        <v>2023</v>
      </c>
      <c r="H352" s="3">
        <v>45053</v>
      </c>
      <c r="I352" s="4" t="s">
        <v>366</v>
      </c>
      <c r="J352" s="4" t="s">
        <v>20</v>
      </c>
      <c r="K352" s="4" t="str" cm="1">
        <f t="array" ref="K352">_xlfn.IFS(L352&gt;50,"Senior", L352&gt;=30,"Adult", L352&lt;30,"Young Adult")</f>
        <v>Adult</v>
      </c>
      <c r="L352" s="4">
        <v>31</v>
      </c>
      <c r="M352" s="4" t="s">
        <v>24</v>
      </c>
      <c r="N352" s="4">
        <v>4</v>
      </c>
      <c r="O352" s="5">
        <v>50</v>
      </c>
      <c r="P352">
        <f t="shared" si="51"/>
        <v>200</v>
      </c>
      <c r="Q352" s="14">
        <f t="shared" si="52"/>
        <v>3</v>
      </c>
      <c r="R352" s="14">
        <f t="shared" si="53"/>
        <v>4</v>
      </c>
    </row>
    <row r="353" spans="1:18" x14ac:dyDescent="0.35">
      <c r="A353" s="2">
        <v>342</v>
      </c>
      <c r="B353" s="4">
        <f t="shared" si="45"/>
        <v>24</v>
      </c>
      <c r="C353" s="4">
        <f t="shared" si="46"/>
        <v>10</v>
      </c>
      <c r="D353" s="4">
        <f t="shared" si="47"/>
        <v>2023</v>
      </c>
      <c r="E353" s="4" t="str">
        <f t="shared" si="48"/>
        <v>Tuesday</v>
      </c>
      <c r="F353" s="4" t="str">
        <f t="shared" si="49"/>
        <v>October</v>
      </c>
      <c r="G353" s="4" t="str">
        <f t="shared" si="50"/>
        <v>2023</v>
      </c>
      <c r="H353" s="3">
        <v>45223</v>
      </c>
      <c r="I353" s="4" t="s">
        <v>367</v>
      </c>
      <c r="J353" s="4" t="s">
        <v>23</v>
      </c>
      <c r="K353" s="4" t="str" cm="1">
        <f t="array" ref="K353">_xlfn.IFS(L353&gt;50,"Senior", L353&gt;=30,"Adult", L353&lt;30,"Young Adult")</f>
        <v>Adult</v>
      </c>
      <c r="L353" s="4">
        <v>43</v>
      </c>
      <c r="M353" s="4" t="s">
        <v>24</v>
      </c>
      <c r="N353" s="4">
        <v>4</v>
      </c>
      <c r="O353" s="5">
        <v>500</v>
      </c>
      <c r="P353">
        <f t="shared" si="51"/>
        <v>2000</v>
      </c>
      <c r="Q353" s="14">
        <f t="shared" si="52"/>
        <v>30</v>
      </c>
      <c r="R353" s="14">
        <f t="shared" si="53"/>
        <v>40</v>
      </c>
    </row>
    <row r="354" spans="1:18" x14ac:dyDescent="0.35">
      <c r="A354" s="2">
        <v>343</v>
      </c>
      <c r="B354" s="4">
        <f t="shared" si="45"/>
        <v>1</v>
      </c>
      <c r="C354" s="4">
        <f t="shared" si="46"/>
        <v>11</v>
      </c>
      <c r="D354" s="4">
        <f t="shared" si="47"/>
        <v>2023</v>
      </c>
      <c r="E354" s="4" t="str">
        <f t="shared" si="48"/>
        <v>Wednesday</v>
      </c>
      <c r="F354" s="4" t="str">
        <f t="shared" si="49"/>
        <v>November</v>
      </c>
      <c r="G354" s="4" t="str">
        <f t="shared" si="50"/>
        <v>2023</v>
      </c>
      <c r="H354" s="3">
        <v>45231</v>
      </c>
      <c r="I354" s="4" t="s">
        <v>368</v>
      </c>
      <c r="J354" s="4" t="s">
        <v>20</v>
      </c>
      <c r="K354" s="4" t="str" cm="1">
        <f t="array" ref="K354">_xlfn.IFS(L354&gt;50,"Senior", L354&gt;=30,"Adult", L354&lt;30,"Young Adult")</f>
        <v>Young Adult</v>
      </c>
      <c r="L354" s="4">
        <v>21</v>
      </c>
      <c r="M354" s="4" t="s">
        <v>26</v>
      </c>
      <c r="N354" s="4">
        <v>2</v>
      </c>
      <c r="O354" s="5">
        <v>25</v>
      </c>
      <c r="P354">
        <f t="shared" si="51"/>
        <v>50</v>
      </c>
      <c r="Q354" s="14">
        <f t="shared" si="52"/>
        <v>0.75</v>
      </c>
      <c r="R354" s="14">
        <f t="shared" si="53"/>
        <v>1</v>
      </c>
    </row>
    <row r="355" spans="1:18" x14ac:dyDescent="0.35">
      <c r="A355" s="2">
        <v>344</v>
      </c>
      <c r="B355" s="4">
        <f t="shared" si="45"/>
        <v>21</v>
      </c>
      <c r="C355" s="4">
        <f t="shared" si="46"/>
        <v>1</v>
      </c>
      <c r="D355" s="4">
        <f t="shared" si="47"/>
        <v>2023</v>
      </c>
      <c r="E355" s="4" t="str">
        <f t="shared" si="48"/>
        <v>Saturday</v>
      </c>
      <c r="F355" s="4" t="str">
        <f t="shared" si="49"/>
        <v>January</v>
      </c>
      <c r="G355" s="4" t="str">
        <f t="shared" si="50"/>
        <v>2023</v>
      </c>
      <c r="H355" s="3">
        <v>44947</v>
      </c>
      <c r="I355" s="4" t="s">
        <v>369</v>
      </c>
      <c r="J355" s="4" t="s">
        <v>23</v>
      </c>
      <c r="K355" s="4" t="str" cm="1">
        <f t="array" ref="K355">_xlfn.IFS(L355&gt;50,"Senior", L355&gt;=30,"Adult", L355&lt;30,"Young Adult")</f>
        <v>Adult</v>
      </c>
      <c r="L355" s="4">
        <v>42</v>
      </c>
      <c r="M355" s="4" t="s">
        <v>21</v>
      </c>
      <c r="N355" s="4">
        <v>1</v>
      </c>
      <c r="O355" s="5">
        <v>30</v>
      </c>
      <c r="P355">
        <f t="shared" si="51"/>
        <v>30</v>
      </c>
      <c r="Q355" s="14">
        <f t="shared" si="52"/>
        <v>0.44999999999999996</v>
      </c>
      <c r="R355" s="14">
        <f t="shared" si="53"/>
        <v>0.6</v>
      </c>
    </row>
    <row r="356" spans="1:18" x14ac:dyDescent="0.35">
      <c r="A356" s="2">
        <v>345</v>
      </c>
      <c r="B356" s="4">
        <f t="shared" si="45"/>
        <v>14</v>
      </c>
      <c r="C356" s="4">
        <f t="shared" si="46"/>
        <v>11</v>
      </c>
      <c r="D356" s="4">
        <f t="shared" si="47"/>
        <v>2023</v>
      </c>
      <c r="E356" s="4" t="str">
        <f t="shared" si="48"/>
        <v>Tuesday</v>
      </c>
      <c r="F356" s="4" t="str">
        <f t="shared" si="49"/>
        <v>November</v>
      </c>
      <c r="G356" s="4" t="str">
        <f t="shared" si="50"/>
        <v>2023</v>
      </c>
      <c r="H356" s="3">
        <v>45244</v>
      </c>
      <c r="I356" s="4" t="s">
        <v>370</v>
      </c>
      <c r="J356" s="4" t="s">
        <v>20</v>
      </c>
      <c r="K356" s="4" t="str" cm="1">
        <f t="array" ref="K356">_xlfn.IFS(L356&gt;50,"Senior", L356&gt;=30,"Adult", L356&lt;30,"Young Adult")</f>
        <v>Senior</v>
      </c>
      <c r="L356" s="4">
        <v>62</v>
      </c>
      <c r="M356" s="4" t="s">
        <v>26</v>
      </c>
      <c r="N356" s="4">
        <v>1</v>
      </c>
      <c r="O356" s="5">
        <v>30</v>
      </c>
      <c r="P356">
        <f t="shared" si="51"/>
        <v>30</v>
      </c>
      <c r="Q356" s="14">
        <f t="shared" si="52"/>
        <v>0.44999999999999996</v>
      </c>
      <c r="R356" s="14">
        <f t="shared" si="53"/>
        <v>0.6</v>
      </c>
    </row>
    <row r="357" spans="1:18" x14ac:dyDescent="0.35">
      <c r="A357" s="2">
        <v>346</v>
      </c>
      <c r="B357" s="4">
        <f t="shared" si="45"/>
        <v>11</v>
      </c>
      <c r="C357" s="4">
        <f t="shared" si="46"/>
        <v>2</v>
      </c>
      <c r="D357" s="4">
        <f t="shared" si="47"/>
        <v>2023</v>
      </c>
      <c r="E357" s="4" t="str">
        <f t="shared" si="48"/>
        <v>Saturday</v>
      </c>
      <c r="F357" s="4" t="str">
        <f t="shared" si="49"/>
        <v>February</v>
      </c>
      <c r="G357" s="4" t="str">
        <f t="shared" si="50"/>
        <v>2023</v>
      </c>
      <c r="H357" s="3">
        <v>44968</v>
      </c>
      <c r="I357" s="4" t="s">
        <v>371</v>
      </c>
      <c r="J357" s="4" t="s">
        <v>20</v>
      </c>
      <c r="K357" s="4" t="str" cm="1">
        <f t="array" ref="K357">_xlfn.IFS(L357&gt;50,"Senior", L357&gt;=30,"Adult", L357&lt;30,"Young Adult")</f>
        <v>Senior</v>
      </c>
      <c r="L357" s="4">
        <v>59</v>
      </c>
      <c r="M357" s="4" t="s">
        <v>24</v>
      </c>
      <c r="N357" s="4">
        <v>2</v>
      </c>
      <c r="O357" s="5">
        <v>500</v>
      </c>
      <c r="P357">
        <f t="shared" si="51"/>
        <v>1000</v>
      </c>
      <c r="Q357" s="14">
        <f t="shared" si="52"/>
        <v>15</v>
      </c>
      <c r="R357" s="14">
        <f t="shared" si="53"/>
        <v>20</v>
      </c>
    </row>
    <row r="358" spans="1:18" x14ac:dyDescent="0.35">
      <c r="A358" s="2">
        <v>347</v>
      </c>
      <c r="B358" s="4">
        <f t="shared" si="45"/>
        <v>3</v>
      </c>
      <c r="C358" s="4">
        <f t="shared" si="46"/>
        <v>8</v>
      </c>
      <c r="D358" s="4">
        <f t="shared" si="47"/>
        <v>2023</v>
      </c>
      <c r="E358" s="4" t="str">
        <f t="shared" si="48"/>
        <v>Thursday</v>
      </c>
      <c r="F358" s="4" t="str">
        <f t="shared" si="49"/>
        <v>August</v>
      </c>
      <c r="G358" s="4" t="str">
        <f t="shared" si="50"/>
        <v>2023</v>
      </c>
      <c r="H358" s="3">
        <v>45141</v>
      </c>
      <c r="I358" s="4" t="s">
        <v>372</v>
      </c>
      <c r="J358" s="4" t="s">
        <v>20</v>
      </c>
      <c r="K358" s="4" t="str" cm="1">
        <f t="array" ref="K358">_xlfn.IFS(L358&gt;50,"Senior", L358&gt;=30,"Adult", L358&lt;30,"Young Adult")</f>
        <v>Adult</v>
      </c>
      <c r="L358" s="4">
        <v>42</v>
      </c>
      <c r="M358" s="4" t="s">
        <v>26</v>
      </c>
      <c r="N358" s="4">
        <v>1</v>
      </c>
      <c r="O358" s="5">
        <v>25</v>
      </c>
      <c r="P358">
        <f t="shared" si="51"/>
        <v>25</v>
      </c>
      <c r="Q358" s="14">
        <f t="shared" si="52"/>
        <v>0.375</v>
      </c>
      <c r="R358" s="14">
        <f t="shared" si="53"/>
        <v>0.5</v>
      </c>
    </row>
    <row r="359" spans="1:18" x14ac:dyDescent="0.35">
      <c r="A359" s="2">
        <v>348</v>
      </c>
      <c r="B359" s="4">
        <f t="shared" si="45"/>
        <v>3</v>
      </c>
      <c r="C359" s="4">
        <f t="shared" si="46"/>
        <v>12</v>
      </c>
      <c r="D359" s="4">
        <f t="shared" si="47"/>
        <v>2023</v>
      </c>
      <c r="E359" s="4" t="str">
        <f t="shared" si="48"/>
        <v>Sunday</v>
      </c>
      <c r="F359" s="4" t="str">
        <f t="shared" si="49"/>
        <v>December</v>
      </c>
      <c r="G359" s="4" t="str">
        <f t="shared" si="50"/>
        <v>2023</v>
      </c>
      <c r="H359" s="3">
        <v>45263</v>
      </c>
      <c r="I359" s="4" t="s">
        <v>373</v>
      </c>
      <c r="J359" s="4" t="s">
        <v>23</v>
      </c>
      <c r="K359" s="4" t="str" cm="1">
        <f t="array" ref="K359">_xlfn.IFS(L359&gt;50,"Senior", L359&gt;=30,"Adult", L359&lt;30,"Young Adult")</f>
        <v>Adult</v>
      </c>
      <c r="L359" s="4">
        <v>35</v>
      </c>
      <c r="M359" s="4" t="s">
        <v>26</v>
      </c>
      <c r="N359" s="4">
        <v>2</v>
      </c>
      <c r="O359" s="5">
        <v>300</v>
      </c>
      <c r="P359">
        <f t="shared" si="51"/>
        <v>600</v>
      </c>
      <c r="Q359" s="14">
        <f t="shared" si="52"/>
        <v>9</v>
      </c>
      <c r="R359" s="14">
        <f t="shared" si="53"/>
        <v>12</v>
      </c>
    </row>
    <row r="360" spans="1:18" x14ac:dyDescent="0.35">
      <c r="A360" s="2">
        <v>349</v>
      </c>
      <c r="B360" s="4">
        <f t="shared" si="45"/>
        <v>26</v>
      </c>
      <c r="C360" s="4">
        <f t="shared" si="46"/>
        <v>10</v>
      </c>
      <c r="D360" s="4">
        <f t="shared" si="47"/>
        <v>2023</v>
      </c>
      <c r="E360" s="4" t="str">
        <f t="shared" si="48"/>
        <v>Thursday</v>
      </c>
      <c r="F360" s="4" t="str">
        <f t="shared" si="49"/>
        <v>October</v>
      </c>
      <c r="G360" s="4" t="str">
        <f t="shared" si="50"/>
        <v>2023</v>
      </c>
      <c r="H360" s="3">
        <v>45225</v>
      </c>
      <c r="I360" s="4" t="s">
        <v>374</v>
      </c>
      <c r="J360" s="4" t="s">
        <v>23</v>
      </c>
      <c r="K360" s="4" t="str" cm="1">
        <f t="array" ref="K360">_xlfn.IFS(L360&gt;50,"Senior", L360&gt;=30,"Adult", L360&lt;30,"Young Adult")</f>
        <v>Senior</v>
      </c>
      <c r="L360" s="4">
        <v>57</v>
      </c>
      <c r="M360" s="4" t="s">
        <v>21</v>
      </c>
      <c r="N360" s="4">
        <v>1</v>
      </c>
      <c r="O360" s="5">
        <v>50</v>
      </c>
      <c r="P360">
        <f t="shared" si="51"/>
        <v>50</v>
      </c>
      <c r="Q360" s="14">
        <f t="shared" si="52"/>
        <v>0.75</v>
      </c>
      <c r="R360" s="14">
        <f t="shared" si="53"/>
        <v>1</v>
      </c>
    </row>
    <row r="361" spans="1:18" x14ac:dyDescent="0.35">
      <c r="A361" s="2">
        <v>350</v>
      </c>
      <c r="B361" s="4">
        <f t="shared" si="45"/>
        <v>17</v>
      </c>
      <c r="C361" s="4">
        <f t="shared" si="46"/>
        <v>10</v>
      </c>
      <c r="D361" s="4">
        <f t="shared" si="47"/>
        <v>2023</v>
      </c>
      <c r="E361" s="4" t="str">
        <f t="shared" si="48"/>
        <v>Tuesday</v>
      </c>
      <c r="F361" s="4" t="str">
        <f t="shared" si="49"/>
        <v>October</v>
      </c>
      <c r="G361" s="4" t="str">
        <f t="shared" si="50"/>
        <v>2023</v>
      </c>
      <c r="H361" s="3">
        <v>45216</v>
      </c>
      <c r="I361" s="4" t="s">
        <v>375</v>
      </c>
      <c r="J361" s="4" t="s">
        <v>20</v>
      </c>
      <c r="K361" s="4" t="str" cm="1">
        <f t="array" ref="K361">_xlfn.IFS(L361&gt;50,"Senior", L361&gt;=30,"Adult", L361&lt;30,"Young Adult")</f>
        <v>Young Adult</v>
      </c>
      <c r="L361" s="4">
        <v>25</v>
      </c>
      <c r="M361" s="4" t="s">
        <v>21</v>
      </c>
      <c r="N361" s="4">
        <v>3</v>
      </c>
      <c r="O361" s="5">
        <v>25</v>
      </c>
      <c r="P361">
        <f t="shared" si="51"/>
        <v>75</v>
      </c>
      <c r="Q361" s="14">
        <f t="shared" si="52"/>
        <v>1.125</v>
      </c>
      <c r="R361" s="14">
        <f t="shared" si="53"/>
        <v>1.5</v>
      </c>
    </row>
    <row r="362" spans="1:18" x14ac:dyDescent="0.35">
      <c r="A362" s="2">
        <v>351</v>
      </c>
      <c r="B362" s="4">
        <f t="shared" si="45"/>
        <v>25</v>
      </c>
      <c r="C362" s="4">
        <f t="shared" si="46"/>
        <v>9</v>
      </c>
      <c r="D362" s="4">
        <f t="shared" si="47"/>
        <v>2023</v>
      </c>
      <c r="E362" s="4" t="str">
        <f t="shared" si="48"/>
        <v>Monday</v>
      </c>
      <c r="F362" s="4" t="str">
        <f t="shared" si="49"/>
        <v>September</v>
      </c>
      <c r="G362" s="4" t="str">
        <f t="shared" si="50"/>
        <v>2023</v>
      </c>
      <c r="H362" s="3">
        <v>45194</v>
      </c>
      <c r="I362" s="4" t="s">
        <v>376</v>
      </c>
      <c r="J362" s="4" t="s">
        <v>23</v>
      </c>
      <c r="K362" s="4" t="str" cm="1">
        <f t="array" ref="K362">_xlfn.IFS(L362&gt;50,"Senior", L362&gt;=30,"Adult", L362&lt;30,"Young Adult")</f>
        <v>Senior</v>
      </c>
      <c r="L362" s="4">
        <v>56</v>
      </c>
      <c r="M362" s="4" t="s">
        <v>24</v>
      </c>
      <c r="N362" s="4">
        <v>3</v>
      </c>
      <c r="O362" s="5">
        <v>30</v>
      </c>
      <c r="P362">
        <f t="shared" si="51"/>
        <v>90</v>
      </c>
      <c r="Q362" s="14">
        <f t="shared" si="52"/>
        <v>1.3499999999999999</v>
      </c>
      <c r="R362" s="14">
        <f t="shared" si="53"/>
        <v>1.8</v>
      </c>
    </row>
    <row r="363" spans="1:18" x14ac:dyDescent="0.35">
      <c r="A363" s="2">
        <v>352</v>
      </c>
      <c r="B363" s="4">
        <f t="shared" si="45"/>
        <v>11</v>
      </c>
      <c r="C363" s="4">
        <f t="shared" si="46"/>
        <v>6</v>
      </c>
      <c r="D363" s="4">
        <f t="shared" si="47"/>
        <v>2023</v>
      </c>
      <c r="E363" s="4" t="str">
        <f t="shared" si="48"/>
        <v>Sunday</v>
      </c>
      <c r="F363" s="4" t="str">
        <f t="shared" si="49"/>
        <v>June</v>
      </c>
      <c r="G363" s="4" t="str">
        <f t="shared" si="50"/>
        <v>2023</v>
      </c>
      <c r="H363" s="3">
        <v>45088</v>
      </c>
      <c r="I363" s="4" t="s">
        <v>377</v>
      </c>
      <c r="J363" s="4" t="s">
        <v>20</v>
      </c>
      <c r="K363" s="4" t="str" cm="1">
        <f t="array" ref="K363">_xlfn.IFS(L363&gt;50,"Senior", L363&gt;=30,"Adult", L363&lt;30,"Young Adult")</f>
        <v>Senior</v>
      </c>
      <c r="L363" s="4">
        <v>57</v>
      </c>
      <c r="M363" s="4" t="s">
        <v>26</v>
      </c>
      <c r="N363" s="4">
        <v>2</v>
      </c>
      <c r="O363" s="5">
        <v>500</v>
      </c>
      <c r="P363">
        <f t="shared" si="51"/>
        <v>1000</v>
      </c>
      <c r="Q363" s="14">
        <f t="shared" si="52"/>
        <v>15</v>
      </c>
      <c r="R363" s="14">
        <f t="shared" si="53"/>
        <v>20</v>
      </c>
    </row>
    <row r="364" spans="1:18" x14ac:dyDescent="0.35">
      <c r="A364" s="2">
        <v>353</v>
      </c>
      <c r="B364" s="4">
        <f t="shared" si="45"/>
        <v>14</v>
      </c>
      <c r="C364" s="4">
        <f t="shared" si="46"/>
        <v>5</v>
      </c>
      <c r="D364" s="4">
        <f t="shared" si="47"/>
        <v>2023</v>
      </c>
      <c r="E364" s="4" t="str">
        <f t="shared" si="48"/>
        <v>Sunday</v>
      </c>
      <c r="F364" s="4" t="str">
        <f t="shared" si="49"/>
        <v>May</v>
      </c>
      <c r="G364" s="4" t="str">
        <f t="shared" si="50"/>
        <v>2023</v>
      </c>
      <c r="H364" s="3">
        <v>45060</v>
      </c>
      <c r="I364" s="4" t="s">
        <v>378</v>
      </c>
      <c r="J364" s="4" t="s">
        <v>20</v>
      </c>
      <c r="K364" s="4" t="str" cm="1">
        <f t="array" ref="K364">_xlfn.IFS(L364&gt;50,"Senior", L364&gt;=30,"Adult", L364&lt;30,"Young Adult")</f>
        <v>Adult</v>
      </c>
      <c r="L364" s="4">
        <v>31</v>
      </c>
      <c r="M364" s="4" t="s">
        <v>26</v>
      </c>
      <c r="N364" s="4">
        <v>1</v>
      </c>
      <c r="O364" s="5">
        <v>500</v>
      </c>
      <c r="P364">
        <f t="shared" si="51"/>
        <v>500</v>
      </c>
      <c r="Q364" s="14">
        <f t="shared" si="52"/>
        <v>7.5</v>
      </c>
      <c r="R364" s="14">
        <f t="shared" si="53"/>
        <v>10</v>
      </c>
    </row>
    <row r="365" spans="1:18" x14ac:dyDescent="0.35">
      <c r="A365" s="2">
        <v>354</v>
      </c>
      <c r="B365" s="4">
        <f t="shared" si="45"/>
        <v>15</v>
      </c>
      <c r="C365" s="4">
        <f t="shared" si="46"/>
        <v>4</v>
      </c>
      <c r="D365" s="4">
        <f t="shared" si="47"/>
        <v>2023</v>
      </c>
      <c r="E365" s="4" t="str">
        <f t="shared" si="48"/>
        <v>Saturday</v>
      </c>
      <c r="F365" s="4" t="str">
        <f t="shared" si="49"/>
        <v>April</v>
      </c>
      <c r="G365" s="4" t="str">
        <f t="shared" si="50"/>
        <v>2023</v>
      </c>
      <c r="H365" s="3">
        <v>45031</v>
      </c>
      <c r="I365" s="4" t="s">
        <v>379</v>
      </c>
      <c r="J365" s="4" t="s">
        <v>23</v>
      </c>
      <c r="K365" s="4" t="str" cm="1">
        <f t="array" ref="K365">_xlfn.IFS(L365&gt;50,"Senior", L365&gt;=30,"Adult", L365&lt;30,"Young Adult")</f>
        <v>Adult</v>
      </c>
      <c r="L365" s="4">
        <v>49</v>
      </c>
      <c r="M365" s="4" t="s">
        <v>21</v>
      </c>
      <c r="N365" s="4">
        <v>4</v>
      </c>
      <c r="O365" s="5">
        <v>50</v>
      </c>
      <c r="P365">
        <f t="shared" si="51"/>
        <v>200</v>
      </c>
      <c r="Q365" s="14">
        <f t="shared" si="52"/>
        <v>3</v>
      </c>
      <c r="R365" s="14">
        <f t="shared" si="53"/>
        <v>4</v>
      </c>
    </row>
    <row r="366" spans="1:18" x14ac:dyDescent="0.35">
      <c r="A366" s="2">
        <v>355</v>
      </c>
      <c r="B366" s="4">
        <f t="shared" si="45"/>
        <v>9</v>
      </c>
      <c r="C366" s="4">
        <f t="shared" si="46"/>
        <v>12</v>
      </c>
      <c r="D366" s="4">
        <f t="shared" si="47"/>
        <v>2023</v>
      </c>
      <c r="E366" s="4" t="str">
        <f t="shared" si="48"/>
        <v>Saturday</v>
      </c>
      <c r="F366" s="4" t="str">
        <f t="shared" si="49"/>
        <v>December</v>
      </c>
      <c r="G366" s="4" t="str">
        <f t="shared" si="50"/>
        <v>2023</v>
      </c>
      <c r="H366" s="3">
        <v>45269</v>
      </c>
      <c r="I366" s="4" t="s">
        <v>380</v>
      </c>
      <c r="J366" s="4" t="s">
        <v>23</v>
      </c>
      <c r="K366" s="4" t="str" cm="1">
        <f t="array" ref="K366">_xlfn.IFS(L366&gt;50,"Senior", L366&gt;=30,"Adult", L366&lt;30,"Young Adult")</f>
        <v>Senior</v>
      </c>
      <c r="L366" s="4">
        <v>55</v>
      </c>
      <c r="M366" s="4" t="s">
        <v>26</v>
      </c>
      <c r="N366" s="4">
        <v>1</v>
      </c>
      <c r="O366" s="5">
        <v>500</v>
      </c>
      <c r="P366">
        <f t="shared" si="51"/>
        <v>500</v>
      </c>
      <c r="Q366" s="14">
        <f t="shared" si="52"/>
        <v>7.5</v>
      </c>
      <c r="R366" s="14">
        <f t="shared" si="53"/>
        <v>10</v>
      </c>
    </row>
    <row r="367" spans="1:18" x14ac:dyDescent="0.35">
      <c r="A367" s="2">
        <v>356</v>
      </c>
      <c r="B367" s="4">
        <f t="shared" si="45"/>
        <v>10</v>
      </c>
      <c r="C367" s="4">
        <f t="shared" si="46"/>
        <v>6</v>
      </c>
      <c r="D367" s="4">
        <f t="shared" si="47"/>
        <v>2023</v>
      </c>
      <c r="E367" s="4" t="str">
        <f t="shared" si="48"/>
        <v>Saturday</v>
      </c>
      <c r="F367" s="4" t="str">
        <f t="shared" si="49"/>
        <v>June</v>
      </c>
      <c r="G367" s="4" t="str">
        <f t="shared" si="50"/>
        <v>2023</v>
      </c>
      <c r="H367" s="3">
        <v>45087</v>
      </c>
      <c r="I367" s="4" t="s">
        <v>381</v>
      </c>
      <c r="J367" s="4" t="s">
        <v>20</v>
      </c>
      <c r="K367" s="4" t="str" cm="1">
        <f t="array" ref="K367">_xlfn.IFS(L367&gt;50,"Senior", L367&gt;=30,"Adult", L367&lt;30,"Young Adult")</f>
        <v>Adult</v>
      </c>
      <c r="L367" s="4">
        <v>50</v>
      </c>
      <c r="M367" s="4" t="s">
        <v>26</v>
      </c>
      <c r="N367" s="4">
        <v>3</v>
      </c>
      <c r="O367" s="5">
        <v>500</v>
      </c>
      <c r="P367">
        <f t="shared" si="51"/>
        <v>1500</v>
      </c>
      <c r="Q367" s="14">
        <f t="shared" si="52"/>
        <v>22.5</v>
      </c>
      <c r="R367" s="14">
        <f t="shared" si="53"/>
        <v>30</v>
      </c>
    </row>
    <row r="368" spans="1:18" x14ac:dyDescent="0.35">
      <c r="A368" s="2">
        <v>357</v>
      </c>
      <c r="B368" s="4">
        <f t="shared" si="45"/>
        <v>3</v>
      </c>
      <c r="C368" s="4">
        <f t="shared" si="46"/>
        <v>5</v>
      </c>
      <c r="D368" s="4">
        <f t="shared" si="47"/>
        <v>2023</v>
      </c>
      <c r="E368" s="4" t="str">
        <f t="shared" si="48"/>
        <v>Wednesday</v>
      </c>
      <c r="F368" s="4" t="str">
        <f t="shared" si="49"/>
        <v>May</v>
      </c>
      <c r="G368" s="4" t="str">
        <f t="shared" si="50"/>
        <v>2023</v>
      </c>
      <c r="H368" s="3">
        <v>45049</v>
      </c>
      <c r="I368" s="4" t="s">
        <v>382</v>
      </c>
      <c r="J368" s="4" t="s">
        <v>23</v>
      </c>
      <c r="K368" s="4" t="str" cm="1">
        <f t="array" ref="K368">_xlfn.IFS(L368&gt;50,"Senior", L368&gt;=30,"Adult", L368&lt;30,"Young Adult")</f>
        <v>Adult</v>
      </c>
      <c r="L368" s="4">
        <v>40</v>
      </c>
      <c r="M368" s="4" t="s">
        <v>26</v>
      </c>
      <c r="N368" s="4">
        <v>3</v>
      </c>
      <c r="O368" s="5">
        <v>25</v>
      </c>
      <c r="P368">
        <f t="shared" si="51"/>
        <v>75</v>
      </c>
      <c r="Q368" s="14">
        <f t="shared" si="52"/>
        <v>1.125</v>
      </c>
      <c r="R368" s="14">
        <f t="shared" si="53"/>
        <v>1.5</v>
      </c>
    </row>
    <row r="369" spans="1:18" x14ac:dyDescent="0.35">
      <c r="A369" s="2">
        <v>358</v>
      </c>
      <c r="B369" s="4">
        <f t="shared" si="45"/>
        <v>16</v>
      </c>
      <c r="C369" s="4">
        <f t="shared" si="46"/>
        <v>5</v>
      </c>
      <c r="D369" s="4">
        <f t="shared" si="47"/>
        <v>2023</v>
      </c>
      <c r="E369" s="4" t="str">
        <f t="shared" si="48"/>
        <v>Tuesday</v>
      </c>
      <c r="F369" s="4" t="str">
        <f t="shared" si="49"/>
        <v>May</v>
      </c>
      <c r="G369" s="4" t="str">
        <f t="shared" si="50"/>
        <v>2023</v>
      </c>
      <c r="H369" s="3">
        <v>45062</v>
      </c>
      <c r="I369" s="4" t="s">
        <v>383</v>
      </c>
      <c r="J369" s="4" t="s">
        <v>23</v>
      </c>
      <c r="K369" s="4" t="str" cm="1">
        <f t="array" ref="K369">_xlfn.IFS(L369&gt;50,"Senior", L369&gt;=30,"Adult", L369&lt;30,"Young Adult")</f>
        <v>Adult</v>
      </c>
      <c r="L369" s="4">
        <v>32</v>
      </c>
      <c r="M369" s="4" t="s">
        <v>21</v>
      </c>
      <c r="N369" s="4">
        <v>1</v>
      </c>
      <c r="O369" s="5">
        <v>300</v>
      </c>
      <c r="P369">
        <f t="shared" si="51"/>
        <v>300</v>
      </c>
      <c r="Q369" s="14">
        <f t="shared" si="52"/>
        <v>4.5</v>
      </c>
      <c r="R369" s="14">
        <f t="shared" si="53"/>
        <v>6</v>
      </c>
    </row>
    <row r="370" spans="1:18" x14ac:dyDescent="0.35">
      <c r="A370" s="2">
        <v>359</v>
      </c>
      <c r="B370" s="4">
        <f t="shared" si="45"/>
        <v>22</v>
      </c>
      <c r="C370" s="4">
        <f t="shared" si="46"/>
        <v>7</v>
      </c>
      <c r="D370" s="4">
        <f t="shared" si="47"/>
        <v>2023</v>
      </c>
      <c r="E370" s="4" t="str">
        <f t="shared" si="48"/>
        <v>Saturday</v>
      </c>
      <c r="F370" s="4" t="str">
        <f t="shared" si="49"/>
        <v>July</v>
      </c>
      <c r="G370" s="4" t="str">
        <f t="shared" si="50"/>
        <v>2023</v>
      </c>
      <c r="H370" s="3">
        <v>45129</v>
      </c>
      <c r="I370" s="4" t="s">
        <v>384</v>
      </c>
      <c r="J370" s="4" t="s">
        <v>20</v>
      </c>
      <c r="K370" s="4" t="str" cm="1">
        <f t="array" ref="K370">_xlfn.IFS(L370&gt;50,"Senior", L370&gt;=30,"Adult", L370&lt;30,"Young Adult")</f>
        <v>Adult</v>
      </c>
      <c r="L370" s="4">
        <v>50</v>
      </c>
      <c r="M370" s="4" t="s">
        <v>24</v>
      </c>
      <c r="N370" s="4">
        <v>1</v>
      </c>
      <c r="O370" s="5">
        <v>50</v>
      </c>
      <c r="P370">
        <f t="shared" si="51"/>
        <v>50</v>
      </c>
      <c r="Q370" s="14">
        <f t="shared" si="52"/>
        <v>0.75</v>
      </c>
      <c r="R370" s="14">
        <f t="shared" si="53"/>
        <v>1</v>
      </c>
    </row>
    <row r="371" spans="1:18" x14ac:dyDescent="0.35">
      <c r="A371" s="2">
        <v>360</v>
      </c>
      <c r="B371" s="4">
        <f t="shared" si="45"/>
        <v>9</v>
      </c>
      <c r="C371" s="4">
        <f t="shared" si="46"/>
        <v>3</v>
      </c>
      <c r="D371" s="4">
        <f t="shared" si="47"/>
        <v>2023</v>
      </c>
      <c r="E371" s="4" t="str">
        <f t="shared" si="48"/>
        <v>Thursday</v>
      </c>
      <c r="F371" s="4" t="str">
        <f t="shared" si="49"/>
        <v>March</v>
      </c>
      <c r="G371" s="4" t="str">
        <f t="shared" si="50"/>
        <v>2023</v>
      </c>
      <c r="H371" s="3">
        <v>44994</v>
      </c>
      <c r="I371" s="4" t="s">
        <v>385</v>
      </c>
      <c r="J371" s="4" t="s">
        <v>20</v>
      </c>
      <c r="K371" s="4" t="str" cm="1">
        <f t="array" ref="K371">_xlfn.IFS(L371&gt;50,"Senior", L371&gt;=30,"Adult", L371&lt;30,"Young Adult")</f>
        <v>Adult</v>
      </c>
      <c r="L371" s="4">
        <v>42</v>
      </c>
      <c r="M371" s="4" t="s">
        <v>24</v>
      </c>
      <c r="N371" s="4">
        <v>4</v>
      </c>
      <c r="O371" s="5">
        <v>25</v>
      </c>
      <c r="P371">
        <f t="shared" si="51"/>
        <v>100</v>
      </c>
      <c r="Q371" s="14">
        <f t="shared" si="52"/>
        <v>1.5</v>
      </c>
      <c r="R371" s="14">
        <f t="shared" si="53"/>
        <v>2</v>
      </c>
    </row>
    <row r="372" spans="1:18" x14ac:dyDescent="0.35">
      <c r="A372" s="2">
        <v>361</v>
      </c>
      <c r="B372" s="4">
        <f t="shared" si="45"/>
        <v>10</v>
      </c>
      <c r="C372" s="4">
        <f t="shared" si="46"/>
        <v>12</v>
      </c>
      <c r="D372" s="4">
        <f t="shared" si="47"/>
        <v>2023</v>
      </c>
      <c r="E372" s="4" t="str">
        <f t="shared" si="48"/>
        <v>Sunday</v>
      </c>
      <c r="F372" s="4" t="str">
        <f t="shared" si="49"/>
        <v>December</v>
      </c>
      <c r="G372" s="4" t="str">
        <f t="shared" si="50"/>
        <v>2023</v>
      </c>
      <c r="H372" s="3">
        <v>45270</v>
      </c>
      <c r="I372" s="4" t="s">
        <v>386</v>
      </c>
      <c r="J372" s="4" t="s">
        <v>23</v>
      </c>
      <c r="K372" s="4" t="str" cm="1">
        <f t="array" ref="K372">_xlfn.IFS(L372&gt;50,"Senior", L372&gt;=30,"Adult", L372&lt;30,"Young Adult")</f>
        <v>Adult</v>
      </c>
      <c r="L372" s="4">
        <v>34</v>
      </c>
      <c r="M372" s="4" t="s">
        <v>26</v>
      </c>
      <c r="N372" s="4">
        <v>4</v>
      </c>
      <c r="O372" s="5">
        <v>300</v>
      </c>
      <c r="P372">
        <f t="shared" si="51"/>
        <v>1200</v>
      </c>
      <c r="Q372" s="14">
        <f t="shared" si="52"/>
        <v>18</v>
      </c>
      <c r="R372" s="14">
        <f t="shared" si="53"/>
        <v>24</v>
      </c>
    </row>
    <row r="373" spans="1:18" x14ac:dyDescent="0.35">
      <c r="A373" s="2">
        <v>362</v>
      </c>
      <c r="B373" s="4">
        <f t="shared" si="45"/>
        <v>27</v>
      </c>
      <c r="C373" s="4">
        <f t="shared" si="46"/>
        <v>11</v>
      </c>
      <c r="D373" s="4">
        <f t="shared" si="47"/>
        <v>2023</v>
      </c>
      <c r="E373" s="4" t="str">
        <f t="shared" si="48"/>
        <v>Monday</v>
      </c>
      <c r="F373" s="4" t="str">
        <f t="shared" si="49"/>
        <v>November</v>
      </c>
      <c r="G373" s="4" t="str">
        <f t="shared" si="50"/>
        <v>2023</v>
      </c>
      <c r="H373" s="3">
        <v>45257</v>
      </c>
      <c r="I373" s="4" t="s">
        <v>387</v>
      </c>
      <c r="J373" s="4" t="s">
        <v>20</v>
      </c>
      <c r="K373" s="4" t="str" cm="1">
        <f t="array" ref="K373">_xlfn.IFS(L373&gt;50,"Senior", L373&gt;=30,"Adult", L373&lt;30,"Young Adult")</f>
        <v>Adult</v>
      </c>
      <c r="L373" s="4">
        <v>50</v>
      </c>
      <c r="M373" s="4" t="s">
        <v>24</v>
      </c>
      <c r="N373" s="4">
        <v>1</v>
      </c>
      <c r="O373" s="5">
        <v>25</v>
      </c>
      <c r="P373">
        <f t="shared" si="51"/>
        <v>25</v>
      </c>
      <c r="Q373" s="14">
        <f t="shared" si="52"/>
        <v>0.375</v>
      </c>
      <c r="R373" s="14">
        <f t="shared" si="53"/>
        <v>0.5</v>
      </c>
    </row>
    <row r="374" spans="1:18" x14ac:dyDescent="0.35">
      <c r="A374" s="2">
        <v>363</v>
      </c>
      <c r="B374" s="4">
        <f t="shared" si="45"/>
        <v>3</v>
      </c>
      <c r="C374" s="4">
        <f t="shared" si="46"/>
        <v>6</v>
      </c>
      <c r="D374" s="4">
        <f t="shared" si="47"/>
        <v>2023</v>
      </c>
      <c r="E374" s="4" t="str">
        <f t="shared" si="48"/>
        <v>Saturday</v>
      </c>
      <c r="F374" s="4" t="str">
        <f t="shared" si="49"/>
        <v>June</v>
      </c>
      <c r="G374" s="4" t="str">
        <f t="shared" si="50"/>
        <v>2023</v>
      </c>
      <c r="H374" s="3">
        <v>45080</v>
      </c>
      <c r="I374" s="4" t="s">
        <v>388</v>
      </c>
      <c r="J374" s="4" t="s">
        <v>20</v>
      </c>
      <c r="K374" s="4" t="str" cm="1">
        <f t="array" ref="K374">_xlfn.IFS(L374&gt;50,"Senior", L374&gt;=30,"Adult", L374&lt;30,"Young Adult")</f>
        <v>Senior</v>
      </c>
      <c r="L374" s="4">
        <v>64</v>
      </c>
      <c r="M374" s="4" t="s">
        <v>21</v>
      </c>
      <c r="N374" s="4">
        <v>1</v>
      </c>
      <c r="O374" s="5">
        <v>25</v>
      </c>
      <c r="P374">
        <f t="shared" si="51"/>
        <v>25</v>
      </c>
      <c r="Q374" s="14">
        <f t="shared" si="52"/>
        <v>0.375</v>
      </c>
      <c r="R374" s="14">
        <f t="shared" si="53"/>
        <v>0.5</v>
      </c>
    </row>
    <row r="375" spans="1:18" x14ac:dyDescent="0.35">
      <c r="A375" s="2">
        <v>364</v>
      </c>
      <c r="B375" s="4">
        <f t="shared" si="45"/>
        <v>23</v>
      </c>
      <c r="C375" s="4">
        <f t="shared" si="46"/>
        <v>8</v>
      </c>
      <c r="D375" s="4">
        <f t="shared" si="47"/>
        <v>2023</v>
      </c>
      <c r="E375" s="4" t="str">
        <f t="shared" si="48"/>
        <v>Wednesday</v>
      </c>
      <c r="F375" s="4" t="str">
        <f t="shared" si="49"/>
        <v>August</v>
      </c>
      <c r="G375" s="4" t="str">
        <f t="shared" si="50"/>
        <v>2023</v>
      </c>
      <c r="H375" s="3">
        <v>45161</v>
      </c>
      <c r="I375" s="4" t="s">
        <v>389</v>
      </c>
      <c r="J375" s="4" t="s">
        <v>23</v>
      </c>
      <c r="K375" s="4" t="str" cm="1">
        <f t="array" ref="K375">_xlfn.IFS(L375&gt;50,"Senior", L375&gt;=30,"Adult", L375&lt;30,"Young Adult")</f>
        <v>Young Adult</v>
      </c>
      <c r="L375" s="4">
        <v>19</v>
      </c>
      <c r="M375" s="4" t="s">
        <v>21</v>
      </c>
      <c r="N375" s="4">
        <v>1</v>
      </c>
      <c r="O375" s="5">
        <v>500</v>
      </c>
      <c r="P375">
        <f t="shared" si="51"/>
        <v>500</v>
      </c>
      <c r="Q375" s="14">
        <f t="shared" si="52"/>
        <v>7.5</v>
      </c>
      <c r="R375" s="14">
        <f t="shared" si="53"/>
        <v>10</v>
      </c>
    </row>
    <row r="376" spans="1:18" x14ac:dyDescent="0.35">
      <c r="A376" s="2">
        <v>365</v>
      </c>
      <c r="B376" s="4">
        <f t="shared" si="45"/>
        <v>11</v>
      </c>
      <c r="C376" s="4">
        <f t="shared" si="46"/>
        <v>6</v>
      </c>
      <c r="D376" s="4">
        <f t="shared" si="47"/>
        <v>2023</v>
      </c>
      <c r="E376" s="4" t="str">
        <f t="shared" si="48"/>
        <v>Sunday</v>
      </c>
      <c r="F376" s="4" t="str">
        <f t="shared" si="49"/>
        <v>June</v>
      </c>
      <c r="G376" s="4" t="str">
        <f t="shared" si="50"/>
        <v>2023</v>
      </c>
      <c r="H376" s="3">
        <v>45088</v>
      </c>
      <c r="I376" s="4" t="s">
        <v>390</v>
      </c>
      <c r="J376" s="4" t="s">
        <v>20</v>
      </c>
      <c r="K376" s="4" t="str" cm="1">
        <f t="array" ref="K376">_xlfn.IFS(L376&gt;50,"Senior", L376&gt;=30,"Adult", L376&lt;30,"Young Adult")</f>
        <v>Adult</v>
      </c>
      <c r="L376" s="4">
        <v>31</v>
      </c>
      <c r="M376" s="4" t="s">
        <v>24</v>
      </c>
      <c r="N376" s="4">
        <v>1</v>
      </c>
      <c r="O376" s="5">
        <v>300</v>
      </c>
      <c r="P376">
        <f t="shared" si="51"/>
        <v>300</v>
      </c>
      <c r="Q376" s="14">
        <f t="shared" si="52"/>
        <v>4.5</v>
      </c>
      <c r="R376" s="14">
        <f t="shared" si="53"/>
        <v>6</v>
      </c>
    </row>
    <row r="377" spans="1:18" x14ac:dyDescent="0.35">
      <c r="A377" s="2">
        <v>366</v>
      </c>
      <c r="B377" s="4">
        <f t="shared" si="45"/>
        <v>7</v>
      </c>
      <c r="C377" s="4">
        <f t="shared" si="46"/>
        <v>2</v>
      </c>
      <c r="D377" s="4">
        <f t="shared" si="47"/>
        <v>2023</v>
      </c>
      <c r="E377" s="4" t="str">
        <f t="shared" si="48"/>
        <v>Tuesday</v>
      </c>
      <c r="F377" s="4" t="str">
        <f t="shared" si="49"/>
        <v>February</v>
      </c>
      <c r="G377" s="4" t="str">
        <f t="shared" si="50"/>
        <v>2023</v>
      </c>
      <c r="H377" s="3">
        <v>44964</v>
      </c>
      <c r="I377" s="4" t="s">
        <v>391</v>
      </c>
      <c r="J377" s="4" t="s">
        <v>20</v>
      </c>
      <c r="K377" s="4" t="str" cm="1">
        <f t="array" ref="K377">_xlfn.IFS(L377&gt;50,"Senior", L377&gt;=30,"Adult", L377&lt;30,"Young Adult")</f>
        <v>Senior</v>
      </c>
      <c r="L377" s="4">
        <v>57</v>
      </c>
      <c r="M377" s="4" t="s">
        <v>24</v>
      </c>
      <c r="N377" s="4">
        <v>2</v>
      </c>
      <c r="O377" s="5">
        <v>50</v>
      </c>
      <c r="P377">
        <f t="shared" si="51"/>
        <v>100</v>
      </c>
      <c r="Q377" s="14">
        <f t="shared" si="52"/>
        <v>1.5</v>
      </c>
      <c r="R377" s="14">
        <f t="shared" si="53"/>
        <v>2</v>
      </c>
    </row>
    <row r="378" spans="1:18" x14ac:dyDescent="0.35">
      <c r="A378" s="2">
        <v>367</v>
      </c>
      <c r="B378" s="4">
        <f t="shared" si="45"/>
        <v>5</v>
      </c>
      <c r="C378" s="4">
        <f t="shared" si="46"/>
        <v>1</v>
      </c>
      <c r="D378" s="4">
        <f t="shared" si="47"/>
        <v>2023</v>
      </c>
      <c r="E378" s="4" t="str">
        <f t="shared" si="48"/>
        <v>Thursday</v>
      </c>
      <c r="F378" s="4" t="str">
        <f t="shared" si="49"/>
        <v>January</v>
      </c>
      <c r="G378" s="4" t="str">
        <f t="shared" si="50"/>
        <v>2023</v>
      </c>
      <c r="H378" s="3">
        <v>44931</v>
      </c>
      <c r="I378" s="4" t="s">
        <v>392</v>
      </c>
      <c r="J378" s="4" t="s">
        <v>23</v>
      </c>
      <c r="K378" s="4" t="str" cm="1">
        <f t="array" ref="K378">_xlfn.IFS(L378&gt;50,"Senior", L378&gt;=30,"Adult", L378&lt;30,"Young Adult")</f>
        <v>Senior</v>
      </c>
      <c r="L378" s="4">
        <v>57</v>
      </c>
      <c r="M378" s="4" t="s">
        <v>26</v>
      </c>
      <c r="N378" s="4">
        <v>1</v>
      </c>
      <c r="O378" s="5">
        <v>50</v>
      </c>
      <c r="P378">
        <f t="shared" si="51"/>
        <v>50</v>
      </c>
      <c r="Q378" s="14">
        <f t="shared" si="52"/>
        <v>0.75</v>
      </c>
      <c r="R378" s="14">
        <f t="shared" si="53"/>
        <v>1</v>
      </c>
    </row>
    <row r="379" spans="1:18" x14ac:dyDescent="0.35">
      <c r="A379" s="2">
        <v>368</v>
      </c>
      <c r="B379" s="4">
        <f t="shared" si="45"/>
        <v>23</v>
      </c>
      <c r="C379" s="4">
        <f t="shared" si="46"/>
        <v>8</v>
      </c>
      <c r="D379" s="4">
        <f t="shared" si="47"/>
        <v>2023</v>
      </c>
      <c r="E379" s="4" t="str">
        <f t="shared" si="48"/>
        <v>Wednesday</v>
      </c>
      <c r="F379" s="4" t="str">
        <f t="shared" si="49"/>
        <v>August</v>
      </c>
      <c r="G379" s="4" t="str">
        <f t="shared" si="50"/>
        <v>2023</v>
      </c>
      <c r="H379" s="3">
        <v>45161</v>
      </c>
      <c r="I379" s="4" t="s">
        <v>393</v>
      </c>
      <c r="J379" s="4" t="s">
        <v>23</v>
      </c>
      <c r="K379" s="4" t="str" cm="1">
        <f t="array" ref="K379">_xlfn.IFS(L379&gt;50,"Senior", L379&gt;=30,"Adult", L379&lt;30,"Young Adult")</f>
        <v>Senior</v>
      </c>
      <c r="L379" s="4">
        <v>56</v>
      </c>
      <c r="M379" s="4" t="s">
        <v>24</v>
      </c>
      <c r="N379" s="4">
        <v>4</v>
      </c>
      <c r="O379" s="5">
        <v>300</v>
      </c>
      <c r="P379">
        <f t="shared" si="51"/>
        <v>1200</v>
      </c>
      <c r="Q379" s="14">
        <f t="shared" si="52"/>
        <v>18</v>
      </c>
      <c r="R379" s="14">
        <f t="shared" si="53"/>
        <v>24</v>
      </c>
    </row>
    <row r="380" spans="1:18" x14ac:dyDescent="0.35">
      <c r="A380" s="2">
        <v>369</v>
      </c>
      <c r="B380" s="4">
        <f t="shared" si="45"/>
        <v>15</v>
      </c>
      <c r="C380" s="4">
        <f t="shared" si="46"/>
        <v>11</v>
      </c>
      <c r="D380" s="4">
        <f t="shared" si="47"/>
        <v>2023</v>
      </c>
      <c r="E380" s="4" t="str">
        <f t="shared" si="48"/>
        <v>Wednesday</v>
      </c>
      <c r="F380" s="4" t="str">
        <f t="shared" si="49"/>
        <v>November</v>
      </c>
      <c r="G380" s="4" t="str">
        <f t="shared" si="50"/>
        <v>2023</v>
      </c>
      <c r="H380" s="3">
        <v>45245</v>
      </c>
      <c r="I380" s="4" t="s">
        <v>394</v>
      </c>
      <c r="J380" s="4" t="s">
        <v>20</v>
      </c>
      <c r="K380" s="4" t="str" cm="1">
        <f t="array" ref="K380">_xlfn.IFS(L380&gt;50,"Senior", L380&gt;=30,"Adult", L380&lt;30,"Young Adult")</f>
        <v>Young Adult</v>
      </c>
      <c r="L380" s="4">
        <v>23</v>
      </c>
      <c r="M380" s="4" t="s">
        <v>26</v>
      </c>
      <c r="N380" s="4">
        <v>3</v>
      </c>
      <c r="O380" s="5">
        <v>500</v>
      </c>
      <c r="P380">
        <f t="shared" si="51"/>
        <v>1500</v>
      </c>
      <c r="Q380" s="14">
        <f t="shared" si="52"/>
        <v>22.5</v>
      </c>
      <c r="R380" s="14">
        <f t="shared" si="53"/>
        <v>30</v>
      </c>
    </row>
    <row r="381" spans="1:18" x14ac:dyDescent="0.35">
      <c r="A381" s="2">
        <v>370</v>
      </c>
      <c r="B381" s="4">
        <f t="shared" si="45"/>
        <v>16</v>
      </c>
      <c r="C381" s="4">
        <f t="shared" si="46"/>
        <v>10</v>
      </c>
      <c r="D381" s="4">
        <f t="shared" si="47"/>
        <v>2023</v>
      </c>
      <c r="E381" s="4" t="str">
        <f t="shared" si="48"/>
        <v>Monday</v>
      </c>
      <c r="F381" s="4" t="str">
        <f t="shared" si="49"/>
        <v>October</v>
      </c>
      <c r="G381" s="4" t="str">
        <f t="shared" si="50"/>
        <v>2023</v>
      </c>
      <c r="H381" s="3">
        <v>45215</v>
      </c>
      <c r="I381" s="4" t="s">
        <v>395</v>
      </c>
      <c r="J381" s="4" t="s">
        <v>20</v>
      </c>
      <c r="K381" s="4" t="str" cm="1">
        <f t="array" ref="K381">_xlfn.IFS(L381&gt;50,"Senior", L381&gt;=30,"Adult", L381&lt;30,"Young Adult")</f>
        <v>Young Adult</v>
      </c>
      <c r="L381" s="4">
        <v>23</v>
      </c>
      <c r="M381" s="4" t="s">
        <v>26</v>
      </c>
      <c r="N381" s="4">
        <v>2</v>
      </c>
      <c r="O381" s="5">
        <v>30</v>
      </c>
      <c r="P381">
        <f t="shared" si="51"/>
        <v>60</v>
      </c>
      <c r="Q381" s="14">
        <f t="shared" si="52"/>
        <v>0.89999999999999991</v>
      </c>
      <c r="R381" s="14">
        <f t="shared" si="53"/>
        <v>1.2</v>
      </c>
    </row>
    <row r="382" spans="1:18" x14ac:dyDescent="0.35">
      <c r="A382" s="2">
        <v>371</v>
      </c>
      <c r="B382" s="4">
        <f t="shared" si="45"/>
        <v>21</v>
      </c>
      <c r="C382" s="4">
        <f t="shared" si="46"/>
        <v>2</v>
      </c>
      <c r="D382" s="4">
        <f t="shared" si="47"/>
        <v>2023</v>
      </c>
      <c r="E382" s="4" t="str">
        <f t="shared" si="48"/>
        <v>Tuesday</v>
      </c>
      <c r="F382" s="4" t="str">
        <f t="shared" si="49"/>
        <v>February</v>
      </c>
      <c r="G382" s="4" t="str">
        <f t="shared" si="50"/>
        <v>2023</v>
      </c>
      <c r="H382" s="3">
        <v>44978</v>
      </c>
      <c r="I382" s="4" t="s">
        <v>396</v>
      </c>
      <c r="J382" s="4" t="s">
        <v>23</v>
      </c>
      <c r="K382" s="4" t="str" cm="1">
        <f t="array" ref="K382">_xlfn.IFS(L382&gt;50,"Senior", L382&gt;=30,"Adult", L382&lt;30,"Young Adult")</f>
        <v>Young Adult</v>
      </c>
      <c r="L382" s="4">
        <v>20</v>
      </c>
      <c r="M382" s="4" t="s">
        <v>21</v>
      </c>
      <c r="N382" s="4">
        <v>1</v>
      </c>
      <c r="O382" s="5">
        <v>25</v>
      </c>
      <c r="P382">
        <f t="shared" si="51"/>
        <v>25</v>
      </c>
      <c r="Q382" s="14">
        <f t="shared" si="52"/>
        <v>0.375</v>
      </c>
      <c r="R382" s="14">
        <f t="shared" si="53"/>
        <v>0.5</v>
      </c>
    </row>
    <row r="383" spans="1:18" x14ac:dyDescent="0.35">
      <c r="A383" s="2">
        <v>372</v>
      </c>
      <c r="B383" s="4">
        <f t="shared" si="45"/>
        <v>7</v>
      </c>
      <c r="C383" s="4">
        <f t="shared" si="46"/>
        <v>2</v>
      </c>
      <c r="D383" s="4">
        <f t="shared" si="47"/>
        <v>2023</v>
      </c>
      <c r="E383" s="4" t="str">
        <f t="shared" si="48"/>
        <v>Tuesday</v>
      </c>
      <c r="F383" s="4" t="str">
        <f t="shared" si="49"/>
        <v>February</v>
      </c>
      <c r="G383" s="4" t="str">
        <f t="shared" si="50"/>
        <v>2023</v>
      </c>
      <c r="H383" s="3">
        <v>44964</v>
      </c>
      <c r="I383" s="4" t="s">
        <v>397</v>
      </c>
      <c r="J383" s="4" t="s">
        <v>23</v>
      </c>
      <c r="K383" s="4" t="str" cm="1">
        <f t="array" ref="K383">_xlfn.IFS(L383&gt;50,"Senior", L383&gt;=30,"Adult", L383&lt;30,"Young Adult")</f>
        <v>Young Adult</v>
      </c>
      <c r="L383" s="4">
        <v>24</v>
      </c>
      <c r="M383" s="4" t="s">
        <v>21</v>
      </c>
      <c r="N383" s="4">
        <v>3</v>
      </c>
      <c r="O383" s="5">
        <v>500</v>
      </c>
      <c r="P383">
        <f t="shared" si="51"/>
        <v>1500</v>
      </c>
      <c r="Q383" s="14">
        <f t="shared" si="52"/>
        <v>22.5</v>
      </c>
      <c r="R383" s="14">
        <f t="shared" si="53"/>
        <v>30</v>
      </c>
    </row>
    <row r="384" spans="1:18" x14ac:dyDescent="0.35">
      <c r="A384" s="2">
        <v>373</v>
      </c>
      <c r="B384" s="4">
        <f t="shared" si="45"/>
        <v>3</v>
      </c>
      <c r="C384" s="4">
        <f t="shared" si="46"/>
        <v>10</v>
      </c>
      <c r="D384" s="4">
        <f t="shared" si="47"/>
        <v>2023</v>
      </c>
      <c r="E384" s="4" t="str">
        <f t="shared" si="48"/>
        <v>Tuesday</v>
      </c>
      <c r="F384" s="4" t="str">
        <f t="shared" si="49"/>
        <v>October</v>
      </c>
      <c r="G384" s="4" t="str">
        <f t="shared" si="50"/>
        <v>2023</v>
      </c>
      <c r="H384" s="3">
        <v>45202</v>
      </c>
      <c r="I384" s="4" t="s">
        <v>398</v>
      </c>
      <c r="J384" s="4" t="s">
        <v>23</v>
      </c>
      <c r="K384" s="4" t="str" cm="1">
        <f t="array" ref="K384">_xlfn.IFS(L384&gt;50,"Senior", L384&gt;=30,"Adult", L384&lt;30,"Young Adult")</f>
        <v>Young Adult</v>
      </c>
      <c r="L384" s="4">
        <v>25</v>
      </c>
      <c r="M384" s="4" t="s">
        <v>21</v>
      </c>
      <c r="N384" s="4">
        <v>2</v>
      </c>
      <c r="O384" s="5">
        <v>300</v>
      </c>
      <c r="P384">
        <f t="shared" si="51"/>
        <v>600</v>
      </c>
      <c r="Q384" s="14">
        <f t="shared" si="52"/>
        <v>9</v>
      </c>
      <c r="R384" s="14">
        <f t="shared" si="53"/>
        <v>12</v>
      </c>
    </row>
    <row r="385" spans="1:18" x14ac:dyDescent="0.35">
      <c r="A385" s="2">
        <v>374</v>
      </c>
      <c r="B385" s="4">
        <f t="shared" si="45"/>
        <v>20</v>
      </c>
      <c r="C385" s="4">
        <f t="shared" si="46"/>
        <v>4</v>
      </c>
      <c r="D385" s="4">
        <f t="shared" si="47"/>
        <v>2023</v>
      </c>
      <c r="E385" s="4" t="str">
        <f t="shared" si="48"/>
        <v>Thursday</v>
      </c>
      <c r="F385" s="4" t="str">
        <f t="shared" si="49"/>
        <v>April</v>
      </c>
      <c r="G385" s="4" t="str">
        <f t="shared" si="50"/>
        <v>2023</v>
      </c>
      <c r="H385" s="3">
        <v>45036</v>
      </c>
      <c r="I385" s="4" t="s">
        <v>399</v>
      </c>
      <c r="J385" s="4" t="s">
        <v>23</v>
      </c>
      <c r="K385" s="4" t="str" cm="1">
        <f t="array" ref="K385">_xlfn.IFS(L385&gt;50,"Senior", L385&gt;=30,"Adult", L385&lt;30,"Young Adult")</f>
        <v>Senior</v>
      </c>
      <c r="L385" s="4">
        <v>59</v>
      </c>
      <c r="M385" s="4" t="s">
        <v>21</v>
      </c>
      <c r="N385" s="4">
        <v>3</v>
      </c>
      <c r="O385" s="5">
        <v>25</v>
      </c>
      <c r="P385">
        <f t="shared" si="51"/>
        <v>75</v>
      </c>
      <c r="Q385" s="14">
        <f t="shared" si="52"/>
        <v>1.125</v>
      </c>
      <c r="R385" s="14">
        <f t="shared" si="53"/>
        <v>1.5</v>
      </c>
    </row>
    <row r="386" spans="1:18" x14ac:dyDescent="0.35">
      <c r="A386" s="2">
        <v>375</v>
      </c>
      <c r="B386" s="4">
        <f t="shared" si="45"/>
        <v>17</v>
      </c>
      <c r="C386" s="4">
        <f t="shared" si="46"/>
        <v>9</v>
      </c>
      <c r="D386" s="4">
        <f t="shared" si="47"/>
        <v>2023</v>
      </c>
      <c r="E386" s="4" t="str">
        <f t="shared" si="48"/>
        <v>Sunday</v>
      </c>
      <c r="F386" s="4" t="str">
        <f t="shared" si="49"/>
        <v>September</v>
      </c>
      <c r="G386" s="4" t="str">
        <f t="shared" si="50"/>
        <v>2023</v>
      </c>
      <c r="H386" s="3">
        <v>45186</v>
      </c>
      <c r="I386" s="4" t="s">
        <v>400</v>
      </c>
      <c r="J386" s="4" t="s">
        <v>20</v>
      </c>
      <c r="K386" s="4" t="str" cm="1">
        <f t="array" ref="K386">_xlfn.IFS(L386&gt;50,"Senior", L386&gt;=30,"Adult", L386&lt;30,"Young Adult")</f>
        <v>Adult</v>
      </c>
      <c r="L386" s="4">
        <v>32</v>
      </c>
      <c r="M386" s="4" t="s">
        <v>24</v>
      </c>
      <c r="N386" s="4">
        <v>1</v>
      </c>
      <c r="O386" s="5">
        <v>50</v>
      </c>
      <c r="P386">
        <f t="shared" si="51"/>
        <v>50</v>
      </c>
      <c r="Q386" s="14">
        <f t="shared" si="52"/>
        <v>0.75</v>
      </c>
      <c r="R386" s="14">
        <f t="shared" si="53"/>
        <v>1</v>
      </c>
    </row>
    <row r="387" spans="1:18" x14ac:dyDescent="0.35">
      <c r="A387" s="2">
        <v>376</v>
      </c>
      <c r="B387" s="4">
        <f t="shared" si="45"/>
        <v>16</v>
      </c>
      <c r="C387" s="4">
        <f t="shared" si="46"/>
        <v>5</v>
      </c>
      <c r="D387" s="4">
        <f t="shared" si="47"/>
        <v>2023</v>
      </c>
      <c r="E387" s="4" t="str">
        <f t="shared" si="48"/>
        <v>Tuesday</v>
      </c>
      <c r="F387" s="4" t="str">
        <f t="shared" si="49"/>
        <v>May</v>
      </c>
      <c r="G387" s="4" t="str">
        <f t="shared" si="50"/>
        <v>2023</v>
      </c>
      <c r="H387" s="3">
        <v>45062</v>
      </c>
      <c r="I387" s="4" t="s">
        <v>401</v>
      </c>
      <c r="J387" s="4" t="s">
        <v>23</v>
      </c>
      <c r="K387" s="4" t="str" cm="1">
        <f t="array" ref="K387">_xlfn.IFS(L387&gt;50,"Senior", L387&gt;=30,"Adult", L387&lt;30,"Young Adult")</f>
        <v>Senior</v>
      </c>
      <c r="L387" s="4">
        <v>64</v>
      </c>
      <c r="M387" s="4" t="s">
        <v>21</v>
      </c>
      <c r="N387" s="4">
        <v>1</v>
      </c>
      <c r="O387" s="5">
        <v>30</v>
      </c>
      <c r="P387">
        <f t="shared" si="51"/>
        <v>30</v>
      </c>
      <c r="Q387" s="14">
        <f t="shared" si="52"/>
        <v>0.44999999999999996</v>
      </c>
      <c r="R387" s="14">
        <f t="shared" si="53"/>
        <v>0.6</v>
      </c>
    </row>
    <row r="388" spans="1:18" x14ac:dyDescent="0.35">
      <c r="A388" s="2">
        <v>377</v>
      </c>
      <c r="B388" s="4">
        <f t="shared" si="45"/>
        <v>9</v>
      </c>
      <c r="C388" s="4">
        <f t="shared" si="46"/>
        <v>3</v>
      </c>
      <c r="D388" s="4">
        <f t="shared" si="47"/>
        <v>2023</v>
      </c>
      <c r="E388" s="4" t="str">
        <f t="shared" si="48"/>
        <v>Thursday</v>
      </c>
      <c r="F388" s="4" t="str">
        <f t="shared" si="49"/>
        <v>March</v>
      </c>
      <c r="G388" s="4" t="str">
        <f t="shared" si="50"/>
        <v>2023</v>
      </c>
      <c r="H388" s="3">
        <v>44994</v>
      </c>
      <c r="I388" s="4" t="s">
        <v>402</v>
      </c>
      <c r="J388" s="4" t="s">
        <v>23</v>
      </c>
      <c r="K388" s="4" t="str" cm="1">
        <f t="array" ref="K388">_xlfn.IFS(L388&gt;50,"Senior", L388&gt;=30,"Adult", L388&lt;30,"Young Adult")</f>
        <v>Adult</v>
      </c>
      <c r="L388" s="4">
        <v>46</v>
      </c>
      <c r="M388" s="4" t="s">
        <v>24</v>
      </c>
      <c r="N388" s="4">
        <v>4</v>
      </c>
      <c r="O388" s="5">
        <v>50</v>
      </c>
      <c r="P388">
        <f t="shared" si="51"/>
        <v>200</v>
      </c>
      <c r="Q388" s="14">
        <f t="shared" si="52"/>
        <v>3</v>
      </c>
      <c r="R388" s="14">
        <f t="shared" si="53"/>
        <v>4</v>
      </c>
    </row>
    <row r="389" spans="1:18" x14ac:dyDescent="0.35">
      <c r="A389" s="2">
        <v>378</v>
      </c>
      <c r="B389" s="4">
        <f t="shared" si="45"/>
        <v>28</v>
      </c>
      <c r="C389" s="4">
        <f t="shared" si="46"/>
        <v>6</v>
      </c>
      <c r="D389" s="4">
        <f t="shared" si="47"/>
        <v>2023</v>
      </c>
      <c r="E389" s="4" t="str">
        <f t="shared" si="48"/>
        <v>Wednesday</v>
      </c>
      <c r="F389" s="4" t="str">
        <f t="shared" si="49"/>
        <v>June</v>
      </c>
      <c r="G389" s="4" t="str">
        <f t="shared" si="50"/>
        <v>2023</v>
      </c>
      <c r="H389" s="3">
        <v>45105</v>
      </c>
      <c r="I389" s="4" t="s">
        <v>403</v>
      </c>
      <c r="J389" s="4" t="s">
        <v>20</v>
      </c>
      <c r="K389" s="4" t="str" cm="1">
        <f t="array" ref="K389">_xlfn.IFS(L389&gt;50,"Senior", L389&gt;=30,"Adult", L389&lt;30,"Young Adult")</f>
        <v>Adult</v>
      </c>
      <c r="L389" s="4">
        <v>50</v>
      </c>
      <c r="M389" s="4" t="s">
        <v>21</v>
      </c>
      <c r="N389" s="4">
        <v>1</v>
      </c>
      <c r="O389" s="5">
        <v>300</v>
      </c>
      <c r="P389">
        <f t="shared" si="51"/>
        <v>300</v>
      </c>
      <c r="Q389" s="14">
        <f t="shared" si="52"/>
        <v>4.5</v>
      </c>
      <c r="R389" s="14">
        <f t="shared" si="53"/>
        <v>6</v>
      </c>
    </row>
    <row r="390" spans="1:18" x14ac:dyDescent="0.35">
      <c r="A390" s="2">
        <v>379</v>
      </c>
      <c r="B390" s="4">
        <f t="shared" si="45"/>
        <v>5</v>
      </c>
      <c r="C390" s="4">
        <f t="shared" si="46"/>
        <v>2</v>
      </c>
      <c r="D390" s="4">
        <f t="shared" si="47"/>
        <v>2023</v>
      </c>
      <c r="E390" s="4" t="str">
        <f t="shared" si="48"/>
        <v>Sunday</v>
      </c>
      <c r="F390" s="4" t="str">
        <f t="shared" si="49"/>
        <v>February</v>
      </c>
      <c r="G390" s="4" t="str">
        <f t="shared" si="50"/>
        <v>2023</v>
      </c>
      <c r="H390" s="3">
        <v>44962</v>
      </c>
      <c r="I390" s="4" t="s">
        <v>404</v>
      </c>
      <c r="J390" s="4" t="s">
        <v>23</v>
      </c>
      <c r="K390" s="4" t="str" cm="1">
        <f t="array" ref="K390">_xlfn.IFS(L390&gt;50,"Senior", L390&gt;=30,"Adult", L390&lt;30,"Young Adult")</f>
        <v>Adult</v>
      </c>
      <c r="L390" s="4">
        <v>47</v>
      </c>
      <c r="M390" s="4" t="s">
        <v>24</v>
      </c>
      <c r="N390" s="4">
        <v>1</v>
      </c>
      <c r="O390" s="5">
        <v>25</v>
      </c>
      <c r="P390">
        <f t="shared" si="51"/>
        <v>25</v>
      </c>
      <c r="Q390" s="14">
        <f t="shared" si="52"/>
        <v>0.375</v>
      </c>
      <c r="R390" s="14">
        <f t="shared" si="53"/>
        <v>0.5</v>
      </c>
    </row>
    <row r="391" spans="1:18" x14ac:dyDescent="0.35">
      <c r="A391" s="2">
        <v>380</v>
      </c>
      <c r="B391" s="4">
        <f t="shared" si="45"/>
        <v>6</v>
      </c>
      <c r="C391" s="4">
        <f t="shared" si="46"/>
        <v>5</v>
      </c>
      <c r="D391" s="4">
        <f t="shared" si="47"/>
        <v>2023</v>
      </c>
      <c r="E391" s="4" t="str">
        <f t="shared" si="48"/>
        <v>Saturday</v>
      </c>
      <c r="F391" s="4" t="str">
        <f t="shared" si="49"/>
        <v>May</v>
      </c>
      <c r="G391" s="4" t="str">
        <f t="shared" si="50"/>
        <v>2023</v>
      </c>
      <c r="H391" s="3">
        <v>45052</v>
      </c>
      <c r="I391" s="4" t="s">
        <v>405</v>
      </c>
      <c r="J391" s="4" t="s">
        <v>20</v>
      </c>
      <c r="K391" s="4" t="str" cm="1">
        <f t="array" ref="K391">_xlfn.IFS(L391&gt;50,"Senior", L391&gt;=30,"Adult", L391&lt;30,"Young Adult")</f>
        <v>Senior</v>
      </c>
      <c r="L391" s="4">
        <v>56</v>
      </c>
      <c r="M391" s="4" t="s">
        <v>26</v>
      </c>
      <c r="N391" s="4">
        <v>2</v>
      </c>
      <c r="O391" s="5">
        <v>300</v>
      </c>
      <c r="P391">
        <f t="shared" si="51"/>
        <v>600</v>
      </c>
      <c r="Q391" s="14">
        <f t="shared" si="52"/>
        <v>9</v>
      </c>
      <c r="R391" s="14">
        <f t="shared" si="53"/>
        <v>12</v>
      </c>
    </row>
    <row r="392" spans="1:18" x14ac:dyDescent="0.35">
      <c r="A392" s="2">
        <v>381</v>
      </c>
      <c r="B392" s="4">
        <f t="shared" si="45"/>
        <v>9</v>
      </c>
      <c r="C392" s="4">
        <f t="shared" si="46"/>
        <v>7</v>
      </c>
      <c r="D392" s="4">
        <f t="shared" si="47"/>
        <v>2023</v>
      </c>
      <c r="E392" s="4" t="str">
        <f t="shared" si="48"/>
        <v>Sunday</v>
      </c>
      <c r="F392" s="4" t="str">
        <f t="shared" si="49"/>
        <v>July</v>
      </c>
      <c r="G392" s="4" t="str">
        <f t="shared" si="50"/>
        <v>2023</v>
      </c>
      <c r="H392" s="3">
        <v>45116</v>
      </c>
      <c r="I392" s="4" t="s">
        <v>406</v>
      </c>
      <c r="J392" s="4" t="s">
        <v>23</v>
      </c>
      <c r="K392" s="4" t="str" cm="1">
        <f t="array" ref="K392">_xlfn.IFS(L392&gt;50,"Senior", L392&gt;=30,"Adult", L392&lt;30,"Young Adult")</f>
        <v>Adult</v>
      </c>
      <c r="L392" s="4">
        <v>44</v>
      </c>
      <c r="M392" s="4" t="s">
        <v>24</v>
      </c>
      <c r="N392" s="4">
        <v>4</v>
      </c>
      <c r="O392" s="5">
        <v>25</v>
      </c>
      <c r="P392">
        <f t="shared" si="51"/>
        <v>100</v>
      </c>
      <c r="Q392" s="14">
        <f t="shared" si="52"/>
        <v>1.5</v>
      </c>
      <c r="R392" s="14">
        <f t="shared" si="53"/>
        <v>2</v>
      </c>
    </row>
    <row r="393" spans="1:18" x14ac:dyDescent="0.35">
      <c r="A393" s="2">
        <v>382</v>
      </c>
      <c r="B393" s="4">
        <f t="shared" si="45"/>
        <v>26</v>
      </c>
      <c r="C393" s="4">
        <f t="shared" si="46"/>
        <v>5</v>
      </c>
      <c r="D393" s="4">
        <f t="shared" si="47"/>
        <v>2023</v>
      </c>
      <c r="E393" s="4" t="str">
        <f t="shared" si="48"/>
        <v>Friday</v>
      </c>
      <c r="F393" s="4" t="str">
        <f t="shared" si="49"/>
        <v>May</v>
      </c>
      <c r="G393" s="4" t="str">
        <f t="shared" si="50"/>
        <v>2023</v>
      </c>
      <c r="H393" s="3">
        <v>45072</v>
      </c>
      <c r="I393" s="4" t="s">
        <v>407</v>
      </c>
      <c r="J393" s="4" t="s">
        <v>23</v>
      </c>
      <c r="K393" s="4" t="str" cm="1">
        <f t="array" ref="K393">_xlfn.IFS(L393&gt;50,"Senior", L393&gt;=30,"Adult", L393&lt;30,"Young Adult")</f>
        <v>Senior</v>
      </c>
      <c r="L393" s="4">
        <v>53</v>
      </c>
      <c r="M393" s="4" t="s">
        <v>24</v>
      </c>
      <c r="N393" s="4">
        <v>2</v>
      </c>
      <c r="O393" s="5">
        <v>500</v>
      </c>
      <c r="P393">
        <f t="shared" si="51"/>
        <v>1000</v>
      </c>
      <c r="Q393" s="14">
        <f t="shared" si="52"/>
        <v>15</v>
      </c>
      <c r="R393" s="14">
        <f t="shared" si="53"/>
        <v>20</v>
      </c>
    </row>
    <row r="394" spans="1:18" x14ac:dyDescent="0.35">
      <c r="A394" s="2">
        <v>383</v>
      </c>
      <c r="B394" s="4">
        <f t="shared" si="45"/>
        <v>22</v>
      </c>
      <c r="C394" s="4">
        <f t="shared" si="46"/>
        <v>3</v>
      </c>
      <c r="D394" s="4">
        <f t="shared" si="47"/>
        <v>2023</v>
      </c>
      <c r="E394" s="4" t="str">
        <f t="shared" si="48"/>
        <v>Wednesday</v>
      </c>
      <c r="F394" s="4" t="str">
        <f t="shared" si="49"/>
        <v>March</v>
      </c>
      <c r="G394" s="4" t="str">
        <f t="shared" si="50"/>
        <v>2023</v>
      </c>
      <c r="H394" s="3">
        <v>45007</v>
      </c>
      <c r="I394" s="4" t="s">
        <v>408</v>
      </c>
      <c r="J394" s="4" t="s">
        <v>23</v>
      </c>
      <c r="K394" s="4" t="str" cm="1">
        <f t="array" ref="K394">_xlfn.IFS(L394&gt;50,"Senior", L394&gt;=30,"Adult", L394&lt;30,"Young Adult")</f>
        <v>Adult</v>
      </c>
      <c r="L394" s="4">
        <v>46</v>
      </c>
      <c r="M394" s="4" t="s">
        <v>21</v>
      </c>
      <c r="N394" s="4">
        <v>3</v>
      </c>
      <c r="O394" s="5">
        <v>30</v>
      </c>
      <c r="P394">
        <f t="shared" si="51"/>
        <v>90</v>
      </c>
      <c r="Q394" s="14">
        <f t="shared" si="52"/>
        <v>1.3499999999999999</v>
      </c>
      <c r="R394" s="14">
        <f t="shared" si="53"/>
        <v>1.8</v>
      </c>
    </row>
    <row r="395" spans="1:18" x14ac:dyDescent="0.35">
      <c r="A395" s="2">
        <v>384</v>
      </c>
      <c r="B395" s="4">
        <f t="shared" si="45"/>
        <v>13</v>
      </c>
      <c r="C395" s="4">
        <f t="shared" si="46"/>
        <v>8</v>
      </c>
      <c r="D395" s="4">
        <f t="shared" si="47"/>
        <v>2023</v>
      </c>
      <c r="E395" s="4" t="str">
        <f t="shared" si="48"/>
        <v>Sunday</v>
      </c>
      <c r="F395" s="4" t="str">
        <f t="shared" si="49"/>
        <v>August</v>
      </c>
      <c r="G395" s="4" t="str">
        <f t="shared" si="50"/>
        <v>2023</v>
      </c>
      <c r="H395" s="3">
        <v>45151</v>
      </c>
      <c r="I395" s="4" t="s">
        <v>409</v>
      </c>
      <c r="J395" s="4" t="s">
        <v>20</v>
      </c>
      <c r="K395" s="4" t="str" cm="1">
        <f t="array" ref="K395">_xlfn.IFS(L395&gt;50,"Senior", L395&gt;=30,"Adult", L395&lt;30,"Young Adult")</f>
        <v>Senior</v>
      </c>
      <c r="L395" s="4">
        <v>55</v>
      </c>
      <c r="M395" s="4" t="s">
        <v>24</v>
      </c>
      <c r="N395" s="4">
        <v>1</v>
      </c>
      <c r="O395" s="5">
        <v>500</v>
      </c>
      <c r="P395">
        <f t="shared" si="51"/>
        <v>500</v>
      </c>
      <c r="Q395" s="14">
        <f t="shared" si="52"/>
        <v>7.5</v>
      </c>
      <c r="R395" s="14">
        <f t="shared" si="53"/>
        <v>10</v>
      </c>
    </row>
    <row r="396" spans="1:18" x14ac:dyDescent="0.35">
      <c r="A396" s="2">
        <v>385</v>
      </c>
      <c r="B396" s="4">
        <f t="shared" ref="B396:B459" si="54">DAY(H396)</f>
        <v>6</v>
      </c>
      <c r="C396" s="4">
        <f t="shared" ref="C396:C459" si="55">MONTH(H396)</f>
        <v>10</v>
      </c>
      <c r="D396" s="4">
        <f t="shared" ref="D396:D459" si="56">YEAR(H396)</f>
        <v>2023</v>
      </c>
      <c r="E396" s="4" t="str">
        <f t="shared" ref="E396:E459" si="57">TEXT(H396,"DDDD")</f>
        <v>Friday</v>
      </c>
      <c r="F396" s="4" t="str">
        <f t="shared" ref="F396:F459" si="58">TEXT(H396,"MMMM")</f>
        <v>October</v>
      </c>
      <c r="G396" s="4" t="str">
        <f t="shared" ref="G396:G459" si="59">TEXT(H396,"YYYY")</f>
        <v>2023</v>
      </c>
      <c r="H396" s="3">
        <v>45205</v>
      </c>
      <c r="I396" s="4" t="s">
        <v>410</v>
      </c>
      <c r="J396" s="4" t="s">
        <v>20</v>
      </c>
      <c r="K396" s="4" t="str" cm="1">
        <f t="array" ref="K396">_xlfn.IFS(L396&gt;50,"Senior", L396&gt;=30,"Adult", L396&lt;30,"Young Adult")</f>
        <v>Adult</v>
      </c>
      <c r="L396" s="4">
        <v>50</v>
      </c>
      <c r="M396" s="4" t="s">
        <v>26</v>
      </c>
      <c r="N396" s="4">
        <v>3</v>
      </c>
      <c r="O396" s="5">
        <v>500</v>
      </c>
      <c r="P396">
        <f t="shared" ref="P396:P459" si="60">O396*N396</f>
        <v>1500</v>
      </c>
      <c r="Q396" s="14">
        <f t="shared" si="52"/>
        <v>22.5</v>
      </c>
      <c r="R396" s="14">
        <f t="shared" si="53"/>
        <v>30</v>
      </c>
    </row>
    <row r="397" spans="1:18" x14ac:dyDescent="0.35">
      <c r="A397" s="2">
        <v>386</v>
      </c>
      <c r="B397" s="4">
        <f t="shared" si="54"/>
        <v>27</v>
      </c>
      <c r="C397" s="4">
        <f t="shared" si="55"/>
        <v>12</v>
      </c>
      <c r="D397" s="4">
        <f t="shared" si="56"/>
        <v>2023</v>
      </c>
      <c r="E397" s="4" t="str">
        <f t="shared" si="57"/>
        <v>Wednesday</v>
      </c>
      <c r="F397" s="4" t="str">
        <f t="shared" si="58"/>
        <v>December</v>
      </c>
      <c r="G397" s="4" t="str">
        <f t="shared" si="59"/>
        <v>2023</v>
      </c>
      <c r="H397" s="3">
        <v>45287</v>
      </c>
      <c r="I397" s="4" t="s">
        <v>411</v>
      </c>
      <c r="J397" s="4" t="s">
        <v>23</v>
      </c>
      <c r="K397" s="4" t="str" cm="1">
        <f t="array" ref="K397">_xlfn.IFS(L397&gt;50,"Senior", L397&gt;=30,"Adult", L397&lt;30,"Young Adult")</f>
        <v>Senior</v>
      </c>
      <c r="L397" s="4">
        <v>54</v>
      </c>
      <c r="M397" s="4" t="s">
        <v>26</v>
      </c>
      <c r="N397" s="4">
        <v>2</v>
      </c>
      <c r="O397" s="5">
        <v>300</v>
      </c>
      <c r="P397">
        <f t="shared" si="60"/>
        <v>600</v>
      </c>
      <c r="Q397" s="14">
        <f t="shared" ref="Q397:Q460" si="61">P397*$I$4</f>
        <v>9</v>
      </c>
      <c r="R397" s="14">
        <f t="shared" ref="R397:R460" si="62">P397*$I$5</f>
        <v>12</v>
      </c>
    </row>
    <row r="398" spans="1:18" x14ac:dyDescent="0.35">
      <c r="A398" s="2">
        <v>387</v>
      </c>
      <c r="B398" s="4">
        <f t="shared" si="54"/>
        <v>4</v>
      </c>
      <c r="C398" s="4">
        <f t="shared" si="55"/>
        <v>6</v>
      </c>
      <c r="D398" s="4">
        <f t="shared" si="56"/>
        <v>2023</v>
      </c>
      <c r="E398" s="4" t="str">
        <f t="shared" si="57"/>
        <v>Sunday</v>
      </c>
      <c r="F398" s="4" t="str">
        <f t="shared" si="58"/>
        <v>June</v>
      </c>
      <c r="G398" s="4" t="str">
        <f t="shared" si="59"/>
        <v>2023</v>
      </c>
      <c r="H398" s="3">
        <v>45081</v>
      </c>
      <c r="I398" s="4" t="s">
        <v>412</v>
      </c>
      <c r="J398" s="4" t="s">
        <v>20</v>
      </c>
      <c r="K398" s="4" t="str" cm="1">
        <f t="array" ref="K398">_xlfn.IFS(L398&gt;50,"Senior", L398&gt;=30,"Adult", L398&lt;30,"Young Adult")</f>
        <v>Adult</v>
      </c>
      <c r="L398" s="4">
        <v>44</v>
      </c>
      <c r="M398" s="4" t="s">
        <v>21</v>
      </c>
      <c r="N398" s="4">
        <v>1</v>
      </c>
      <c r="O398" s="5">
        <v>30</v>
      </c>
      <c r="P398">
        <f t="shared" si="60"/>
        <v>30</v>
      </c>
      <c r="Q398" s="14">
        <f t="shared" si="61"/>
        <v>0.44999999999999996</v>
      </c>
      <c r="R398" s="14">
        <f t="shared" si="62"/>
        <v>0.6</v>
      </c>
    </row>
    <row r="399" spans="1:18" x14ac:dyDescent="0.35">
      <c r="A399" s="2">
        <v>388</v>
      </c>
      <c r="B399" s="4">
        <f t="shared" si="54"/>
        <v>10</v>
      </c>
      <c r="C399" s="4">
        <f t="shared" si="55"/>
        <v>11</v>
      </c>
      <c r="D399" s="4">
        <f t="shared" si="56"/>
        <v>2023</v>
      </c>
      <c r="E399" s="4" t="str">
        <f t="shared" si="57"/>
        <v>Friday</v>
      </c>
      <c r="F399" s="4" t="str">
        <f t="shared" si="58"/>
        <v>November</v>
      </c>
      <c r="G399" s="4" t="str">
        <f t="shared" si="59"/>
        <v>2023</v>
      </c>
      <c r="H399" s="3">
        <v>45240</v>
      </c>
      <c r="I399" s="4" t="s">
        <v>413</v>
      </c>
      <c r="J399" s="4" t="s">
        <v>20</v>
      </c>
      <c r="K399" s="4" t="str" cm="1">
        <f t="array" ref="K399">_xlfn.IFS(L399&gt;50,"Senior", L399&gt;=30,"Adult", L399&lt;30,"Young Adult")</f>
        <v>Adult</v>
      </c>
      <c r="L399" s="4">
        <v>50</v>
      </c>
      <c r="M399" s="4" t="s">
        <v>26</v>
      </c>
      <c r="N399" s="4">
        <v>1</v>
      </c>
      <c r="O399" s="5">
        <v>25</v>
      </c>
      <c r="P399">
        <f t="shared" si="60"/>
        <v>25</v>
      </c>
      <c r="Q399" s="14">
        <f t="shared" si="61"/>
        <v>0.375</v>
      </c>
      <c r="R399" s="14">
        <f t="shared" si="62"/>
        <v>0.5</v>
      </c>
    </row>
    <row r="400" spans="1:18" x14ac:dyDescent="0.35">
      <c r="A400" s="2">
        <v>389</v>
      </c>
      <c r="B400" s="4">
        <f t="shared" si="54"/>
        <v>1</v>
      </c>
      <c r="C400" s="4">
        <f t="shared" si="55"/>
        <v>12</v>
      </c>
      <c r="D400" s="4">
        <f t="shared" si="56"/>
        <v>2023</v>
      </c>
      <c r="E400" s="4" t="str">
        <f t="shared" si="57"/>
        <v>Friday</v>
      </c>
      <c r="F400" s="4" t="str">
        <f t="shared" si="58"/>
        <v>December</v>
      </c>
      <c r="G400" s="4" t="str">
        <f t="shared" si="59"/>
        <v>2023</v>
      </c>
      <c r="H400" s="3">
        <v>45261</v>
      </c>
      <c r="I400" s="4" t="s">
        <v>414</v>
      </c>
      <c r="J400" s="4" t="s">
        <v>20</v>
      </c>
      <c r="K400" s="4" t="str" cm="1">
        <f t="array" ref="K400">_xlfn.IFS(L400&gt;50,"Senior", L400&gt;=30,"Adult", L400&lt;30,"Young Adult")</f>
        <v>Young Adult</v>
      </c>
      <c r="L400" s="4">
        <v>21</v>
      </c>
      <c r="M400" s="4" t="s">
        <v>24</v>
      </c>
      <c r="N400" s="4">
        <v>2</v>
      </c>
      <c r="O400" s="5">
        <v>25</v>
      </c>
      <c r="P400">
        <f t="shared" si="60"/>
        <v>50</v>
      </c>
      <c r="Q400" s="14">
        <f t="shared" si="61"/>
        <v>0.75</v>
      </c>
      <c r="R400" s="14">
        <f t="shared" si="62"/>
        <v>1</v>
      </c>
    </row>
    <row r="401" spans="1:18" x14ac:dyDescent="0.35">
      <c r="A401" s="2">
        <v>390</v>
      </c>
      <c r="B401" s="4">
        <f t="shared" si="54"/>
        <v>28</v>
      </c>
      <c r="C401" s="4">
        <f t="shared" si="55"/>
        <v>9</v>
      </c>
      <c r="D401" s="4">
        <f t="shared" si="56"/>
        <v>2023</v>
      </c>
      <c r="E401" s="4" t="str">
        <f t="shared" si="57"/>
        <v>Thursday</v>
      </c>
      <c r="F401" s="4" t="str">
        <f t="shared" si="58"/>
        <v>September</v>
      </c>
      <c r="G401" s="4" t="str">
        <f t="shared" si="59"/>
        <v>2023</v>
      </c>
      <c r="H401" s="3">
        <v>45197</v>
      </c>
      <c r="I401" s="4" t="s">
        <v>415</v>
      </c>
      <c r="J401" s="4" t="s">
        <v>20</v>
      </c>
      <c r="K401" s="4" t="str" cm="1">
        <f t="array" ref="K401">_xlfn.IFS(L401&gt;50,"Senior", L401&gt;=30,"Adult", L401&lt;30,"Young Adult")</f>
        <v>Adult</v>
      </c>
      <c r="L401" s="4">
        <v>39</v>
      </c>
      <c r="M401" s="4" t="s">
        <v>26</v>
      </c>
      <c r="N401" s="4">
        <v>2</v>
      </c>
      <c r="O401" s="5">
        <v>50</v>
      </c>
      <c r="P401">
        <f t="shared" si="60"/>
        <v>100</v>
      </c>
      <c r="Q401" s="14">
        <f t="shared" si="61"/>
        <v>1.5</v>
      </c>
      <c r="R401" s="14">
        <f t="shared" si="62"/>
        <v>2</v>
      </c>
    </row>
    <row r="402" spans="1:18" x14ac:dyDescent="0.35">
      <c r="A402" s="2">
        <v>391</v>
      </c>
      <c r="B402" s="4">
        <f t="shared" si="54"/>
        <v>5</v>
      </c>
      <c r="C402" s="4">
        <f t="shared" si="55"/>
        <v>1</v>
      </c>
      <c r="D402" s="4">
        <f t="shared" si="56"/>
        <v>2023</v>
      </c>
      <c r="E402" s="4" t="str">
        <f t="shared" si="57"/>
        <v>Thursday</v>
      </c>
      <c r="F402" s="4" t="str">
        <f t="shared" si="58"/>
        <v>January</v>
      </c>
      <c r="G402" s="4" t="str">
        <f t="shared" si="59"/>
        <v>2023</v>
      </c>
      <c r="H402" s="3">
        <v>44931</v>
      </c>
      <c r="I402" s="4" t="s">
        <v>416</v>
      </c>
      <c r="J402" s="4" t="s">
        <v>20</v>
      </c>
      <c r="K402" s="4" t="str" cm="1">
        <f t="array" ref="K402">_xlfn.IFS(L402&gt;50,"Senior", L402&gt;=30,"Adult", L402&lt;30,"Young Adult")</f>
        <v>Young Adult</v>
      </c>
      <c r="L402" s="4">
        <v>19</v>
      </c>
      <c r="M402" s="4" t="s">
        <v>21</v>
      </c>
      <c r="N402" s="4">
        <v>2</v>
      </c>
      <c r="O402" s="5">
        <v>25</v>
      </c>
      <c r="P402">
        <f t="shared" si="60"/>
        <v>50</v>
      </c>
      <c r="Q402" s="14">
        <f t="shared" si="61"/>
        <v>0.75</v>
      </c>
      <c r="R402" s="14">
        <f t="shared" si="62"/>
        <v>1</v>
      </c>
    </row>
    <row r="403" spans="1:18" x14ac:dyDescent="0.35">
      <c r="A403" s="2">
        <v>392</v>
      </c>
      <c r="B403" s="4">
        <f t="shared" si="54"/>
        <v>8</v>
      </c>
      <c r="C403" s="4">
        <f t="shared" si="55"/>
        <v>12</v>
      </c>
      <c r="D403" s="4">
        <f t="shared" si="56"/>
        <v>2023</v>
      </c>
      <c r="E403" s="4" t="str">
        <f t="shared" si="57"/>
        <v>Friday</v>
      </c>
      <c r="F403" s="4" t="str">
        <f t="shared" si="58"/>
        <v>December</v>
      </c>
      <c r="G403" s="4" t="str">
        <f t="shared" si="59"/>
        <v>2023</v>
      </c>
      <c r="H403" s="3">
        <v>45268</v>
      </c>
      <c r="I403" s="4" t="s">
        <v>417</v>
      </c>
      <c r="J403" s="4" t="s">
        <v>20</v>
      </c>
      <c r="K403" s="4" t="str" cm="1">
        <f t="array" ref="K403">_xlfn.IFS(L403&gt;50,"Senior", L403&gt;=30,"Adult", L403&lt;30,"Young Adult")</f>
        <v>Young Adult</v>
      </c>
      <c r="L403" s="4">
        <v>27</v>
      </c>
      <c r="M403" s="4" t="s">
        <v>24</v>
      </c>
      <c r="N403" s="4">
        <v>2</v>
      </c>
      <c r="O403" s="5">
        <v>300</v>
      </c>
      <c r="P403">
        <f t="shared" si="60"/>
        <v>600</v>
      </c>
      <c r="Q403" s="14">
        <f t="shared" si="61"/>
        <v>9</v>
      </c>
      <c r="R403" s="14">
        <f t="shared" si="62"/>
        <v>12</v>
      </c>
    </row>
    <row r="404" spans="1:18" x14ac:dyDescent="0.35">
      <c r="A404" s="2">
        <v>393</v>
      </c>
      <c r="B404" s="4">
        <f t="shared" si="54"/>
        <v>11</v>
      </c>
      <c r="C404" s="4">
        <f t="shared" si="55"/>
        <v>10</v>
      </c>
      <c r="D404" s="4">
        <f t="shared" si="56"/>
        <v>2023</v>
      </c>
      <c r="E404" s="4" t="str">
        <f t="shared" si="57"/>
        <v>Wednesday</v>
      </c>
      <c r="F404" s="4" t="str">
        <f t="shared" si="58"/>
        <v>October</v>
      </c>
      <c r="G404" s="4" t="str">
        <f t="shared" si="59"/>
        <v>2023</v>
      </c>
      <c r="H404" s="3">
        <v>45210</v>
      </c>
      <c r="I404" s="4" t="s">
        <v>418</v>
      </c>
      <c r="J404" s="4" t="s">
        <v>23</v>
      </c>
      <c r="K404" s="4" t="str" cm="1">
        <f t="array" ref="K404">_xlfn.IFS(L404&gt;50,"Senior", L404&gt;=30,"Adult", L404&lt;30,"Young Adult")</f>
        <v>Young Adult</v>
      </c>
      <c r="L404" s="4">
        <v>22</v>
      </c>
      <c r="M404" s="4" t="s">
        <v>21</v>
      </c>
      <c r="N404" s="4">
        <v>2</v>
      </c>
      <c r="O404" s="5">
        <v>500</v>
      </c>
      <c r="P404">
        <f t="shared" si="60"/>
        <v>1000</v>
      </c>
      <c r="Q404" s="14">
        <f t="shared" si="61"/>
        <v>15</v>
      </c>
      <c r="R404" s="14">
        <f t="shared" si="62"/>
        <v>20</v>
      </c>
    </row>
    <row r="405" spans="1:18" x14ac:dyDescent="0.35">
      <c r="A405" s="2">
        <v>394</v>
      </c>
      <c r="B405" s="4">
        <f t="shared" si="54"/>
        <v>3</v>
      </c>
      <c r="C405" s="4">
        <f t="shared" si="55"/>
        <v>6</v>
      </c>
      <c r="D405" s="4">
        <f t="shared" si="56"/>
        <v>2023</v>
      </c>
      <c r="E405" s="4" t="str">
        <f t="shared" si="57"/>
        <v>Saturday</v>
      </c>
      <c r="F405" s="4" t="str">
        <f t="shared" si="58"/>
        <v>June</v>
      </c>
      <c r="G405" s="4" t="str">
        <f t="shared" si="59"/>
        <v>2023</v>
      </c>
      <c r="H405" s="3">
        <v>45080</v>
      </c>
      <c r="I405" s="4" t="s">
        <v>419</v>
      </c>
      <c r="J405" s="4" t="s">
        <v>23</v>
      </c>
      <c r="K405" s="4" t="str" cm="1">
        <f t="array" ref="K405">_xlfn.IFS(L405&gt;50,"Senior", L405&gt;=30,"Adult", L405&lt;30,"Young Adult")</f>
        <v>Young Adult</v>
      </c>
      <c r="L405" s="4">
        <v>27</v>
      </c>
      <c r="M405" s="4" t="s">
        <v>24</v>
      </c>
      <c r="N405" s="4">
        <v>1</v>
      </c>
      <c r="O405" s="5">
        <v>500</v>
      </c>
      <c r="P405">
        <f t="shared" si="60"/>
        <v>500</v>
      </c>
      <c r="Q405" s="14">
        <f t="shared" si="61"/>
        <v>7.5</v>
      </c>
      <c r="R405" s="14">
        <f t="shared" si="62"/>
        <v>10</v>
      </c>
    </row>
    <row r="406" spans="1:18" x14ac:dyDescent="0.35">
      <c r="A406" s="2">
        <v>395</v>
      </c>
      <c r="B406" s="4">
        <f t="shared" si="54"/>
        <v>6</v>
      </c>
      <c r="C406" s="4">
        <f t="shared" si="55"/>
        <v>12</v>
      </c>
      <c r="D406" s="4">
        <f t="shared" si="56"/>
        <v>2023</v>
      </c>
      <c r="E406" s="4" t="str">
        <f t="shared" si="57"/>
        <v>Wednesday</v>
      </c>
      <c r="F406" s="4" t="str">
        <f t="shared" si="58"/>
        <v>December</v>
      </c>
      <c r="G406" s="4" t="str">
        <f t="shared" si="59"/>
        <v>2023</v>
      </c>
      <c r="H406" s="3">
        <v>45266</v>
      </c>
      <c r="I406" s="4" t="s">
        <v>420</v>
      </c>
      <c r="J406" s="4" t="s">
        <v>20</v>
      </c>
      <c r="K406" s="4" t="str" cm="1">
        <f t="array" ref="K406">_xlfn.IFS(L406&gt;50,"Senior", L406&gt;=30,"Adult", L406&lt;30,"Young Adult")</f>
        <v>Adult</v>
      </c>
      <c r="L406" s="4">
        <v>50</v>
      </c>
      <c r="M406" s="4" t="s">
        <v>26</v>
      </c>
      <c r="N406" s="4">
        <v>2</v>
      </c>
      <c r="O406" s="5">
        <v>500</v>
      </c>
      <c r="P406">
        <f t="shared" si="60"/>
        <v>1000</v>
      </c>
      <c r="Q406" s="14">
        <f t="shared" si="61"/>
        <v>15</v>
      </c>
      <c r="R406" s="14">
        <f t="shared" si="62"/>
        <v>20</v>
      </c>
    </row>
    <row r="407" spans="1:18" x14ac:dyDescent="0.35">
      <c r="A407" s="2">
        <v>396</v>
      </c>
      <c r="B407" s="4">
        <f t="shared" si="54"/>
        <v>23</v>
      </c>
      <c r="C407" s="4">
        <f t="shared" si="55"/>
        <v>2</v>
      </c>
      <c r="D407" s="4">
        <f t="shared" si="56"/>
        <v>2023</v>
      </c>
      <c r="E407" s="4" t="str">
        <f t="shared" si="57"/>
        <v>Thursday</v>
      </c>
      <c r="F407" s="4" t="str">
        <f t="shared" si="58"/>
        <v>February</v>
      </c>
      <c r="G407" s="4" t="str">
        <f t="shared" si="59"/>
        <v>2023</v>
      </c>
      <c r="H407" s="3">
        <v>44980</v>
      </c>
      <c r="I407" s="4" t="s">
        <v>421</v>
      </c>
      <c r="J407" s="4" t="s">
        <v>23</v>
      </c>
      <c r="K407" s="4" t="str" cm="1">
        <f t="array" ref="K407">_xlfn.IFS(L407&gt;50,"Senior", L407&gt;=30,"Adult", L407&lt;30,"Young Adult")</f>
        <v>Senior</v>
      </c>
      <c r="L407" s="4">
        <v>55</v>
      </c>
      <c r="M407" s="4" t="s">
        <v>21</v>
      </c>
      <c r="N407" s="4">
        <v>1</v>
      </c>
      <c r="O407" s="5">
        <v>30</v>
      </c>
      <c r="P407">
        <f t="shared" si="60"/>
        <v>30</v>
      </c>
      <c r="Q407" s="14">
        <f t="shared" si="61"/>
        <v>0.44999999999999996</v>
      </c>
      <c r="R407" s="14">
        <f t="shared" si="62"/>
        <v>0.6</v>
      </c>
    </row>
    <row r="408" spans="1:18" x14ac:dyDescent="0.35">
      <c r="A408" s="2">
        <v>397</v>
      </c>
      <c r="B408" s="4">
        <f t="shared" si="54"/>
        <v>10</v>
      </c>
      <c r="C408" s="4">
        <f t="shared" si="55"/>
        <v>3</v>
      </c>
      <c r="D408" s="4">
        <f t="shared" si="56"/>
        <v>2023</v>
      </c>
      <c r="E408" s="4" t="str">
        <f t="shared" si="57"/>
        <v>Friday</v>
      </c>
      <c r="F408" s="4" t="str">
        <f t="shared" si="58"/>
        <v>March</v>
      </c>
      <c r="G408" s="4" t="str">
        <f t="shared" si="59"/>
        <v>2023</v>
      </c>
      <c r="H408" s="3">
        <v>44995</v>
      </c>
      <c r="I408" s="4" t="s">
        <v>422</v>
      </c>
      <c r="J408" s="4" t="s">
        <v>23</v>
      </c>
      <c r="K408" s="4" t="str" cm="1">
        <f t="array" ref="K408">_xlfn.IFS(L408&gt;50,"Senior", L408&gt;=30,"Adult", L408&lt;30,"Young Adult")</f>
        <v>Adult</v>
      </c>
      <c r="L408" s="4">
        <v>30</v>
      </c>
      <c r="M408" s="4" t="s">
        <v>21</v>
      </c>
      <c r="N408" s="4">
        <v>1</v>
      </c>
      <c r="O408" s="5">
        <v>25</v>
      </c>
      <c r="P408">
        <f t="shared" si="60"/>
        <v>25</v>
      </c>
      <c r="Q408" s="14">
        <f t="shared" si="61"/>
        <v>0.375</v>
      </c>
      <c r="R408" s="14">
        <f t="shared" si="62"/>
        <v>0.5</v>
      </c>
    </row>
    <row r="409" spans="1:18" x14ac:dyDescent="0.35">
      <c r="A409" s="2">
        <v>398</v>
      </c>
      <c r="B409" s="4">
        <f t="shared" si="54"/>
        <v>16</v>
      </c>
      <c r="C409" s="4">
        <f t="shared" si="55"/>
        <v>5</v>
      </c>
      <c r="D409" s="4">
        <f t="shared" si="56"/>
        <v>2023</v>
      </c>
      <c r="E409" s="4" t="str">
        <f t="shared" si="57"/>
        <v>Tuesday</v>
      </c>
      <c r="F409" s="4" t="str">
        <f t="shared" si="58"/>
        <v>May</v>
      </c>
      <c r="G409" s="4" t="str">
        <f t="shared" si="59"/>
        <v>2023</v>
      </c>
      <c r="H409" s="3">
        <v>45062</v>
      </c>
      <c r="I409" s="4" t="s">
        <v>423</v>
      </c>
      <c r="J409" s="4" t="s">
        <v>23</v>
      </c>
      <c r="K409" s="4" t="str" cm="1">
        <f t="array" ref="K409">_xlfn.IFS(L409&gt;50,"Senior", L409&gt;=30,"Adult", L409&lt;30,"Young Adult")</f>
        <v>Adult</v>
      </c>
      <c r="L409" s="4">
        <v>48</v>
      </c>
      <c r="M409" s="4" t="s">
        <v>24</v>
      </c>
      <c r="N409" s="4">
        <v>2</v>
      </c>
      <c r="O409" s="5">
        <v>300</v>
      </c>
      <c r="P409">
        <f t="shared" si="60"/>
        <v>600</v>
      </c>
      <c r="Q409" s="14">
        <f t="shared" si="61"/>
        <v>9</v>
      </c>
      <c r="R409" s="14">
        <f t="shared" si="62"/>
        <v>12</v>
      </c>
    </row>
    <row r="410" spans="1:18" x14ac:dyDescent="0.35">
      <c r="A410" s="2">
        <v>399</v>
      </c>
      <c r="B410" s="4">
        <f t="shared" si="54"/>
        <v>1</v>
      </c>
      <c r="C410" s="4">
        <f t="shared" si="55"/>
        <v>3</v>
      </c>
      <c r="D410" s="4">
        <f t="shared" si="56"/>
        <v>2023</v>
      </c>
      <c r="E410" s="4" t="str">
        <f t="shared" si="57"/>
        <v>Wednesday</v>
      </c>
      <c r="F410" s="4" t="str">
        <f t="shared" si="58"/>
        <v>March</v>
      </c>
      <c r="G410" s="4" t="str">
        <f t="shared" si="59"/>
        <v>2023</v>
      </c>
      <c r="H410" s="3">
        <v>44986</v>
      </c>
      <c r="I410" s="4" t="s">
        <v>424</v>
      </c>
      <c r="J410" s="4" t="s">
        <v>23</v>
      </c>
      <c r="K410" s="4" t="str" cm="1">
        <f t="array" ref="K410">_xlfn.IFS(L410&gt;50,"Senior", L410&gt;=30,"Adult", L410&lt;30,"Young Adult")</f>
        <v>Senior</v>
      </c>
      <c r="L410" s="4">
        <v>64</v>
      </c>
      <c r="M410" s="4" t="s">
        <v>21</v>
      </c>
      <c r="N410" s="4">
        <v>2</v>
      </c>
      <c r="O410" s="5">
        <v>30</v>
      </c>
      <c r="P410">
        <f t="shared" si="60"/>
        <v>60</v>
      </c>
      <c r="Q410" s="14">
        <f t="shared" si="61"/>
        <v>0.89999999999999991</v>
      </c>
      <c r="R410" s="14">
        <f t="shared" si="62"/>
        <v>1.2</v>
      </c>
    </row>
    <row r="411" spans="1:18" x14ac:dyDescent="0.35">
      <c r="A411" s="2">
        <v>400</v>
      </c>
      <c r="B411" s="4">
        <f t="shared" si="54"/>
        <v>24</v>
      </c>
      <c r="C411" s="4">
        <f t="shared" si="55"/>
        <v>2</v>
      </c>
      <c r="D411" s="4">
        <f t="shared" si="56"/>
        <v>2023</v>
      </c>
      <c r="E411" s="4" t="str">
        <f t="shared" si="57"/>
        <v>Friday</v>
      </c>
      <c r="F411" s="4" t="str">
        <f t="shared" si="58"/>
        <v>February</v>
      </c>
      <c r="G411" s="4" t="str">
        <f t="shared" si="59"/>
        <v>2023</v>
      </c>
      <c r="H411" s="3">
        <v>44981</v>
      </c>
      <c r="I411" s="4" t="s">
        <v>425</v>
      </c>
      <c r="J411" s="4" t="s">
        <v>20</v>
      </c>
      <c r="K411" s="4" t="str" cm="1">
        <f t="array" ref="K411">_xlfn.IFS(L411&gt;50,"Senior", L411&gt;=30,"Adult", L411&lt;30,"Young Adult")</f>
        <v>Senior</v>
      </c>
      <c r="L411" s="4">
        <v>53</v>
      </c>
      <c r="M411" s="4" t="s">
        <v>24</v>
      </c>
      <c r="N411" s="4">
        <v>4</v>
      </c>
      <c r="O411" s="5">
        <v>50</v>
      </c>
      <c r="P411">
        <f t="shared" si="60"/>
        <v>200</v>
      </c>
      <c r="Q411" s="14">
        <f t="shared" si="61"/>
        <v>3</v>
      </c>
      <c r="R411" s="14">
        <f t="shared" si="62"/>
        <v>4</v>
      </c>
    </row>
    <row r="412" spans="1:18" x14ac:dyDescent="0.35">
      <c r="A412" s="2">
        <v>401</v>
      </c>
      <c r="B412" s="4">
        <f t="shared" si="54"/>
        <v>11</v>
      </c>
      <c r="C412" s="4">
        <f t="shared" si="55"/>
        <v>10</v>
      </c>
      <c r="D412" s="4">
        <f t="shared" si="56"/>
        <v>2023</v>
      </c>
      <c r="E412" s="4" t="str">
        <f t="shared" si="57"/>
        <v>Wednesday</v>
      </c>
      <c r="F412" s="4" t="str">
        <f t="shared" si="58"/>
        <v>October</v>
      </c>
      <c r="G412" s="4" t="str">
        <f t="shared" si="59"/>
        <v>2023</v>
      </c>
      <c r="H412" s="3">
        <v>45210</v>
      </c>
      <c r="I412" s="4" t="s">
        <v>426</v>
      </c>
      <c r="J412" s="4" t="s">
        <v>23</v>
      </c>
      <c r="K412" s="4" t="str" cm="1">
        <f t="array" ref="K412">_xlfn.IFS(L412&gt;50,"Senior", L412&gt;=30,"Adult", L412&lt;30,"Young Adult")</f>
        <v>Senior</v>
      </c>
      <c r="L412" s="4">
        <v>62</v>
      </c>
      <c r="M412" s="4" t="s">
        <v>24</v>
      </c>
      <c r="N412" s="4">
        <v>1</v>
      </c>
      <c r="O412" s="5">
        <v>300</v>
      </c>
      <c r="P412">
        <f t="shared" si="60"/>
        <v>300</v>
      </c>
      <c r="Q412" s="14">
        <f t="shared" si="61"/>
        <v>4.5</v>
      </c>
      <c r="R412" s="14">
        <f t="shared" si="62"/>
        <v>6</v>
      </c>
    </row>
    <row r="413" spans="1:18" x14ac:dyDescent="0.35">
      <c r="A413" s="2">
        <v>402</v>
      </c>
      <c r="B413" s="4">
        <f t="shared" si="54"/>
        <v>21</v>
      </c>
      <c r="C413" s="4">
        <f t="shared" si="55"/>
        <v>3</v>
      </c>
      <c r="D413" s="4">
        <f t="shared" si="56"/>
        <v>2023</v>
      </c>
      <c r="E413" s="4" t="str">
        <f t="shared" si="57"/>
        <v>Tuesday</v>
      </c>
      <c r="F413" s="4" t="str">
        <f t="shared" si="58"/>
        <v>March</v>
      </c>
      <c r="G413" s="4" t="str">
        <f t="shared" si="59"/>
        <v>2023</v>
      </c>
      <c r="H413" s="3">
        <v>45006</v>
      </c>
      <c r="I413" s="4" t="s">
        <v>427</v>
      </c>
      <c r="J413" s="4" t="s">
        <v>23</v>
      </c>
      <c r="K413" s="4" t="str" cm="1">
        <f t="array" ref="K413">_xlfn.IFS(L413&gt;50,"Senior", L413&gt;=30,"Adult", L413&lt;30,"Young Adult")</f>
        <v>Adult</v>
      </c>
      <c r="L413" s="4">
        <v>41</v>
      </c>
      <c r="M413" s="4" t="s">
        <v>24</v>
      </c>
      <c r="N413" s="4">
        <v>2</v>
      </c>
      <c r="O413" s="5">
        <v>300</v>
      </c>
      <c r="P413">
        <f t="shared" si="60"/>
        <v>600</v>
      </c>
      <c r="Q413" s="14">
        <f t="shared" si="61"/>
        <v>9</v>
      </c>
      <c r="R413" s="14">
        <f t="shared" si="62"/>
        <v>12</v>
      </c>
    </row>
    <row r="414" spans="1:18" x14ac:dyDescent="0.35">
      <c r="A414" s="2">
        <v>403</v>
      </c>
      <c r="B414" s="4">
        <f t="shared" si="54"/>
        <v>20</v>
      </c>
      <c r="C414" s="4">
        <f t="shared" si="55"/>
        <v>5</v>
      </c>
      <c r="D414" s="4">
        <f t="shared" si="56"/>
        <v>2023</v>
      </c>
      <c r="E414" s="4" t="str">
        <f t="shared" si="57"/>
        <v>Saturday</v>
      </c>
      <c r="F414" s="4" t="str">
        <f t="shared" si="58"/>
        <v>May</v>
      </c>
      <c r="G414" s="4" t="str">
        <f t="shared" si="59"/>
        <v>2023</v>
      </c>
      <c r="H414" s="3">
        <v>45066</v>
      </c>
      <c r="I414" s="4" t="s">
        <v>428</v>
      </c>
      <c r="J414" s="4" t="s">
        <v>20</v>
      </c>
      <c r="K414" s="4" t="str" cm="1">
        <f t="array" ref="K414">_xlfn.IFS(L414&gt;50,"Senior", L414&gt;=30,"Adult", L414&lt;30,"Young Adult")</f>
        <v>Adult</v>
      </c>
      <c r="L414" s="4">
        <v>32</v>
      </c>
      <c r="M414" s="4" t="s">
        <v>24</v>
      </c>
      <c r="N414" s="4">
        <v>2</v>
      </c>
      <c r="O414" s="5">
        <v>300</v>
      </c>
      <c r="P414">
        <f t="shared" si="60"/>
        <v>600</v>
      </c>
      <c r="Q414" s="14">
        <f t="shared" si="61"/>
        <v>9</v>
      </c>
      <c r="R414" s="14">
        <f t="shared" si="62"/>
        <v>12</v>
      </c>
    </row>
    <row r="415" spans="1:18" x14ac:dyDescent="0.35">
      <c r="A415" s="2">
        <v>404</v>
      </c>
      <c r="B415" s="4">
        <f t="shared" si="54"/>
        <v>25</v>
      </c>
      <c r="C415" s="4">
        <f t="shared" si="55"/>
        <v>5</v>
      </c>
      <c r="D415" s="4">
        <f t="shared" si="56"/>
        <v>2023</v>
      </c>
      <c r="E415" s="4" t="str">
        <f t="shared" si="57"/>
        <v>Thursday</v>
      </c>
      <c r="F415" s="4" t="str">
        <f t="shared" si="58"/>
        <v>May</v>
      </c>
      <c r="G415" s="4" t="str">
        <f t="shared" si="59"/>
        <v>2023</v>
      </c>
      <c r="H415" s="3">
        <v>45071</v>
      </c>
      <c r="I415" s="4" t="s">
        <v>429</v>
      </c>
      <c r="J415" s="4" t="s">
        <v>20</v>
      </c>
      <c r="K415" s="4" t="str" cm="1">
        <f t="array" ref="K415">_xlfn.IFS(L415&gt;50,"Senior", L415&gt;=30,"Adult", L415&lt;30,"Young Adult")</f>
        <v>Adult</v>
      </c>
      <c r="L415" s="4">
        <v>46</v>
      </c>
      <c r="M415" s="4" t="s">
        <v>26</v>
      </c>
      <c r="N415" s="4">
        <v>2</v>
      </c>
      <c r="O415" s="5">
        <v>500</v>
      </c>
      <c r="P415">
        <f t="shared" si="60"/>
        <v>1000</v>
      </c>
      <c r="Q415" s="14">
        <f t="shared" si="61"/>
        <v>15</v>
      </c>
      <c r="R415" s="14">
        <f t="shared" si="62"/>
        <v>20</v>
      </c>
    </row>
    <row r="416" spans="1:18" x14ac:dyDescent="0.35">
      <c r="A416" s="2">
        <v>405</v>
      </c>
      <c r="B416" s="4">
        <f t="shared" si="54"/>
        <v>6</v>
      </c>
      <c r="C416" s="4">
        <f t="shared" si="55"/>
        <v>11</v>
      </c>
      <c r="D416" s="4">
        <f t="shared" si="56"/>
        <v>2023</v>
      </c>
      <c r="E416" s="4" t="str">
        <f t="shared" si="57"/>
        <v>Monday</v>
      </c>
      <c r="F416" s="4" t="str">
        <f t="shared" si="58"/>
        <v>November</v>
      </c>
      <c r="G416" s="4" t="str">
        <f t="shared" si="59"/>
        <v>2023</v>
      </c>
      <c r="H416" s="3">
        <v>45236</v>
      </c>
      <c r="I416" s="4" t="s">
        <v>430</v>
      </c>
      <c r="J416" s="4" t="s">
        <v>23</v>
      </c>
      <c r="K416" s="4" t="str" cm="1">
        <f t="array" ref="K416">_xlfn.IFS(L416&gt;50,"Senior", L416&gt;=30,"Adult", L416&lt;30,"Young Adult")</f>
        <v>Young Adult</v>
      </c>
      <c r="L416" s="4">
        <v>25</v>
      </c>
      <c r="M416" s="4" t="s">
        <v>24</v>
      </c>
      <c r="N416" s="4">
        <v>4</v>
      </c>
      <c r="O416" s="5">
        <v>300</v>
      </c>
      <c r="P416">
        <f t="shared" si="60"/>
        <v>1200</v>
      </c>
      <c r="Q416" s="14">
        <f t="shared" si="61"/>
        <v>18</v>
      </c>
      <c r="R416" s="14">
        <f t="shared" si="62"/>
        <v>24</v>
      </c>
    </row>
    <row r="417" spans="1:18" x14ac:dyDescent="0.35">
      <c r="A417" s="2">
        <v>406</v>
      </c>
      <c r="B417" s="4">
        <f t="shared" si="54"/>
        <v>18</v>
      </c>
      <c r="C417" s="4">
        <f t="shared" si="55"/>
        <v>4</v>
      </c>
      <c r="D417" s="4">
        <f t="shared" si="56"/>
        <v>2023</v>
      </c>
      <c r="E417" s="4" t="str">
        <f t="shared" si="57"/>
        <v>Tuesday</v>
      </c>
      <c r="F417" s="4" t="str">
        <f t="shared" si="58"/>
        <v>April</v>
      </c>
      <c r="G417" s="4" t="str">
        <f t="shared" si="59"/>
        <v>2023</v>
      </c>
      <c r="H417" s="3">
        <v>45034</v>
      </c>
      <c r="I417" s="4" t="s">
        <v>431</v>
      </c>
      <c r="J417" s="4" t="s">
        <v>23</v>
      </c>
      <c r="K417" s="4" t="str" cm="1">
        <f t="array" ref="K417">_xlfn.IFS(L417&gt;50,"Senior", L417&gt;=30,"Adult", L417&lt;30,"Young Adult")</f>
        <v>Young Adult</v>
      </c>
      <c r="L417" s="4">
        <v>22</v>
      </c>
      <c r="M417" s="4" t="s">
        <v>21</v>
      </c>
      <c r="N417" s="4">
        <v>4</v>
      </c>
      <c r="O417" s="5">
        <v>25</v>
      </c>
      <c r="P417">
        <f t="shared" si="60"/>
        <v>100</v>
      </c>
      <c r="Q417" s="14">
        <f t="shared" si="61"/>
        <v>1.5</v>
      </c>
      <c r="R417" s="14">
        <f t="shared" si="62"/>
        <v>2</v>
      </c>
    </row>
    <row r="418" spans="1:18" x14ac:dyDescent="0.35">
      <c r="A418" s="2">
        <v>407</v>
      </c>
      <c r="B418" s="4">
        <f t="shared" si="54"/>
        <v>25</v>
      </c>
      <c r="C418" s="4">
        <f t="shared" si="55"/>
        <v>6</v>
      </c>
      <c r="D418" s="4">
        <f t="shared" si="56"/>
        <v>2023</v>
      </c>
      <c r="E418" s="4" t="str">
        <f t="shared" si="57"/>
        <v>Sunday</v>
      </c>
      <c r="F418" s="4" t="str">
        <f t="shared" si="58"/>
        <v>June</v>
      </c>
      <c r="G418" s="4" t="str">
        <f t="shared" si="59"/>
        <v>2023</v>
      </c>
      <c r="H418" s="3">
        <v>45102</v>
      </c>
      <c r="I418" s="4" t="s">
        <v>432</v>
      </c>
      <c r="J418" s="4" t="s">
        <v>23</v>
      </c>
      <c r="K418" s="4" t="str" cm="1">
        <f t="array" ref="K418">_xlfn.IFS(L418&gt;50,"Senior", L418&gt;=30,"Adult", L418&lt;30,"Young Adult")</f>
        <v>Adult</v>
      </c>
      <c r="L418" s="4">
        <v>46</v>
      </c>
      <c r="M418" s="4" t="s">
        <v>26</v>
      </c>
      <c r="N418" s="4">
        <v>3</v>
      </c>
      <c r="O418" s="5">
        <v>300</v>
      </c>
      <c r="P418">
        <f t="shared" si="60"/>
        <v>900</v>
      </c>
      <c r="Q418" s="14">
        <f t="shared" si="61"/>
        <v>13.5</v>
      </c>
      <c r="R418" s="14">
        <f t="shared" si="62"/>
        <v>18</v>
      </c>
    </row>
    <row r="419" spans="1:18" x14ac:dyDescent="0.35">
      <c r="A419" s="2">
        <v>408</v>
      </c>
      <c r="B419" s="4">
        <f t="shared" si="54"/>
        <v>15</v>
      </c>
      <c r="C419" s="4">
        <f t="shared" si="55"/>
        <v>4</v>
      </c>
      <c r="D419" s="4">
        <f t="shared" si="56"/>
        <v>2023</v>
      </c>
      <c r="E419" s="4" t="str">
        <f t="shared" si="57"/>
        <v>Saturday</v>
      </c>
      <c r="F419" s="4" t="str">
        <f t="shared" si="58"/>
        <v>April</v>
      </c>
      <c r="G419" s="4" t="str">
        <f t="shared" si="59"/>
        <v>2023</v>
      </c>
      <c r="H419" s="3">
        <v>45031</v>
      </c>
      <c r="I419" s="4" t="s">
        <v>433</v>
      </c>
      <c r="J419" s="4" t="s">
        <v>23</v>
      </c>
      <c r="K419" s="4" t="str" cm="1">
        <f t="array" ref="K419">_xlfn.IFS(L419&gt;50,"Senior", L419&gt;=30,"Adult", L419&lt;30,"Young Adult")</f>
        <v>Senior</v>
      </c>
      <c r="L419" s="4">
        <v>64</v>
      </c>
      <c r="M419" s="4" t="s">
        <v>21</v>
      </c>
      <c r="N419" s="4">
        <v>1</v>
      </c>
      <c r="O419" s="5">
        <v>500</v>
      </c>
      <c r="P419">
        <f t="shared" si="60"/>
        <v>500</v>
      </c>
      <c r="Q419" s="14">
        <f t="shared" si="61"/>
        <v>7.5</v>
      </c>
      <c r="R419" s="14">
        <f t="shared" si="62"/>
        <v>10</v>
      </c>
    </row>
    <row r="420" spans="1:18" x14ac:dyDescent="0.35">
      <c r="A420" s="2">
        <v>409</v>
      </c>
      <c r="B420" s="4">
        <f t="shared" si="54"/>
        <v>18</v>
      </c>
      <c r="C420" s="4">
        <f t="shared" si="55"/>
        <v>12</v>
      </c>
      <c r="D420" s="4">
        <f t="shared" si="56"/>
        <v>2023</v>
      </c>
      <c r="E420" s="4" t="str">
        <f t="shared" si="57"/>
        <v>Monday</v>
      </c>
      <c r="F420" s="4" t="str">
        <f t="shared" si="58"/>
        <v>December</v>
      </c>
      <c r="G420" s="4" t="str">
        <f t="shared" si="59"/>
        <v>2023</v>
      </c>
      <c r="H420" s="3">
        <v>45278</v>
      </c>
      <c r="I420" s="4" t="s">
        <v>434</v>
      </c>
      <c r="J420" s="4" t="s">
        <v>23</v>
      </c>
      <c r="K420" s="4" t="str" cm="1">
        <f t="array" ref="K420">_xlfn.IFS(L420&gt;50,"Senior", L420&gt;=30,"Adult", L420&lt;30,"Young Adult")</f>
        <v>Young Adult</v>
      </c>
      <c r="L420" s="4">
        <v>21</v>
      </c>
      <c r="M420" s="4" t="s">
        <v>26</v>
      </c>
      <c r="N420" s="4">
        <v>3</v>
      </c>
      <c r="O420" s="5">
        <v>300</v>
      </c>
      <c r="P420">
        <f t="shared" si="60"/>
        <v>900</v>
      </c>
      <c r="Q420" s="14">
        <f t="shared" si="61"/>
        <v>13.5</v>
      </c>
      <c r="R420" s="14">
        <f t="shared" si="62"/>
        <v>18</v>
      </c>
    </row>
    <row r="421" spans="1:18" x14ac:dyDescent="0.35">
      <c r="A421" s="2">
        <v>410</v>
      </c>
      <c r="B421" s="4">
        <f t="shared" si="54"/>
        <v>21</v>
      </c>
      <c r="C421" s="4">
        <f t="shared" si="55"/>
        <v>11</v>
      </c>
      <c r="D421" s="4">
        <f t="shared" si="56"/>
        <v>2023</v>
      </c>
      <c r="E421" s="4" t="str">
        <f t="shared" si="57"/>
        <v>Tuesday</v>
      </c>
      <c r="F421" s="4" t="str">
        <f t="shared" si="58"/>
        <v>November</v>
      </c>
      <c r="G421" s="4" t="str">
        <f t="shared" si="59"/>
        <v>2023</v>
      </c>
      <c r="H421" s="3">
        <v>45251</v>
      </c>
      <c r="I421" s="4" t="s">
        <v>435</v>
      </c>
      <c r="J421" s="4" t="s">
        <v>23</v>
      </c>
      <c r="K421" s="4" t="str" cm="1">
        <f t="array" ref="K421">_xlfn.IFS(L421&gt;50,"Senior", L421&gt;=30,"Adult", L421&lt;30,"Young Adult")</f>
        <v>Young Adult</v>
      </c>
      <c r="L421" s="4">
        <v>29</v>
      </c>
      <c r="M421" s="4" t="s">
        <v>24</v>
      </c>
      <c r="N421" s="4">
        <v>2</v>
      </c>
      <c r="O421" s="5">
        <v>50</v>
      </c>
      <c r="P421">
        <f t="shared" si="60"/>
        <v>100</v>
      </c>
      <c r="Q421" s="14">
        <f t="shared" si="61"/>
        <v>1.5</v>
      </c>
      <c r="R421" s="14">
        <f t="shared" si="62"/>
        <v>2</v>
      </c>
    </row>
    <row r="422" spans="1:18" x14ac:dyDescent="0.35">
      <c r="A422" s="2">
        <v>411</v>
      </c>
      <c r="B422" s="4">
        <f t="shared" si="54"/>
        <v>16</v>
      </c>
      <c r="C422" s="4">
        <f t="shared" si="55"/>
        <v>5</v>
      </c>
      <c r="D422" s="4">
        <f t="shared" si="56"/>
        <v>2023</v>
      </c>
      <c r="E422" s="4" t="str">
        <f t="shared" si="57"/>
        <v>Tuesday</v>
      </c>
      <c r="F422" s="4" t="str">
        <f t="shared" si="58"/>
        <v>May</v>
      </c>
      <c r="G422" s="4" t="str">
        <f t="shared" si="59"/>
        <v>2023</v>
      </c>
      <c r="H422" s="3">
        <v>45062</v>
      </c>
      <c r="I422" s="4" t="s">
        <v>436</v>
      </c>
      <c r="J422" s="4" t="s">
        <v>20</v>
      </c>
      <c r="K422" s="4" t="str" cm="1">
        <f t="array" ref="K422">_xlfn.IFS(L422&gt;50,"Senior", L422&gt;=30,"Adult", L422&lt;30,"Young Adult")</f>
        <v>Senior</v>
      </c>
      <c r="L422" s="4">
        <v>62</v>
      </c>
      <c r="M422" s="4" t="s">
        <v>26</v>
      </c>
      <c r="N422" s="4">
        <v>4</v>
      </c>
      <c r="O422" s="5">
        <v>50</v>
      </c>
      <c r="P422">
        <f t="shared" si="60"/>
        <v>200</v>
      </c>
      <c r="Q422" s="14">
        <f t="shared" si="61"/>
        <v>3</v>
      </c>
      <c r="R422" s="14">
        <f t="shared" si="62"/>
        <v>4</v>
      </c>
    </row>
    <row r="423" spans="1:18" x14ac:dyDescent="0.35">
      <c r="A423" s="2">
        <v>412</v>
      </c>
      <c r="B423" s="4">
        <f t="shared" si="54"/>
        <v>16</v>
      </c>
      <c r="C423" s="4">
        <f t="shared" si="55"/>
        <v>9</v>
      </c>
      <c r="D423" s="4">
        <f t="shared" si="56"/>
        <v>2023</v>
      </c>
      <c r="E423" s="4" t="str">
        <f t="shared" si="57"/>
        <v>Saturday</v>
      </c>
      <c r="F423" s="4" t="str">
        <f t="shared" si="58"/>
        <v>September</v>
      </c>
      <c r="G423" s="4" t="str">
        <f t="shared" si="59"/>
        <v>2023</v>
      </c>
      <c r="H423" s="3">
        <v>45185</v>
      </c>
      <c r="I423" s="4" t="s">
        <v>437</v>
      </c>
      <c r="J423" s="4" t="s">
        <v>23</v>
      </c>
      <c r="K423" s="4" t="str" cm="1">
        <f t="array" ref="K423">_xlfn.IFS(L423&gt;50,"Senior", L423&gt;=30,"Adult", L423&lt;30,"Young Adult")</f>
        <v>Young Adult</v>
      </c>
      <c r="L423" s="4">
        <v>19</v>
      </c>
      <c r="M423" s="4" t="s">
        <v>26</v>
      </c>
      <c r="N423" s="4">
        <v>4</v>
      </c>
      <c r="O423" s="5">
        <v>500</v>
      </c>
      <c r="P423">
        <f t="shared" si="60"/>
        <v>2000</v>
      </c>
      <c r="Q423" s="14">
        <f t="shared" si="61"/>
        <v>30</v>
      </c>
      <c r="R423" s="14">
        <f t="shared" si="62"/>
        <v>40</v>
      </c>
    </row>
    <row r="424" spans="1:18" x14ac:dyDescent="0.35">
      <c r="A424" s="2">
        <v>413</v>
      </c>
      <c r="B424" s="4">
        <f t="shared" si="54"/>
        <v>8</v>
      </c>
      <c r="C424" s="4">
        <f t="shared" si="55"/>
        <v>9</v>
      </c>
      <c r="D424" s="4">
        <f t="shared" si="56"/>
        <v>2023</v>
      </c>
      <c r="E424" s="4" t="str">
        <f t="shared" si="57"/>
        <v>Friday</v>
      </c>
      <c r="F424" s="4" t="str">
        <f t="shared" si="58"/>
        <v>September</v>
      </c>
      <c r="G424" s="4" t="str">
        <f t="shared" si="59"/>
        <v>2023</v>
      </c>
      <c r="H424" s="3">
        <v>45177</v>
      </c>
      <c r="I424" s="4" t="s">
        <v>438</v>
      </c>
      <c r="J424" s="4" t="s">
        <v>23</v>
      </c>
      <c r="K424" s="4" t="str" cm="1">
        <f t="array" ref="K424">_xlfn.IFS(L424&gt;50,"Senior", L424&gt;=30,"Adult", L424&lt;30,"Young Adult")</f>
        <v>Adult</v>
      </c>
      <c r="L424" s="4">
        <v>44</v>
      </c>
      <c r="M424" s="4" t="s">
        <v>21</v>
      </c>
      <c r="N424" s="4">
        <v>3</v>
      </c>
      <c r="O424" s="5">
        <v>25</v>
      </c>
      <c r="P424">
        <f t="shared" si="60"/>
        <v>75</v>
      </c>
      <c r="Q424" s="14">
        <f t="shared" si="61"/>
        <v>1.125</v>
      </c>
      <c r="R424" s="14">
        <f t="shared" si="62"/>
        <v>1.5</v>
      </c>
    </row>
    <row r="425" spans="1:18" x14ac:dyDescent="0.35">
      <c r="A425" s="2">
        <v>414</v>
      </c>
      <c r="B425" s="4">
        <f t="shared" si="54"/>
        <v>9</v>
      </c>
      <c r="C425" s="4">
        <f t="shared" si="55"/>
        <v>5</v>
      </c>
      <c r="D425" s="4">
        <f t="shared" si="56"/>
        <v>2023</v>
      </c>
      <c r="E425" s="4" t="str">
        <f t="shared" si="57"/>
        <v>Tuesday</v>
      </c>
      <c r="F425" s="4" t="str">
        <f t="shared" si="58"/>
        <v>May</v>
      </c>
      <c r="G425" s="4" t="str">
        <f t="shared" si="59"/>
        <v>2023</v>
      </c>
      <c r="H425" s="3">
        <v>45055</v>
      </c>
      <c r="I425" s="4" t="s">
        <v>439</v>
      </c>
      <c r="J425" s="4" t="s">
        <v>20</v>
      </c>
      <c r="K425" s="4" t="str" cm="1">
        <f t="array" ref="K425">_xlfn.IFS(L425&gt;50,"Senior", L425&gt;=30,"Adult", L425&lt;30,"Young Adult")</f>
        <v>Adult</v>
      </c>
      <c r="L425" s="4">
        <v>48</v>
      </c>
      <c r="M425" s="4" t="s">
        <v>21</v>
      </c>
      <c r="N425" s="4">
        <v>4</v>
      </c>
      <c r="O425" s="5">
        <v>25</v>
      </c>
      <c r="P425">
        <f t="shared" si="60"/>
        <v>100</v>
      </c>
      <c r="Q425" s="14">
        <f t="shared" si="61"/>
        <v>1.5</v>
      </c>
      <c r="R425" s="14">
        <f t="shared" si="62"/>
        <v>2</v>
      </c>
    </row>
    <row r="426" spans="1:18" x14ac:dyDescent="0.35">
      <c r="A426" s="2">
        <v>415</v>
      </c>
      <c r="B426" s="4">
        <f t="shared" si="54"/>
        <v>27</v>
      </c>
      <c r="C426" s="4">
        <f t="shared" si="55"/>
        <v>1</v>
      </c>
      <c r="D426" s="4">
        <f t="shared" si="56"/>
        <v>2023</v>
      </c>
      <c r="E426" s="4" t="str">
        <f t="shared" si="57"/>
        <v>Friday</v>
      </c>
      <c r="F426" s="4" t="str">
        <f t="shared" si="58"/>
        <v>January</v>
      </c>
      <c r="G426" s="4" t="str">
        <f t="shared" si="59"/>
        <v>2023</v>
      </c>
      <c r="H426" s="3">
        <v>44953</v>
      </c>
      <c r="I426" s="4" t="s">
        <v>440</v>
      </c>
      <c r="J426" s="4" t="s">
        <v>20</v>
      </c>
      <c r="K426" s="4" t="str" cm="1">
        <f t="array" ref="K426">_xlfn.IFS(L426&gt;50,"Senior", L426&gt;=30,"Adult", L426&lt;30,"Young Adult")</f>
        <v>Senior</v>
      </c>
      <c r="L426" s="4">
        <v>53</v>
      </c>
      <c r="M426" s="4" t="s">
        <v>24</v>
      </c>
      <c r="N426" s="4">
        <v>2</v>
      </c>
      <c r="O426" s="5">
        <v>30</v>
      </c>
      <c r="P426">
        <f t="shared" si="60"/>
        <v>60</v>
      </c>
      <c r="Q426" s="14">
        <f t="shared" si="61"/>
        <v>0.89999999999999991</v>
      </c>
      <c r="R426" s="14">
        <f t="shared" si="62"/>
        <v>1.2</v>
      </c>
    </row>
    <row r="427" spans="1:18" x14ac:dyDescent="0.35">
      <c r="A427" s="2">
        <v>416</v>
      </c>
      <c r="B427" s="4">
        <f t="shared" si="54"/>
        <v>17</v>
      </c>
      <c r="C427" s="4">
        <f t="shared" si="55"/>
        <v>2</v>
      </c>
      <c r="D427" s="4">
        <f t="shared" si="56"/>
        <v>2023</v>
      </c>
      <c r="E427" s="4" t="str">
        <f t="shared" si="57"/>
        <v>Friday</v>
      </c>
      <c r="F427" s="4" t="str">
        <f t="shared" si="58"/>
        <v>February</v>
      </c>
      <c r="G427" s="4" t="str">
        <f t="shared" si="59"/>
        <v>2023</v>
      </c>
      <c r="H427" s="3">
        <v>44974</v>
      </c>
      <c r="I427" s="4" t="s">
        <v>441</v>
      </c>
      <c r="J427" s="4" t="s">
        <v>20</v>
      </c>
      <c r="K427" s="4" t="str" cm="1">
        <f t="array" ref="K427">_xlfn.IFS(L427&gt;50,"Senior", L427&gt;=30,"Adult", L427&lt;30,"Young Adult")</f>
        <v>Senior</v>
      </c>
      <c r="L427" s="4">
        <v>53</v>
      </c>
      <c r="M427" s="4" t="s">
        <v>26</v>
      </c>
      <c r="N427" s="4">
        <v>4</v>
      </c>
      <c r="O427" s="5">
        <v>500</v>
      </c>
      <c r="P427">
        <f t="shared" si="60"/>
        <v>2000</v>
      </c>
      <c r="Q427" s="14">
        <f t="shared" si="61"/>
        <v>30</v>
      </c>
      <c r="R427" s="14">
        <f t="shared" si="62"/>
        <v>40</v>
      </c>
    </row>
    <row r="428" spans="1:18" x14ac:dyDescent="0.35">
      <c r="A428" s="2">
        <v>417</v>
      </c>
      <c r="B428" s="4">
        <f t="shared" si="54"/>
        <v>21</v>
      </c>
      <c r="C428" s="4">
        <f t="shared" si="55"/>
        <v>11</v>
      </c>
      <c r="D428" s="4">
        <f t="shared" si="56"/>
        <v>2023</v>
      </c>
      <c r="E428" s="4" t="str">
        <f t="shared" si="57"/>
        <v>Tuesday</v>
      </c>
      <c r="F428" s="4" t="str">
        <f t="shared" si="58"/>
        <v>November</v>
      </c>
      <c r="G428" s="4" t="str">
        <f t="shared" si="59"/>
        <v>2023</v>
      </c>
      <c r="H428" s="3">
        <v>45251</v>
      </c>
      <c r="I428" s="4" t="s">
        <v>442</v>
      </c>
      <c r="J428" s="4" t="s">
        <v>20</v>
      </c>
      <c r="K428" s="4" t="str" cm="1">
        <f t="array" ref="K428">_xlfn.IFS(L428&gt;50,"Senior", L428&gt;=30,"Adult", L428&lt;30,"Young Adult")</f>
        <v>Adult</v>
      </c>
      <c r="L428" s="4">
        <v>43</v>
      </c>
      <c r="M428" s="4" t="s">
        <v>26</v>
      </c>
      <c r="N428" s="4">
        <v>3</v>
      </c>
      <c r="O428" s="5">
        <v>300</v>
      </c>
      <c r="P428">
        <f t="shared" si="60"/>
        <v>900</v>
      </c>
      <c r="Q428" s="14">
        <f t="shared" si="61"/>
        <v>13.5</v>
      </c>
      <c r="R428" s="14">
        <f t="shared" si="62"/>
        <v>18</v>
      </c>
    </row>
    <row r="429" spans="1:18" x14ac:dyDescent="0.35">
      <c r="A429" s="2">
        <v>418</v>
      </c>
      <c r="B429" s="4">
        <f t="shared" si="54"/>
        <v>5</v>
      </c>
      <c r="C429" s="4">
        <f t="shared" si="55"/>
        <v>8</v>
      </c>
      <c r="D429" s="4">
        <f t="shared" si="56"/>
        <v>2023</v>
      </c>
      <c r="E429" s="4" t="str">
        <f t="shared" si="57"/>
        <v>Saturday</v>
      </c>
      <c r="F429" s="4" t="str">
        <f t="shared" si="58"/>
        <v>August</v>
      </c>
      <c r="G429" s="4" t="str">
        <f t="shared" si="59"/>
        <v>2023</v>
      </c>
      <c r="H429" s="3">
        <v>45143</v>
      </c>
      <c r="I429" s="4" t="s">
        <v>443</v>
      </c>
      <c r="J429" s="4" t="s">
        <v>23</v>
      </c>
      <c r="K429" s="4" t="str" cm="1">
        <f t="array" ref="K429">_xlfn.IFS(L429&gt;50,"Senior", L429&gt;=30,"Adult", L429&lt;30,"Young Adult")</f>
        <v>Senior</v>
      </c>
      <c r="L429" s="4">
        <v>60</v>
      </c>
      <c r="M429" s="4" t="s">
        <v>26</v>
      </c>
      <c r="N429" s="4">
        <v>2</v>
      </c>
      <c r="O429" s="5">
        <v>500</v>
      </c>
      <c r="P429">
        <f t="shared" si="60"/>
        <v>1000</v>
      </c>
      <c r="Q429" s="14">
        <f t="shared" si="61"/>
        <v>15</v>
      </c>
      <c r="R429" s="14">
        <f t="shared" si="62"/>
        <v>20</v>
      </c>
    </row>
    <row r="430" spans="1:18" x14ac:dyDescent="0.35">
      <c r="A430" s="2">
        <v>419</v>
      </c>
      <c r="B430" s="4">
        <f t="shared" si="54"/>
        <v>22</v>
      </c>
      <c r="C430" s="4">
        <f t="shared" si="55"/>
        <v>5</v>
      </c>
      <c r="D430" s="4">
        <f t="shared" si="56"/>
        <v>2023</v>
      </c>
      <c r="E430" s="4" t="str">
        <f t="shared" si="57"/>
        <v>Monday</v>
      </c>
      <c r="F430" s="4" t="str">
        <f t="shared" si="58"/>
        <v>May</v>
      </c>
      <c r="G430" s="4" t="str">
        <f t="shared" si="59"/>
        <v>2023</v>
      </c>
      <c r="H430" s="3">
        <v>45068</v>
      </c>
      <c r="I430" s="4" t="s">
        <v>444</v>
      </c>
      <c r="J430" s="4" t="s">
        <v>23</v>
      </c>
      <c r="K430" s="4" t="str" cm="1">
        <f t="array" ref="K430">_xlfn.IFS(L430&gt;50,"Senior", L430&gt;=30,"Adult", L430&lt;30,"Young Adult")</f>
        <v>Adult</v>
      </c>
      <c r="L430" s="4">
        <v>44</v>
      </c>
      <c r="M430" s="4" t="s">
        <v>24</v>
      </c>
      <c r="N430" s="4">
        <v>3</v>
      </c>
      <c r="O430" s="5">
        <v>30</v>
      </c>
      <c r="P430">
        <f t="shared" si="60"/>
        <v>90</v>
      </c>
      <c r="Q430" s="14">
        <f t="shared" si="61"/>
        <v>1.3499999999999999</v>
      </c>
      <c r="R430" s="14">
        <f t="shared" si="62"/>
        <v>1.8</v>
      </c>
    </row>
    <row r="431" spans="1:18" x14ac:dyDescent="0.35">
      <c r="A431" s="2">
        <v>420</v>
      </c>
      <c r="B431" s="4">
        <f t="shared" si="54"/>
        <v>23</v>
      </c>
      <c r="C431" s="4">
        <f t="shared" si="55"/>
        <v>1</v>
      </c>
      <c r="D431" s="4">
        <f t="shared" si="56"/>
        <v>2023</v>
      </c>
      <c r="E431" s="4" t="str">
        <f t="shared" si="57"/>
        <v>Monday</v>
      </c>
      <c r="F431" s="4" t="str">
        <f t="shared" si="58"/>
        <v>January</v>
      </c>
      <c r="G431" s="4" t="str">
        <f t="shared" si="59"/>
        <v>2023</v>
      </c>
      <c r="H431" s="3">
        <v>44949</v>
      </c>
      <c r="I431" s="4" t="s">
        <v>445</v>
      </c>
      <c r="J431" s="4" t="s">
        <v>23</v>
      </c>
      <c r="K431" s="4" t="str" cm="1">
        <f t="array" ref="K431">_xlfn.IFS(L431&gt;50,"Senior", L431&gt;=30,"Adult", L431&lt;30,"Young Adult")</f>
        <v>Young Adult</v>
      </c>
      <c r="L431" s="4">
        <v>22</v>
      </c>
      <c r="M431" s="4" t="s">
        <v>24</v>
      </c>
      <c r="N431" s="4">
        <v>4</v>
      </c>
      <c r="O431" s="5">
        <v>500</v>
      </c>
      <c r="P431">
        <f t="shared" si="60"/>
        <v>2000</v>
      </c>
      <c r="Q431" s="14">
        <f t="shared" si="61"/>
        <v>30</v>
      </c>
      <c r="R431" s="14">
        <f t="shared" si="62"/>
        <v>40</v>
      </c>
    </row>
    <row r="432" spans="1:18" x14ac:dyDescent="0.35">
      <c r="A432" s="2">
        <v>421</v>
      </c>
      <c r="B432" s="4">
        <f t="shared" si="54"/>
        <v>2</v>
      </c>
      <c r="C432" s="4">
        <f t="shared" si="55"/>
        <v>1</v>
      </c>
      <c r="D432" s="4">
        <f t="shared" si="56"/>
        <v>2023</v>
      </c>
      <c r="E432" s="4" t="str">
        <f t="shared" si="57"/>
        <v>Monday</v>
      </c>
      <c r="F432" s="4" t="str">
        <f t="shared" si="58"/>
        <v>January</v>
      </c>
      <c r="G432" s="4" t="str">
        <f t="shared" si="59"/>
        <v>2023</v>
      </c>
      <c r="H432" s="3">
        <v>44928</v>
      </c>
      <c r="I432" s="4" t="s">
        <v>446</v>
      </c>
      <c r="J432" s="4" t="s">
        <v>23</v>
      </c>
      <c r="K432" s="4" t="str" cm="1">
        <f t="array" ref="K432">_xlfn.IFS(L432&gt;50,"Senior", L432&gt;=30,"Adult", L432&lt;30,"Young Adult")</f>
        <v>Adult</v>
      </c>
      <c r="L432" s="4">
        <v>37</v>
      </c>
      <c r="M432" s="4" t="s">
        <v>24</v>
      </c>
      <c r="N432" s="4">
        <v>3</v>
      </c>
      <c r="O432" s="5">
        <v>500</v>
      </c>
      <c r="P432">
        <f t="shared" si="60"/>
        <v>1500</v>
      </c>
      <c r="Q432" s="14">
        <f t="shared" si="61"/>
        <v>22.5</v>
      </c>
      <c r="R432" s="14">
        <f t="shared" si="62"/>
        <v>30</v>
      </c>
    </row>
    <row r="433" spans="1:18" x14ac:dyDescent="0.35">
      <c r="A433" s="2">
        <v>422</v>
      </c>
      <c r="B433" s="4">
        <f t="shared" si="54"/>
        <v>20</v>
      </c>
      <c r="C433" s="4">
        <f t="shared" si="55"/>
        <v>6</v>
      </c>
      <c r="D433" s="4">
        <f t="shared" si="56"/>
        <v>2023</v>
      </c>
      <c r="E433" s="4" t="str">
        <f t="shared" si="57"/>
        <v>Tuesday</v>
      </c>
      <c r="F433" s="4" t="str">
        <f t="shared" si="58"/>
        <v>June</v>
      </c>
      <c r="G433" s="4" t="str">
        <f t="shared" si="59"/>
        <v>2023</v>
      </c>
      <c r="H433" s="3">
        <v>45097</v>
      </c>
      <c r="I433" s="4" t="s">
        <v>447</v>
      </c>
      <c r="J433" s="4" t="s">
        <v>23</v>
      </c>
      <c r="K433" s="4" t="str" cm="1">
        <f t="array" ref="K433">_xlfn.IFS(L433&gt;50,"Senior", L433&gt;=30,"Adult", L433&lt;30,"Young Adult")</f>
        <v>Young Adult</v>
      </c>
      <c r="L433" s="4">
        <v>28</v>
      </c>
      <c r="M433" s="4" t="s">
        <v>24</v>
      </c>
      <c r="N433" s="4">
        <v>3</v>
      </c>
      <c r="O433" s="5">
        <v>30</v>
      </c>
      <c r="P433">
        <f t="shared" si="60"/>
        <v>90</v>
      </c>
      <c r="Q433" s="14">
        <f t="shared" si="61"/>
        <v>1.3499999999999999</v>
      </c>
      <c r="R433" s="14">
        <f t="shared" si="62"/>
        <v>1.8</v>
      </c>
    </row>
    <row r="434" spans="1:18" x14ac:dyDescent="0.35">
      <c r="A434" s="2">
        <v>423</v>
      </c>
      <c r="B434" s="4">
        <f t="shared" si="54"/>
        <v>8</v>
      </c>
      <c r="C434" s="4">
        <f t="shared" si="55"/>
        <v>3</v>
      </c>
      <c r="D434" s="4">
        <f t="shared" si="56"/>
        <v>2023</v>
      </c>
      <c r="E434" s="4" t="str">
        <f t="shared" si="57"/>
        <v>Wednesday</v>
      </c>
      <c r="F434" s="4" t="str">
        <f t="shared" si="58"/>
        <v>March</v>
      </c>
      <c r="G434" s="4" t="str">
        <f t="shared" si="59"/>
        <v>2023</v>
      </c>
      <c r="H434" s="3">
        <v>44993</v>
      </c>
      <c r="I434" s="4" t="s">
        <v>448</v>
      </c>
      <c r="J434" s="4" t="s">
        <v>23</v>
      </c>
      <c r="K434" s="4" t="str" cm="1">
        <f t="array" ref="K434">_xlfn.IFS(L434&gt;50,"Senior", L434&gt;=30,"Adult", L434&lt;30,"Young Adult")</f>
        <v>Young Adult</v>
      </c>
      <c r="L434" s="4">
        <v>27</v>
      </c>
      <c r="M434" s="4" t="s">
        <v>24</v>
      </c>
      <c r="N434" s="4">
        <v>1</v>
      </c>
      <c r="O434" s="5">
        <v>25</v>
      </c>
      <c r="P434">
        <f t="shared" si="60"/>
        <v>25</v>
      </c>
      <c r="Q434" s="14">
        <f t="shared" si="61"/>
        <v>0.375</v>
      </c>
      <c r="R434" s="14">
        <f t="shared" si="62"/>
        <v>0.5</v>
      </c>
    </row>
    <row r="435" spans="1:18" x14ac:dyDescent="0.35">
      <c r="A435" s="2">
        <v>424</v>
      </c>
      <c r="B435" s="4">
        <f t="shared" si="54"/>
        <v>23</v>
      </c>
      <c r="C435" s="4">
        <f t="shared" si="55"/>
        <v>11</v>
      </c>
      <c r="D435" s="4">
        <f t="shared" si="56"/>
        <v>2023</v>
      </c>
      <c r="E435" s="4" t="str">
        <f t="shared" si="57"/>
        <v>Thursday</v>
      </c>
      <c r="F435" s="4" t="str">
        <f t="shared" si="58"/>
        <v>November</v>
      </c>
      <c r="G435" s="4" t="str">
        <f t="shared" si="59"/>
        <v>2023</v>
      </c>
      <c r="H435" s="3">
        <v>45253</v>
      </c>
      <c r="I435" s="4" t="s">
        <v>449</v>
      </c>
      <c r="J435" s="4" t="s">
        <v>20</v>
      </c>
      <c r="K435" s="4" t="str" cm="1">
        <f t="array" ref="K435">_xlfn.IFS(L435&gt;50,"Senior", L435&gt;=30,"Adult", L435&lt;30,"Young Adult")</f>
        <v>Senior</v>
      </c>
      <c r="L435" s="4">
        <v>57</v>
      </c>
      <c r="M435" s="4" t="s">
        <v>21</v>
      </c>
      <c r="N435" s="4">
        <v>4</v>
      </c>
      <c r="O435" s="5">
        <v>300</v>
      </c>
      <c r="P435">
        <f t="shared" si="60"/>
        <v>1200</v>
      </c>
      <c r="Q435" s="14">
        <f t="shared" si="61"/>
        <v>18</v>
      </c>
      <c r="R435" s="14">
        <f t="shared" si="62"/>
        <v>24</v>
      </c>
    </row>
    <row r="436" spans="1:18" x14ac:dyDescent="0.35">
      <c r="A436" s="2">
        <v>425</v>
      </c>
      <c r="B436" s="4">
        <f t="shared" si="54"/>
        <v>15</v>
      </c>
      <c r="C436" s="4">
        <f t="shared" si="55"/>
        <v>5</v>
      </c>
      <c r="D436" s="4">
        <f t="shared" si="56"/>
        <v>2023</v>
      </c>
      <c r="E436" s="4" t="str">
        <f t="shared" si="57"/>
        <v>Monday</v>
      </c>
      <c r="F436" s="4" t="str">
        <f t="shared" si="58"/>
        <v>May</v>
      </c>
      <c r="G436" s="4" t="str">
        <f t="shared" si="59"/>
        <v>2023</v>
      </c>
      <c r="H436" s="3">
        <v>45061</v>
      </c>
      <c r="I436" s="4" t="s">
        <v>450</v>
      </c>
      <c r="J436" s="4" t="s">
        <v>23</v>
      </c>
      <c r="K436" s="4" t="str" cm="1">
        <f t="array" ref="K436">_xlfn.IFS(L436&gt;50,"Senior", L436&gt;=30,"Adult", L436&lt;30,"Young Adult")</f>
        <v>Senior</v>
      </c>
      <c r="L436" s="4">
        <v>55</v>
      </c>
      <c r="M436" s="4" t="s">
        <v>26</v>
      </c>
      <c r="N436" s="4">
        <v>4</v>
      </c>
      <c r="O436" s="5">
        <v>30</v>
      </c>
      <c r="P436">
        <f t="shared" si="60"/>
        <v>120</v>
      </c>
      <c r="Q436" s="14">
        <f t="shared" si="61"/>
        <v>1.7999999999999998</v>
      </c>
      <c r="R436" s="14">
        <f t="shared" si="62"/>
        <v>2.4</v>
      </c>
    </row>
    <row r="437" spans="1:18" x14ac:dyDescent="0.35">
      <c r="A437" s="2">
        <v>426</v>
      </c>
      <c r="B437" s="4">
        <f t="shared" si="54"/>
        <v>24</v>
      </c>
      <c r="C437" s="4">
        <f t="shared" si="55"/>
        <v>3</v>
      </c>
      <c r="D437" s="4">
        <f t="shared" si="56"/>
        <v>2023</v>
      </c>
      <c r="E437" s="4" t="str">
        <f t="shared" si="57"/>
        <v>Friday</v>
      </c>
      <c r="F437" s="4" t="str">
        <f t="shared" si="58"/>
        <v>March</v>
      </c>
      <c r="G437" s="4" t="str">
        <f t="shared" si="59"/>
        <v>2023</v>
      </c>
      <c r="H437" s="3">
        <v>45009</v>
      </c>
      <c r="I437" s="4" t="s">
        <v>451</v>
      </c>
      <c r="J437" s="4" t="s">
        <v>20</v>
      </c>
      <c r="K437" s="4" t="str" cm="1">
        <f t="array" ref="K437">_xlfn.IFS(L437&gt;50,"Senior", L437&gt;=30,"Adult", L437&lt;30,"Young Adult")</f>
        <v>Young Adult</v>
      </c>
      <c r="L437" s="4">
        <v>23</v>
      </c>
      <c r="M437" s="4" t="s">
        <v>26</v>
      </c>
      <c r="N437" s="4">
        <v>3</v>
      </c>
      <c r="O437" s="5">
        <v>50</v>
      </c>
      <c r="P437">
        <f t="shared" si="60"/>
        <v>150</v>
      </c>
      <c r="Q437" s="14">
        <f t="shared" si="61"/>
        <v>2.25</v>
      </c>
      <c r="R437" s="14">
        <f t="shared" si="62"/>
        <v>3</v>
      </c>
    </row>
    <row r="438" spans="1:18" x14ac:dyDescent="0.35">
      <c r="A438" s="2">
        <v>427</v>
      </c>
      <c r="B438" s="4">
        <f t="shared" si="54"/>
        <v>15</v>
      </c>
      <c r="C438" s="4">
        <f t="shared" si="55"/>
        <v>8</v>
      </c>
      <c r="D438" s="4">
        <f t="shared" si="56"/>
        <v>2023</v>
      </c>
      <c r="E438" s="4" t="str">
        <f t="shared" si="57"/>
        <v>Tuesday</v>
      </c>
      <c r="F438" s="4" t="str">
        <f t="shared" si="58"/>
        <v>August</v>
      </c>
      <c r="G438" s="4" t="str">
        <f t="shared" si="59"/>
        <v>2023</v>
      </c>
      <c r="H438" s="3">
        <v>45153</v>
      </c>
      <c r="I438" s="4" t="s">
        <v>452</v>
      </c>
      <c r="J438" s="4" t="s">
        <v>20</v>
      </c>
      <c r="K438" s="4" t="str" cm="1">
        <f t="array" ref="K438">_xlfn.IFS(L438&gt;50,"Senior", L438&gt;=30,"Adult", L438&lt;30,"Young Adult")</f>
        <v>Young Adult</v>
      </c>
      <c r="L438" s="4">
        <v>25</v>
      </c>
      <c r="M438" s="4" t="s">
        <v>26</v>
      </c>
      <c r="N438" s="4">
        <v>1</v>
      </c>
      <c r="O438" s="5">
        <v>25</v>
      </c>
      <c r="P438">
        <f t="shared" si="60"/>
        <v>25</v>
      </c>
      <c r="Q438" s="14">
        <f t="shared" si="61"/>
        <v>0.375</v>
      </c>
      <c r="R438" s="14">
        <f t="shared" si="62"/>
        <v>0.5</v>
      </c>
    </row>
    <row r="439" spans="1:18" x14ac:dyDescent="0.35">
      <c r="A439" s="2">
        <v>428</v>
      </c>
      <c r="B439" s="4">
        <f t="shared" si="54"/>
        <v>10</v>
      </c>
      <c r="C439" s="4">
        <f t="shared" si="55"/>
        <v>10</v>
      </c>
      <c r="D439" s="4">
        <f t="shared" si="56"/>
        <v>2023</v>
      </c>
      <c r="E439" s="4" t="str">
        <f t="shared" si="57"/>
        <v>Tuesday</v>
      </c>
      <c r="F439" s="4" t="str">
        <f t="shared" si="58"/>
        <v>October</v>
      </c>
      <c r="G439" s="4" t="str">
        <f t="shared" si="59"/>
        <v>2023</v>
      </c>
      <c r="H439" s="3">
        <v>45209</v>
      </c>
      <c r="I439" s="4" t="s">
        <v>453</v>
      </c>
      <c r="J439" s="4" t="s">
        <v>23</v>
      </c>
      <c r="K439" s="4" t="str" cm="1">
        <f t="array" ref="K439">_xlfn.IFS(L439&gt;50,"Senior", L439&gt;=30,"Adult", L439&lt;30,"Young Adult")</f>
        <v>Adult</v>
      </c>
      <c r="L439" s="4">
        <v>40</v>
      </c>
      <c r="M439" s="4" t="s">
        <v>26</v>
      </c>
      <c r="N439" s="4">
        <v>4</v>
      </c>
      <c r="O439" s="5">
        <v>50</v>
      </c>
      <c r="P439">
        <f t="shared" si="60"/>
        <v>200</v>
      </c>
      <c r="Q439" s="14">
        <f t="shared" si="61"/>
        <v>3</v>
      </c>
      <c r="R439" s="14">
        <f t="shared" si="62"/>
        <v>4</v>
      </c>
    </row>
    <row r="440" spans="1:18" x14ac:dyDescent="0.35">
      <c r="A440" s="2">
        <v>429</v>
      </c>
      <c r="B440" s="4">
        <f t="shared" si="54"/>
        <v>28</v>
      </c>
      <c r="C440" s="4">
        <f t="shared" si="55"/>
        <v>12</v>
      </c>
      <c r="D440" s="4">
        <f t="shared" si="56"/>
        <v>2023</v>
      </c>
      <c r="E440" s="4" t="str">
        <f t="shared" si="57"/>
        <v>Thursday</v>
      </c>
      <c r="F440" s="4" t="str">
        <f t="shared" si="58"/>
        <v>December</v>
      </c>
      <c r="G440" s="4" t="str">
        <f t="shared" si="59"/>
        <v>2023</v>
      </c>
      <c r="H440" s="3">
        <v>45288</v>
      </c>
      <c r="I440" s="4" t="s">
        <v>454</v>
      </c>
      <c r="J440" s="4" t="s">
        <v>20</v>
      </c>
      <c r="K440" s="4" t="str" cm="1">
        <f t="array" ref="K440">_xlfn.IFS(L440&gt;50,"Senior", L440&gt;=30,"Adult", L440&lt;30,"Young Adult")</f>
        <v>Senior</v>
      </c>
      <c r="L440" s="4">
        <v>64</v>
      </c>
      <c r="M440" s="4" t="s">
        <v>26</v>
      </c>
      <c r="N440" s="4">
        <v>2</v>
      </c>
      <c r="O440" s="5">
        <v>25</v>
      </c>
      <c r="P440">
        <f t="shared" si="60"/>
        <v>50</v>
      </c>
      <c r="Q440" s="14">
        <f t="shared" si="61"/>
        <v>0.75</v>
      </c>
      <c r="R440" s="14">
        <f t="shared" si="62"/>
        <v>1</v>
      </c>
    </row>
    <row r="441" spans="1:18" x14ac:dyDescent="0.35">
      <c r="A441" s="2">
        <v>430</v>
      </c>
      <c r="B441" s="4">
        <f t="shared" si="54"/>
        <v>7</v>
      </c>
      <c r="C441" s="4">
        <f t="shared" si="55"/>
        <v>8</v>
      </c>
      <c r="D441" s="4">
        <f t="shared" si="56"/>
        <v>2023</v>
      </c>
      <c r="E441" s="4" t="str">
        <f t="shared" si="57"/>
        <v>Monday</v>
      </c>
      <c r="F441" s="4" t="str">
        <f t="shared" si="58"/>
        <v>August</v>
      </c>
      <c r="G441" s="4" t="str">
        <f t="shared" si="59"/>
        <v>2023</v>
      </c>
      <c r="H441" s="3">
        <v>45145</v>
      </c>
      <c r="I441" s="4" t="s">
        <v>455</v>
      </c>
      <c r="J441" s="4" t="s">
        <v>23</v>
      </c>
      <c r="K441" s="4" t="str" cm="1">
        <f t="array" ref="K441">_xlfn.IFS(L441&gt;50,"Senior", L441&gt;=30,"Adult", L441&lt;30,"Young Adult")</f>
        <v>Adult</v>
      </c>
      <c r="L441" s="4">
        <v>43</v>
      </c>
      <c r="M441" s="4" t="s">
        <v>26</v>
      </c>
      <c r="N441" s="4">
        <v>3</v>
      </c>
      <c r="O441" s="5">
        <v>300</v>
      </c>
      <c r="P441">
        <f t="shared" si="60"/>
        <v>900</v>
      </c>
      <c r="Q441" s="14">
        <f t="shared" si="61"/>
        <v>13.5</v>
      </c>
      <c r="R441" s="14">
        <f t="shared" si="62"/>
        <v>18</v>
      </c>
    </row>
    <row r="442" spans="1:18" x14ac:dyDescent="0.35">
      <c r="A442" s="2">
        <v>431</v>
      </c>
      <c r="B442" s="4">
        <f t="shared" si="54"/>
        <v>15</v>
      </c>
      <c r="C442" s="4">
        <f t="shared" si="55"/>
        <v>10</v>
      </c>
      <c r="D442" s="4">
        <f t="shared" si="56"/>
        <v>2023</v>
      </c>
      <c r="E442" s="4" t="str">
        <f t="shared" si="57"/>
        <v>Sunday</v>
      </c>
      <c r="F442" s="4" t="str">
        <f t="shared" si="58"/>
        <v>October</v>
      </c>
      <c r="G442" s="4" t="str">
        <f t="shared" si="59"/>
        <v>2023</v>
      </c>
      <c r="H442" s="3">
        <v>45214</v>
      </c>
      <c r="I442" s="4" t="s">
        <v>456</v>
      </c>
      <c r="J442" s="4" t="s">
        <v>20</v>
      </c>
      <c r="K442" s="4" t="str" cm="1">
        <f t="array" ref="K442">_xlfn.IFS(L442&gt;50,"Senior", L442&gt;=30,"Adult", L442&lt;30,"Young Adult")</f>
        <v>Senior</v>
      </c>
      <c r="L442" s="4">
        <v>63</v>
      </c>
      <c r="M442" s="4" t="s">
        <v>26</v>
      </c>
      <c r="N442" s="4">
        <v>4</v>
      </c>
      <c r="O442" s="5">
        <v>300</v>
      </c>
      <c r="P442">
        <f t="shared" si="60"/>
        <v>1200</v>
      </c>
      <c r="Q442" s="14">
        <f t="shared" si="61"/>
        <v>18</v>
      </c>
      <c r="R442" s="14">
        <f t="shared" si="62"/>
        <v>24</v>
      </c>
    </row>
    <row r="443" spans="1:18" x14ac:dyDescent="0.35">
      <c r="A443" s="2">
        <v>432</v>
      </c>
      <c r="B443" s="4">
        <f t="shared" si="54"/>
        <v>5</v>
      </c>
      <c r="C443" s="4">
        <f t="shared" si="55"/>
        <v>1</v>
      </c>
      <c r="D443" s="4">
        <f t="shared" si="56"/>
        <v>2023</v>
      </c>
      <c r="E443" s="4" t="str">
        <f t="shared" si="57"/>
        <v>Thursday</v>
      </c>
      <c r="F443" s="4" t="str">
        <f t="shared" si="58"/>
        <v>January</v>
      </c>
      <c r="G443" s="4" t="str">
        <f t="shared" si="59"/>
        <v>2023</v>
      </c>
      <c r="H443" s="3">
        <v>44931</v>
      </c>
      <c r="I443" s="4" t="s">
        <v>457</v>
      </c>
      <c r="J443" s="4" t="s">
        <v>23</v>
      </c>
      <c r="K443" s="4" t="str" cm="1">
        <f t="array" ref="K443">_xlfn.IFS(L443&gt;50,"Senior", L443&gt;=30,"Adult", L443&lt;30,"Young Adult")</f>
        <v>Senior</v>
      </c>
      <c r="L443" s="4">
        <v>60</v>
      </c>
      <c r="M443" s="4" t="s">
        <v>26</v>
      </c>
      <c r="N443" s="4">
        <v>2</v>
      </c>
      <c r="O443" s="5">
        <v>500</v>
      </c>
      <c r="P443">
        <f t="shared" si="60"/>
        <v>1000</v>
      </c>
      <c r="Q443" s="14">
        <f t="shared" si="61"/>
        <v>15</v>
      </c>
      <c r="R443" s="14">
        <f t="shared" si="62"/>
        <v>20</v>
      </c>
    </row>
    <row r="444" spans="1:18" x14ac:dyDescent="0.35">
      <c r="A444" s="2">
        <v>433</v>
      </c>
      <c r="B444" s="4">
        <f t="shared" si="54"/>
        <v>27</v>
      </c>
      <c r="C444" s="4">
        <f t="shared" si="55"/>
        <v>2</v>
      </c>
      <c r="D444" s="4">
        <f t="shared" si="56"/>
        <v>2023</v>
      </c>
      <c r="E444" s="4" t="str">
        <f t="shared" si="57"/>
        <v>Monday</v>
      </c>
      <c r="F444" s="4" t="str">
        <f t="shared" si="58"/>
        <v>February</v>
      </c>
      <c r="G444" s="4" t="str">
        <f t="shared" si="59"/>
        <v>2023</v>
      </c>
      <c r="H444" s="3">
        <v>44984</v>
      </c>
      <c r="I444" s="4" t="s">
        <v>458</v>
      </c>
      <c r="J444" s="4" t="s">
        <v>20</v>
      </c>
      <c r="K444" s="4" t="str" cm="1">
        <f t="array" ref="K444">_xlfn.IFS(L444&gt;50,"Senior", L444&gt;=30,"Adult", L444&lt;30,"Young Adult")</f>
        <v>Young Adult</v>
      </c>
      <c r="L444" s="4">
        <v>29</v>
      </c>
      <c r="M444" s="4" t="s">
        <v>21</v>
      </c>
      <c r="N444" s="4">
        <v>4</v>
      </c>
      <c r="O444" s="5">
        <v>50</v>
      </c>
      <c r="P444">
        <f t="shared" si="60"/>
        <v>200</v>
      </c>
      <c r="Q444" s="14">
        <f t="shared" si="61"/>
        <v>3</v>
      </c>
      <c r="R444" s="14">
        <f t="shared" si="62"/>
        <v>4</v>
      </c>
    </row>
    <row r="445" spans="1:18" x14ac:dyDescent="0.35">
      <c r="A445" s="2">
        <v>434</v>
      </c>
      <c r="B445" s="4">
        <f t="shared" si="54"/>
        <v>8</v>
      </c>
      <c r="C445" s="4">
        <f t="shared" si="55"/>
        <v>2</v>
      </c>
      <c r="D445" s="4">
        <f t="shared" si="56"/>
        <v>2023</v>
      </c>
      <c r="E445" s="4" t="str">
        <f t="shared" si="57"/>
        <v>Wednesday</v>
      </c>
      <c r="F445" s="4" t="str">
        <f t="shared" si="58"/>
        <v>February</v>
      </c>
      <c r="G445" s="4" t="str">
        <f t="shared" si="59"/>
        <v>2023</v>
      </c>
      <c r="H445" s="3">
        <v>44965</v>
      </c>
      <c r="I445" s="4" t="s">
        <v>459</v>
      </c>
      <c r="J445" s="4" t="s">
        <v>23</v>
      </c>
      <c r="K445" s="4" t="str" cm="1">
        <f t="array" ref="K445">_xlfn.IFS(L445&gt;50,"Senior", L445&gt;=30,"Adult", L445&lt;30,"Young Adult")</f>
        <v>Adult</v>
      </c>
      <c r="L445" s="4">
        <v>43</v>
      </c>
      <c r="M445" s="4" t="s">
        <v>26</v>
      </c>
      <c r="N445" s="4">
        <v>2</v>
      </c>
      <c r="O445" s="5">
        <v>25</v>
      </c>
      <c r="P445">
        <f t="shared" si="60"/>
        <v>50</v>
      </c>
      <c r="Q445" s="14">
        <f t="shared" si="61"/>
        <v>0.75</v>
      </c>
      <c r="R445" s="14">
        <f t="shared" si="62"/>
        <v>1</v>
      </c>
    </row>
    <row r="446" spans="1:18" x14ac:dyDescent="0.35">
      <c r="A446" s="2">
        <v>435</v>
      </c>
      <c r="B446" s="4">
        <f t="shared" si="54"/>
        <v>20</v>
      </c>
      <c r="C446" s="4">
        <f t="shared" si="55"/>
        <v>12</v>
      </c>
      <c r="D446" s="4">
        <f t="shared" si="56"/>
        <v>2023</v>
      </c>
      <c r="E446" s="4" t="str">
        <f t="shared" si="57"/>
        <v>Wednesday</v>
      </c>
      <c r="F446" s="4" t="str">
        <f t="shared" si="58"/>
        <v>December</v>
      </c>
      <c r="G446" s="4" t="str">
        <f t="shared" si="59"/>
        <v>2023</v>
      </c>
      <c r="H446" s="3">
        <v>45280</v>
      </c>
      <c r="I446" s="4" t="s">
        <v>460</v>
      </c>
      <c r="J446" s="4" t="s">
        <v>23</v>
      </c>
      <c r="K446" s="4" t="str" cm="1">
        <f t="array" ref="K446">_xlfn.IFS(L446&gt;50,"Senior", L446&gt;=30,"Adult", L446&lt;30,"Young Adult")</f>
        <v>Adult</v>
      </c>
      <c r="L446" s="4">
        <v>30</v>
      </c>
      <c r="M446" s="4" t="s">
        <v>21</v>
      </c>
      <c r="N446" s="4">
        <v>3</v>
      </c>
      <c r="O446" s="5">
        <v>300</v>
      </c>
      <c r="P446">
        <f t="shared" si="60"/>
        <v>900</v>
      </c>
      <c r="Q446" s="14">
        <f t="shared" si="61"/>
        <v>13.5</v>
      </c>
      <c r="R446" s="14">
        <f t="shared" si="62"/>
        <v>18</v>
      </c>
    </row>
    <row r="447" spans="1:18" x14ac:dyDescent="0.35">
      <c r="A447" s="2">
        <v>436</v>
      </c>
      <c r="B447" s="4">
        <f t="shared" si="54"/>
        <v>18</v>
      </c>
      <c r="C447" s="4">
        <f t="shared" si="55"/>
        <v>3</v>
      </c>
      <c r="D447" s="4">
        <f t="shared" si="56"/>
        <v>2023</v>
      </c>
      <c r="E447" s="4" t="str">
        <f t="shared" si="57"/>
        <v>Saturday</v>
      </c>
      <c r="F447" s="4" t="str">
        <f t="shared" si="58"/>
        <v>March</v>
      </c>
      <c r="G447" s="4" t="str">
        <f t="shared" si="59"/>
        <v>2023</v>
      </c>
      <c r="H447" s="3">
        <v>45003</v>
      </c>
      <c r="I447" s="4" t="s">
        <v>461</v>
      </c>
      <c r="J447" s="4" t="s">
        <v>23</v>
      </c>
      <c r="K447" s="4" t="str" cm="1">
        <f t="array" ref="K447">_xlfn.IFS(L447&gt;50,"Senior", L447&gt;=30,"Adult", L447&lt;30,"Young Adult")</f>
        <v>Senior</v>
      </c>
      <c r="L447" s="4">
        <v>57</v>
      </c>
      <c r="M447" s="4" t="s">
        <v>24</v>
      </c>
      <c r="N447" s="4">
        <v>4</v>
      </c>
      <c r="O447" s="5">
        <v>30</v>
      </c>
      <c r="P447">
        <f t="shared" si="60"/>
        <v>120</v>
      </c>
      <c r="Q447" s="14">
        <f t="shared" si="61"/>
        <v>1.7999999999999998</v>
      </c>
      <c r="R447" s="14">
        <f t="shared" si="62"/>
        <v>2.4</v>
      </c>
    </row>
    <row r="448" spans="1:18" x14ac:dyDescent="0.35">
      <c r="A448" s="2">
        <v>437</v>
      </c>
      <c r="B448" s="4">
        <f t="shared" si="54"/>
        <v>7</v>
      </c>
      <c r="C448" s="4">
        <f t="shared" si="55"/>
        <v>10</v>
      </c>
      <c r="D448" s="4">
        <f t="shared" si="56"/>
        <v>2023</v>
      </c>
      <c r="E448" s="4" t="str">
        <f t="shared" si="57"/>
        <v>Saturday</v>
      </c>
      <c r="F448" s="4" t="str">
        <f t="shared" si="58"/>
        <v>October</v>
      </c>
      <c r="G448" s="4" t="str">
        <f t="shared" si="59"/>
        <v>2023</v>
      </c>
      <c r="H448" s="3">
        <v>45206</v>
      </c>
      <c r="I448" s="4" t="s">
        <v>462</v>
      </c>
      <c r="J448" s="4" t="s">
        <v>23</v>
      </c>
      <c r="K448" s="4" t="str" cm="1">
        <f t="array" ref="K448">_xlfn.IFS(L448&gt;50,"Senior", L448&gt;=30,"Adult", L448&lt;30,"Young Adult")</f>
        <v>Adult</v>
      </c>
      <c r="L448" s="4">
        <v>35</v>
      </c>
      <c r="M448" s="4" t="s">
        <v>26</v>
      </c>
      <c r="N448" s="4">
        <v>4</v>
      </c>
      <c r="O448" s="5">
        <v>300</v>
      </c>
      <c r="P448">
        <f t="shared" si="60"/>
        <v>1200</v>
      </c>
      <c r="Q448" s="14">
        <f t="shared" si="61"/>
        <v>18</v>
      </c>
      <c r="R448" s="14">
        <f t="shared" si="62"/>
        <v>24</v>
      </c>
    </row>
    <row r="449" spans="1:18" x14ac:dyDescent="0.35">
      <c r="A449" s="2">
        <v>438</v>
      </c>
      <c r="B449" s="4">
        <f t="shared" si="54"/>
        <v>19</v>
      </c>
      <c r="C449" s="4">
        <f t="shared" si="55"/>
        <v>1</v>
      </c>
      <c r="D449" s="4">
        <f t="shared" si="56"/>
        <v>2023</v>
      </c>
      <c r="E449" s="4" t="str">
        <f t="shared" si="57"/>
        <v>Thursday</v>
      </c>
      <c r="F449" s="4" t="str">
        <f t="shared" si="58"/>
        <v>January</v>
      </c>
      <c r="G449" s="4" t="str">
        <f t="shared" si="59"/>
        <v>2023</v>
      </c>
      <c r="H449" s="3">
        <v>44945</v>
      </c>
      <c r="I449" s="4" t="s">
        <v>463</v>
      </c>
      <c r="J449" s="4" t="s">
        <v>23</v>
      </c>
      <c r="K449" s="4" t="str" cm="1">
        <f t="array" ref="K449">_xlfn.IFS(L449&gt;50,"Senior", L449&gt;=30,"Adult", L449&lt;30,"Young Adult")</f>
        <v>Adult</v>
      </c>
      <c r="L449" s="4">
        <v>42</v>
      </c>
      <c r="M449" s="4" t="s">
        <v>24</v>
      </c>
      <c r="N449" s="4">
        <v>1</v>
      </c>
      <c r="O449" s="5">
        <v>30</v>
      </c>
      <c r="P449">
        <f t="shared" si="60"/>
        <v>30</v>
      </c>
      <c r="Q449" s="14">
        <f t="shared" si="61"/>
        <v>0.44999999999999996</v>
      </c>
      <c r="R449" s="14">
        <f t="shared" si="62"/>
        <v>0.6</v>
      </c>
    </row>
    <row r="450" spans="1:18" x14ac:dyDescent="0.35">
      <c r="A450" s="2">
        <v>439</v>
      </c>
      <c r="B450" s="4">
        <f t="shared" si="54"/>
        <v>9</v>
      </c>
      <c r="C450" s="4">
        <f t="shared" si="55"/>
        <v>7</v>
      </c>
      <c r="D450" s="4">
        <f t="shared" si="56"/>
        <v>2023</v>
      </c>
      <c r="E450" s="4" t="str">
        <f t="shared" si="57"/>
        <v>Sunday</v>
      </c>
      <c r="F450" s="4" t="str">
        <f t="shared" si="58"/>
        <v>July</v>
      </c>
      <c r="G450" s="4" t="str">
        <f t="shared" si="59"/>
        <v>2023</v>
      </c>
      <c r="H450" s="3">
        <v>45116</v>
      </c>
      <c r="I450" s="4" t="s">
        <v>464</v>
      </c>
      <c r="J450" s="4" t="s">
        <v>20</v>
      </c>
      <c r="K450" s="4" t="str" cm="1">
        <f t="array" ref="K450">_xlfn.IFS(L450&gt;50,"Senior", L450&gt;=30,"Adult", L450&lt;30,"Young Adult")</f>
        <v>Adult</v>
      </c>
      <c r="L450" s="4">
        <v>50</v>
      </c>
      <c r="M450" s="4" t="s">
        <v>24</v>
      </c>
      <c r="N450" s="4">
        <v>3</v>
      </c>
      <c r="O450" s="5">
        <v>25</v>
      </c>
      <c r="P450">
        <f t="shared" si="60"/>
        <v>75</v>
      </c>
      <c r="Q450" s="14">
        <f t="shared" si="61"/>
        <v>1.125</v>
      </c>
      <c r="R450" s="14">
        <f t="shared" si="62"/>
        <v>1.5</v>
      </c>
    </row>
    <row r="451" spans="1:18" x14ac:dyDescent="0.35">
      <c r="A451" s="2">
        <v>440</v>
      </c>
      <c r="B451" s="4">
        <f t="shared" si="54"/>
        <v>26</v>
      </c>
      <c r="C451" s="4">
        <f t="shared" si="55"/>
        <v>10</v>
      </c>
      <c r="D451" s="4">
        <f t="shared" si="56"/>
        <v>2023</v>
      </c>
      <c r="E451" s="4" t="str">
        <f t="shared" si="57"/>
        <v>Thursday</v>
      </c>
      <c r="F451" s="4" t="str">
        <f t="shared" si="58"/>
        <v>October</v>
      </c>
      <c r="G451" s="4" t="str">
        <f t="shared" si="59"/>
        <v>2023</v>
      </c>
      <c r="H451" s="3">
        <v>45225</v>
      </c>
      <c r="I451" s="4" t="s">
        <v>465</v>
      </c>
      <c r="J451" s="4" t="s">
        <v>20</v>
      </c>
      <c r="K451" s="4" t="str" cm="1">
        <f t="array" ref="K451">_xlfn.IFS(L451&gt;50,"Senior", L451&gt;=30,"Adult", L451&lt;30,"Young Adult")</f>
        <v>Senior</v>
      </c>
      <c r="L451" s="4">
        <v>64</v>
      </c>
      <c r="M451" s="4" t="s">
        <v>24</v>
      </c>
      <c r="N451" s="4">
        <v>2</v>
      </c>
      <c r="O451" s="5">
        <v>300</v>
      </c>
      <c r="P451">
        <f t="shared" si="60"/>
        <v>600</v>
      </c>
      <c r="Q451" s="14">
        <f t="shared" si="61"/>
        <v>9</v>
      </c>
      <c r="R451" s="14">
        <f t="shared" si="62"/>
        <v>12</v>
      </c>
    </row>
    <row r="452" spans="1:18" x14ac:dyDescent="0.35">
      <c r="A452" s="2">
        <v>441</v>
      </c>
      <c r="B452" s="4">
        <f t="shared" si="54"/>
        <v>10</v>
      </c>
      <c r="C452" s="4">
        <f t="shared" si="55"/>
        <v>10</v>
      </c>
      <c r="D452" s="4">
        <f t="shared" si="56"/>
        <v>2023</v>
      </c>
      <c r="E452" s="4" t="str">
        <f t="shared" si="57"/>
        <v>Tuesday</v>
      </c>
      <c r="F452" s="4" t="str">
        <f t="shared" si="58"/>
        <v>October</v>
      </c>
      <c r="G452" s="4" t="str">
        <f t="shared" si="59"/>
        <v>2023</v>
      </c>
      <c r="H452" s="3">
        <v>45209</v>
      </c>
      <c r="I452" s="4" t="s">
        <v>466</v>
      </c>
      <c r="J452" s="4" t="s">
        <v>20</v>
      </c>
      <c r="K452" s="4" t="str" cm="1">
        <f t="array" ref="K452">_xlfn.IFS(L452&gt;50,"Senior", L452&gt;=30,"Adult", L452&lt;30,"Young Adult")</f>
        <v>Senior</v>
      </c>
      <c r="L452" s="4">
        <v>57</v>
      </c>
      <c r="M452" s="4" t="s">
        <v>21</v>
      </c>
      <c r="N452" s="4">
        <v>4</v>
      </c>
      <c r="O452" s="5">
        <v>300</v>
      </c>
      <c r="P452">
        <f t="shared" si="60"/>
        <v>1200</v>
      </c>
      <c r="Q452" s="14">
        <f t="shared" si="61"/>
        <v>18</v>
      </c>
      <c r="R452" s="14">
        <f t="shared" si="62"/>
        <v>24</v>
      </c>
    </row>
    <row r="453" spans="1:18" x14ac:dyDescent="0.35">
      <c r="A453" s="2">
        <v>442</v>
      </c>
      <c r="B453" s="4">
        <f t="shared" si="54"/>
        <v>17</v>
      </c>
      <c r="C453" s="4">
        <f t="shared" si="55"/>
        <v>3</v>
      </c>
      <c r="D453" s="4">
        <f t="shared" si="56"/>
        <v>2023</v>
      </c>
      <c r="E453" s="4" t="str">
        <f t="shared" si="57"/>
        <v>Friday</v>
      </c>
      <c r="F453" s="4" t="str">
        <f t="shared" si="58"/>
        <v>March</v>
      </c>
      <c r="G453" s="4" t="str">
        <f t="shared" si="59"/>
        <v>2023</v>
      </c>
      <c r="H453" s="3">
        <v>45002</v>
      </c>
      <c r="I453" s="4" t="s">
        <v>467</v>
      </c>
      <c r="J453" s="4" t="s">
        <v>23</v>
      </c>
      <c r="K453" s="4" t="str" cm="1">
        <f t="array" ref="K453">_xlfn.IFS(L453&gt;50,"Senior", L453&gt;=30,"Adult", L453&lt;30,"Young Adult")</f>
        <v>Senior</v>
      </c>
      <c r="L453" s="4">
        <v>60</v>
      </c>
      <c r="M453" s="4" t="s">
        <v>24</v>
      </c>
      <c r="N453" s="4">
        <v>4</v>
      </c>
      <c r="O453" s="5">
        <v>25</v>
      </c>
      <c r="P453">
        <f t="shared" si="60"/>
        <v>100</v>
      </c>
      <c r="Q453" s="14">
        <f t="shared" si="61"/>
        <v>1.5</v>
      </c>
      <c r="R453" s="14">
        <f t="shared" si="62"/>
        <v>2</v>
      </c>
    </row>
    <row r="454" spans="1:18" x14ac:dyDescent="0.35">
      <c r="A454" s="2">
        <v>443</v>
      </c>
      <c r="B454" s="4">
        <f t="shared" si="54"/>
        <v>9</v>
      </c>
      <c r="C454" s="4">
        <f t="shared" si="55"/>
        <v>8</v>
      </c>
      <c r="D454" s="4">
        <f t="shared" si="56"/>
        <v>2023</v>
      </c>
      <c r="E454" s="4" t="str">
        <f t="shared" si="57"/>
        <v>Wednesday</v>
      </c>
      <c r="F454" s="4" t="str">
        <f t="shared" si="58"/>
        <v>August</v>
      </c>
      <c r="G454" s="4" t="str">
        <f t="shared" si="59"/>
        <v>2023</v>
      </c>
      <c r="H454" s="3">
        <v>45147</v>
      </c>
      <c r="I454" s="4" t="s">
        <v>468</v>
      </c>
      <c r="J454" s="4" t="s">
        <v>20</v>
      </c>
      <c r="K454" s="4" t="str" cm="1">
        <f t="array" ref="K454">_xlfn.IFS(L454&gt;50,"Senior", L454&gt;=30,"Adult", L454&lt;30,"Young Adult")</f>
        <v>Young Adult</v>
      </c>
      <c r="L454" s="4">
        <v>29</v>
      </c>
      <c r="M454" s="4" t="s">
        <v>24</v>
      </c>
      <c r="N454" s="4">
        <v>2</v>
      </c>
      <c r="O454" s="5">
        <v>300</v>
      </c>
      <c r="P454">
        <f t="shared" si="60"/>
        <v>600</v>
      </c>
      <c r="Q454" s="14">
        <f t="shared" si="61"/>
        <v>9</v>
      </c>
      <c r="R454" s="14">
        <f t="shared" si="62"/>
        <v>12</v>
      </c>
    </row>
    <row r="455" spans="1:18" x14ac:dyDescent="0.35">
      <c r="A455" s="2">
        <v>444</v>
      </c>
      <c r="B455" s="4">
        <f t="shared" si="54"/>
        <v>7</v>
      </c>
      <c r="C455" s="4">
        <f t="shared" si="55"/>
        <v>3</v>
      </c>
      <c r="D455" s="4">
        <f t="shared" si="56"/>
        <v>2023</v>
      </c>
      <c r="E455" s="4" t="str">
        <f t="shared" si="57"/>
        <v>Tuesday</v>
      </c>
      <c r="F455" s="4" t="str">
        <f t="shared" si="58"/>
        <v>March</v>
      </c>
      <c r="G455" s="4" t="str">
        <f t="shared" si="59"/>
        <v>2023</v>
      </c>
      <c r="H455" s="3">
        <v>44992</v>
      </c>
      <c r="I455" s="4" t="s">
        <v>469</v>
      </c>
      <c r="J455" s="4" t="s">
        <v>23</v>
      </c>
      <c r="K455" s="4" t="str" cm="1">
        <f t="array" ref="K455">_xlfn.IFS(L455&gt;50,"Senior", L455&gt;=30,"Adult", L455&lt;30,"Young Adult")</f>
        <v>Senior</v>
      </c>
      <c r="L455" s="4">
        <v>61</v>
      </c>
      <c r="M455" s="4" t="s">
        <v>24</v>
      </c>
      <c r="N455" s="4">
        <v>3</v>
      </c>
      <c r="O455" s="5">
        <v>30</v>
      </c>
      <c r="P455">
        <f t="shared" si="60"/>
        <v>90</v>
      </c>
      <c r="Q455" s="14">
        <f t="shared" si="61"/>
        <v>1.3499999999999999</v>
      </c>
      <c r="R455" s="14">
        <f t="shared" si="62"/>
        <v>1.8</v>
      </c>
    </row>
    <row r="456" spans="1:18" x14ac:dyDescent="0.35">
      <c r="A456" s="2">
        <v>445</v>
      </c>
      <c r="B456" s="4">
        <f t="shared" si="54"/>
        <v>22</v>
      </c>
      <c r="C456" s="4">
        <f t="shared" si="55"/>
        <v>1</v>
      </c>
      <c r="D456" s="4">
        <f t="shared" si="56"/>
        <v>2023</v>
      </c>
      <c r="E456" s="4" t="str">
        <f t="shared" si="57"/>
        <v>Sunday</v>
      </c>
      <c r="F456" s="4" t="str">
        <f t="shared" si="58"/>
        <v>January</v>
      </c>
      <c r="G456" s="4" t="str">
        <f t="shared" si="59"/>
        <v>2023</v>
      </c>
      <c r="H456" s="3">
        <v>44948</v>
      </c>
      <c r="I456" s="4" t="s">
        <v>470</v>
      </c>
      <c r="J456" s="4" t="s">
        <v>23</v>
      </c>
      <c r="K456" s="4" t="str" cm="1">
        <f t="array" ref="K456">_xlfn.IFS(L456&gt;50,"Senior", L456&gt;=30,"Adult", L456&lt;30,"Young Adult")</f>
        <v>Senior</v>
      </c>
      <c r="L456" s="4">
        <v>53</v>
      </c>
      <c r="M456" s="4" t="s">
        <v>26</v>
      </c>
      <c r="N456" s="4">
        <v>1</v>
      </c>
      <c r="O456" s="5">
        <v>300</v>
      </c>
      <c r="P456">
        <f t="shared" si="60"/>
        <v>300</v>
      </c>
      <c r="Q456" s="14">
        <f t="shared" si="61"/>
        <v>4.5</v>
      </c>
      <c r="R456" s="14">
        <f t="shared" si="62"/>
        <v>6</v>
      </c>
    </row>
    <row r="457" spans="1:18" x14ac:dyDescent="0.35">
      <c r="A457" s="2">
        <v>446</v>
      </c>
      <c r="B457" s="4">
        <f t="shared" si="54"/>
        <v>7</v>
      </c>
      <c r="C457" s="4">
        <f t="shared" si="55"/>
        <v>6</v>
      </c>
      <c r="D457" s="4">
        <f t="shared" si="56"/>
        <v>2023</v>
      </c>
      <c r="E457" s="4" t="str">
        <f t="shared" si="57"/>
        <v>Wednesday</v>
      </c>
      <c r="F457" s="4" t="str">
        <f t="shared" si="58"/>
        <v>June</v>
      </c>
      <c r="G457" s="4" t="str">
        <f t="shared" si="59"/>
        <v>2023</v>
      </c>
      <c r="H457" s="3">
        <v>45084</v>
      </c>
      <c r="I457" s="4" t="s">
        <v>471</v>
      </c>
      <c r="J457" s="4" t="s">
        <v>20</v>
      </c>
      <c r="K457" s="4" t="str" cm="1">
        <f t="array" ref="K457">_xlfn.IFS(L457&gt;50,"Senior", L457&gt;=30,"Adult", L457&lt;30,"Young Adult")</f>
        <v>Young Adult</v>
      </c>
      <c r="L457" s="4">
        <v>21</v>
      </c>
      <c r="M457" s="4" t="s">
        <v>26</v>
      </c>
      <c r="N457" s="4">
        <v>1</v>
      </c>
      <c r="O457" s="5">
        <v>50</v>
      </c>
      <c r="P457">
        <f t="shared" si="60"/>
        <v>50</v>
      </c>
      <c r="Q457" s="14">
        <f t="shared" si="61"/>
        <v>0.75</v>
      </c>
      <c r="R457" s="14">
        <f t="shared" si="62"/>
        <v>1</v>
      </c>
    </row>
    <row r="458" spans="1:18" x14ac:dyDescent="0.35">
      <c r="A458" s="2">
        <v>447</v>
      </c>
      <c r="B458" s="4">
        <f t="shared" si="54"/>
        <v>6</v>
      </c>
      <c r="C458" s="4">
        <f t="shared" si="55"/>
        <v>7</v>
      </c>
      <c r="D458" s="4">
        <f t="shared" si="56"/>
        <v>2023</v>
      </c>
      <c r="E458" s="4" t="str">
        <f t="shared" si="57"/>
        <v>Thursday</v>
      </c>
      <c r="F458" s="4" t="str">
        <f t="shared" si="58"/>
        <v>July</v>
      </c>
      <c r="G458" s="4" t="str">
        <f t="shared" si="59"/>
        <v>2023</v>
      </c>
      <c r="H458" s="3">
        <v>45113</v>
      </c>
      <c r="I458" s="4" t="s">
        <v>472</v>
      </c>
      <c r="J458" s="4" t="s">
        <v>20</v>
      </c>
      <c r="K458" s="4" t="str" cm="1">
        <f t="array" ref="K458">_xlfn.IFS(L458&gt;50,"Senior", L458&gt;=30,"Adult", L458&lt;30,"Young Adult")</f>
        <v>Young Adult</v>
      </c>
      <c r="L458" s="4">
        <v>22</v>
      </c>
      <c r="M458" s="4" t="s">
        <v>21</v>
      </c>
      <c r="N458" s="4">
        <v>4</v>
      </c>
      <c r="O458" s="5">
        <v>500</v>
      </c>
      <c r="P458">
        <f t="shared" si="60"/>
        <v>2000</v>
      </c>
      <c r="Q458" s="14">
        <f t="shared" si="61"/>
        <v>30</v>
      </c>
      <c r="R458" s="14">
        <f t="shared" si="62"/>
        <v>40</v>
      </c>
    </row>
    <row r="459" spans="1:18" x14ac:dyDescent="0.35">
      <c r="A459" s="2">
        <v>448</v>
      </c>
      <c r="B459" s="4">
        <f t="shared" si="54"/>
        <v>21</v>
      </c>
      <c r="C459" s="4">
        <f t="shared" si="55"/>
        <v>1</v>
      </c>
      <c r="D459" s="4">
        <f t="shared" si="56"/>
        <v>2023</v>
      </c>
      <c r="E459" s="4" t="str">
        <f t="shared" si="57"/>
        <v>Saturday</v>
      </c>
      <c r="F459" s="4" t="str">
        <f t="shared" si="58"/>
        <v>January</v>
      </c>
      <c r="G459" s="4" t="str">
        <f t="shared" si="59"/>
        <v>2023</v>
      </c>
      <c r="H459" s="3">
        <v>44947</v>
      </c>
      <c r="I459" s="4" t="s">
        <v>473</v>
      </c>
      <c r="J459" s="4" t="s">
        <v>23</v>
      </c>
      <c r="K459" s="4" t="str" cm="1">
        <f t="array" ref="K459">_xlfn.IFS(L459&gt;50,"Senior", L459&gt;=30,"Adult", L459&lt;30,"Young Adult")</f>
        <v>Senior</v>
      </c>
      <c r="L459" s="4">
        <v>54</v>
      </c>
      <c r="M459" s="4" t="s">
        <v>21</v>
      </c>
      <c r="N459" s="4">
        <v>2</v>
      </c>
      <c r="O459" s="5">
        <v>30</v>
      </c>
      <c r="P459">
        <f t="shared" si="60"/>
        <v>60</v>
      </c>
      <c r="Q459" s="14">
        <f t="shared" si="61"/>
        <v>0.89999999999999991</v>
      </c>
      <c r="R459" s="14">
        <f t="shared" si="62"/>
        <v>1.2</v>
      </c>
    </row>
    <row r="460" spans="1:18" x14ac:dyDescent="0.35">
      <c r="A460" s="2">
        <v>449</v>
      </c>
      <c r="B460" s="4">
        <f t="shared" ref="B460:B523" si="63">DAY(H460)</f>
        <v>3</v>
      </c>
      <c r="C460" s="4">
        <f t="shared" ref="C460:C523" si="64">MONTH(H460)</f>
        <v>7</v>
      </c>
      <c r="D460" s="4">
        <f t="shared" ref="D460:D523" si="65">YEAR(H460)</f>
        <v>2023</v>
      </c>
      <c r="E460" s="4" t="str">
        <f t="shared" ref="E460:E523" si="66">TEXT(H460,"DDDD")</f>
        <v>Monday</v>
      </c>
      <c r="F460" s="4" t="str">
        <f t="shared" ref="F460:F523" si="67">TEXT(H460,"MMMM")</f>
        <v>July</v>
      </c>
      <c r="G460" s="4" t="str">
        <f t="shared" ref="G460:G523" si="68">TEXT(H460,"YYYY")</f>
        <v>2023</v>
      </c>
      <c r="H460" s="3">
        <v>45110</v>
      </c>
      <c r="I460" s="4" t="s">
        <v>474</v>
      </c>
      <c r="J460" s="4" t="s">
        <v>20</v>
      </c>
      <c r="K460" s="4" t="str" cm="1">
        <f t="array" ref="K460">_xlfn.IFS(L460&gt;50,"Senior", L460&gt;=30,"Adult", L460&lt;30,"Young Adult")</f>
        <v>Young Adult</v>
      </c>
      <c r="L460" s="4">
        <v>25</v>
      </c>
      <c r="M460" s="4" t="s">
        <v>26</v>
      </c>
      <c r="N460" s="4">
        <v>4</v>
      </c>
      <c r="O460" s="5">
        <v>50</v>
      </c>
      <c r="P460">
        <f t="shared" ref="P460:P523" si="69">O460*N460</f>
        <v>200</v>
      </c>
      <c r="Q460" s="14">
        <f t="shared" si="61"/>
        <v>3</v>
      </c>
      <c r="R460" s="14">
        <f t="shared" si="62"/>
        <v>4</v>
      </c>
    </row>
    <row r="461" spans="1:18" x14ac:dyDescent="0.35">
      <c r="A461" s="2">
        <v>450</v>
      </c>
      <c r="B461" s="4">
        <f t="shared" si="63"/>
        <v>18</v>
      </c>
      <c r="C461" s="4">
        <f t="shared" si="64"/>
        <v>4</v>
      </c>
      <c r="D461" s="4">
        <f t="shared" si="65"/>
        <v>2023</v>
      </c>
      <c r="E461" s="4" t="str">
        <f t="shared" si="66"/>
        <v>Tuesday</v>
      </c>
      <c r="F461" s="4" t="str">
        <f t="shared" si="67"/>
        <v>April</v>
      </c>
      <c r="G461" s="4" t="str">
        <f t="shared" si="68"/>
        <v>2023</v>
      </c>
      <c r="H461" s="3">
        <v>45034</v>
      </c>
      <c r="I461" s="4" t="s">
        <v>475</v>
      </c>
      <c r="J461" s="4" t="s">
        <v>23</v>
      </c>
      <c r="K461" s="4" t="str" cm="1">
        <f t="array" ref="K461">_xlfn.IFS(L461&gt;50,"Senior", L461&gt;=30,"Adult", L461&lt;30,"Young Adult")</f>
        <v>Senior</v>
      </c>
      <c r="L461" s="4">
        <v>59</v>
      </c>
      <c r="M461" s="4" t="s">
        <v>21</v>
      </c>
      <c r="N461" s="4">
        <v>2</v>
      </c>
      <c r="O461" s="5">
        <v>25</v>
      </c>
      <c r="P461">
        <f t="shared" si="69"/>
        <v>50</v>
      </c>
      <c r="Q461" s="14">
        <f t="shared" ref="Q461:Q524" si="70">P461*$I$4</f>
        <v>0.75</v>
      </c>
      <c r="R461" s="14">
        <f t="shared" ref="R461:R524" si="71">P461*$I$5</f>
        <v>1</v>
      </c>
    </row>
    <row r="462" spans="1:18" x14ac:dyDescent="0.35">
      <c r="A462" s="2">
        <v>451</v>
      </c>
      <c r="B462" s="4">
        <f t="shared" si="63"/>
        <v>16</v>
      </c>
      <c r="C462" s="4">
        <f t="shared" si="64"/>
        <v>12</v>
      </c>
      <c r="D462" s="4">
        <f t="shared" si="65"/>
        <v>2023</v>
      </c>
      <c r="E462" s="4" t="str">
        <f t="shared" si="66"/>
        <v>Saturday</v>
      </c>
      <c r="F462" s="4" t="str">
        <f t="shared" si="67"/>
        <v>December</v>
      </c>
      <c r="G462" s="4" t="str">
        <f t="shared" si="68"/>
        <v>2023</v>
      </c>
      <c r="H462" s="3">
        <v>45276</v>
      </c>
      <c r="I462" s="4" t="s">
        <v>476</v>
      </c>
      <c r="J462" s="4" t="s">
        <v>23</v>
      </c>
      <c r="K462" s="4" t="str" cm="1">
        <f t="array" ref="K462">_xlfn.IFS(L462&gt;50,"Senior", L462&gt;=30,"Adult", L462&lt;30,"Young Adult")</f>
        <v>Adult</v>
      </c>
      <c r="L462" s="4">
        <v>45</v>
      </c>
      <c r="M462" s="4" t="s">
        <v>26</v>
      </c>
      <c r="N462" s="4">
        <v>1</v>
      </c>
      <c r="O462" s="5">
        <v>30</v>
      </c>
      <c r="P462">
        <f t="shared" si="69"/>
        <v>30</v>
      </c>
      <c r="Q462" s="14">
        <f t="shared" si="70"/>
        <v>0.44999999999999996</v>
      </c>
      <c r="R462" s="14">
        <f t="shared" si="71"/>
        <v>0.6</v>
      </c>
    </row>
    <row r="463" spans="1:18" x14ac:dyDescent="0.35">
      <c r="A463" s="2">
        <v>452</v>
      </c>
      <c r="B463" s="4">
        <f t="shared" si="63"/>
        <v>8</v>
      </c>
      <c r="C463" s="4">
        <f t="shared" si="64"/>
        <v>5</v>
      </c>
      <c r="D463" s="4">
        <f t="shared" si="65"/>
        <v>2023</v>
      </c>
      <c r="E463" s="4" t="str">
        <f t="shared" si="66"/>
        <v>Monday</v>
      </c>
      <c r="F463" s="4" t="str">
        <f t="shared" si="67"/>
        <v>May</v>
      </c>
      <c r="G463" s="4" t="str">
        <f t="shared" si="68"/>
        <v>2023</v>
      </c>
      <c r="H463" s="3">
        <v>45054</v>
      </c>
      <c r="I463" s="4" t="s">
        <v>477</v>
      </c>
      <c r="J463" s="4" t="s">
        <v>23</v>
      </c>
      <c r="K463" s="4" t="str" cm="1">
        <f t="array" ref="K463">_xlfn.IFS(L463&gt;50,"Senior", L463&gt;=30,"Adult", L463&lt;30,"Young Adult")</f>
        <v>Adult</v>
      </c>
      <c r="L463" s="4">
        <v>48</v>
      </c>
      <c r="M463" s="4" t="s">
        <v>24</v>
      </c>
      <c r="N463" s="4">
        <v>3</v>
      </c>
      <c r="O463" s="5">
        <v>500</v>
      </c>
      <c r="P463">
        <f t="shared" si="69"/>
        <v>1500</v>
      </c>
      <c r="Q463" s="14">
        <f t="shared" si="70"/>
        <v>22.5</v>
      </c>
      <c r="R463" s="14">
        <f t="shared" si="71"/>
        <v>30</v>
      </c>
    </row>
    <row r="464" spans="1:18" x14ac:dyDescent="0.35">
      <c r="A464" s="2">
        <v>453</v>
      </c>
      <c r="B464" s="4">
        <f t="shared" si="63"/>
        <v>8</v>
      </c>
      <c r="C464" s="4">
        <f t="shared" si="64"/>
        <v>12</v>
      </c>
      <c r="D464" s="4">
        <f t="shared" si="65"/>
        <v>2023</v>
      </c>
      <c r="E464" s="4" t="str">
        <f t="shared" si="66"/>
        <v>Friday</v>
      </c>
      <c r="F464" s="4" t="str">
        <f t="shared" si="67"/>
        <v>December</v>
      </c>
      <c r="G464" s="4" t="str">
        <f t="shared" si="68"/>
        <v>2023</v>
      </c>
      <c r="H464" s="3">
        <v>45268</v>
      </c>
      <c r="I464" s="4" t="s">
        <v>478</v>
      </c>
      <c r="J464" s="4" t="s">
        <v>23</v>
      </c>
      <c r="K464" s="4" t="str" cm="1">
        <f t="array" ref="K464">_xlfn.IFS(L464&gt;50,"Senior", L464&gt;=30,"Adult", L464&lt;30,"Young Adult")</f>
        <v>Young Adult</v>
      </c>
      <c r="L464" s="4">
        <v>26</v>
      </c>
      <c r="M464" s="4" t="s">
        <v>24</v>
      </c>
      <c r="N464" s="4">
        <v>2</v>
      </c>
      <c r="O464" s="5">
        <v>500</v>
      </c>
      <c r="P464">
        <f t="shared" si="69"/>
        <v>1000</v>
      </c>
      <c r="Q464" s="14">
        <f t="shared" si="70"/>
        <v>15</v>
      </c>
      <c r="R464" s="14">
        <f t="shared" si="71"/>
        <v>20</v>
      </c>
    </row>
    <row r="465" spans="1:18" x14ac:dyDescent="0.35">
      <c r="A465" s="2">
        <v>454</v>
      </c>
      <c r="B465" s="4">
        <f t="shared" si="63"/>
        <v>22</v>
      </c>
      <c r="C465" s="4">
        <f t="shared" si="64"/>
        <v>2</v>
      </c>
      <c r="D465" s="4">
        <f t="shared" si="65"/>
        <v>2023</v>
      </c>
      <c r="E465" s="4" t="str">
        <f t="shared" si="66"/>
        <v>Wednesday</v>
      </c>
      <c r="F465" s="4" t="str">
        <f t="shared" si="67"/>
        <v>February</v>
      </c>
      <c r="G465" s="4" t="str">
        <f t="shared" si="68"/>
        <v>2023</v>
      </c>
      <c r="H465" s="3">
        <v>44979</v>
      </c>
      <c r="I465" s="4" t="s">
        <v>479</v>
      </c>
      <c r="J465" s="4" t="s">
        <v>23</v>
      </c>
      <c r="K465" s="4" t="str" cm="1">
        <f t="array" ref="K465">_xlfn.IFS(L465&gt;50,"Senior", L465&gt;=30,"Adult", L465&lt;30,"Young Adult")</f>
        <v>Adult</v>
      </c>
      <c r="L465" s="4">
        <v>46</v>
      </c>
      <c r="M465" s="4" t="s">
        <v>21</v>
      </c>
      <c r="N465" s="4">
        <v>1</v>
      </c>
      <c r="O465" s="5">
        <v>25</v>
      </c>
      <c r="P465">
        <f t="shared" si="69"/>
        <v>25</v>
      </c>
      <c r="Q465" s="14">
        <f t="shared" si="70"/>
        <v>0.375</v>
      </c>
      <c r="R465" s="14">
        <f t="shared" si="71"/>
        <v>0.5</v>
      </c>
    </row>
    <row r="466" spans="1:18" x14ac:dyDescent="0.35">
      <c r="A466" s="2">
        <v>455</v>
      </c>
      <c r="B466" s="4">
        <f t="shared" si="63"/>
        <v>1</v>
      </c>
      <c r="C466" s="4">
        <f t="shared" si="64"/>
        <v>7</v>
      </c>
      <c r="D466" s="4">
        <f t="shared" si="65"/>
        <v>2023</v>
      </c>
      <c r="E466" s="4" t="str">
        <f t="shared" si="66"/>
        <v>Saturday</v>
      </c>
      <c r="F466" s="4" t="str">
        <f t="shared" si="67"/>
        <v>July</v>
      </c>
      <c r="G466" s="4" t="str">
        <f t="shared" si="68"/>
        <v>2023</v>
      </c>
      <c r="H466" s="3">
        <v>45108</v>
      </c>
      <c r="I466" s="4" t="s">
        <v>480</v>
      </c>
      <c r="J466" s="4" t="s">
        <v>20</v>
      </c>
      <c r="K466" s="4" t="str" cm="1">
        <f t="array" ref="K466">_xlfn.IFS(L466&gt;50,"Senior", L466&gt;=30,"Adult", L466&lt;30,"Young Adult")</f>
        <v>Adult</v>
      </c>
      <c r="L466" s="4">
        <v>31</v>
      </c>
      <c r="M466" s="4" t="s">
        <v>26</v>
      </c>
      <c r="N466" s="4">
        <v>4</v>
      </c>
      <c r="O466" s="5">
        <v>25</v>
      </c>
      <c r="P466">
        <f t="shared" si="69"/>
        <v>100</v>
      </c>
      <c r="Q466" s="14">
        <f t="shared" si="70"/>
        <v>1.5</v>
      </c>
      <c r="R466" s="14">
        <f t="shared" si="71"/>
        <v>2</v>
      </c>
    </row>
    <row r="467" spans="1:18" x14ac:dyDescent="0.35">
      <c r="A467" s="2">
        <v>456</v>
      </c>
      <c r="B467" s="4">
        <f t="shared" si="63"/>
        <v>14</v>
      </c>
      <c r="C467" s="4">
        <f t="shared" si="64"/>
        <v>10</v>
      </c>
      <c r="D467" s="4">
        <f t="shared" si="65"/>
        <v>2023</v>
      </c>
      <c r="E467" s="4" t="str">
        <f t="shared" si="66"/>
        <v>Saturday</v>
      </c>
      <c r="F467" s="4" t="str">
        <f t="shared" si="67"/>
        <v>October</v>
      </c>
      <c r="G467" s="4" t="str">
        <f t="shared" si="68"/>
        <v>2023</v>
      </c>
      <c r="H467" s="3">
        <v>45213</v>
      </c>
      <c r="I467" s="4" t="s">
        <v>481</v>
      </c>
      <c r="J467" s="4" t="s">
        <v>20</v>
      </c>
      <c r="K467" s="4" t="str" cm="1">
        <f t="array" ref="K467">_xlfn.IFS(L467&gt;50,"Senior", L467&gt;=30,"Adult", L467&lt;30,"Young Adult")</f>
        <v>Senior</v>
      </c>
      <c r="L467" s="4">
        <v>57</v>
      </c>
      <c r="M467" s="4" t="s">
        <v>26</v>
      </c>
      <c r="N467" s="4">
        <v>2</v>
      </c>
      <c r="O467" s="5">
        <v>30</v>
      </c>
      <c r="P467">
        <f t="shared" si="69"/>
        <v>60</v>
      </c>
      <c r="Q467" s="14">
        <f t="shared" si="70"/>
        <v>0.89999999999999991</v>
      </c>
      <c r="R467" s="14">
        <f t="shared" si="71"/>
        <v>1.2</v>
      </c>
    </row>
    <row r="468" spans="1:18" x14ac:dyDescent="0.35">
      <c r="A468" s="2">
        <v>457</v>
      </c>
      <c r="B468" s="4">
        <f t="shared" si="63"/>
        <v>28</v>
      </c>
      <c r="C468" s="4">
        <f t="shared" si="64"/>
        <v>7</v>
      </c>
      <c r="D468" s="4">
        <f t="shared" si="65"/>
        <v>2023</v>
      </c>
      <c r="E468" s="4" t="str">
        <f t="shared" si="66"/>
        <v>Friday</v>
      </c>
      <c r="F468" s="4" t="str">
        <f t="shared" si="67"/>
        <v>July</v>
      </c>
      <c r="G468" s="4" t="str">
        <f t="shared" si="68"/>
        <v>2023</v>
      </c>
      <c r="H468" s="3">
        <v>45135</v>
      </c>
      <c r="I468" s="4" t="s">
        <v>482</v>
      </c>
      <c r="J468" s="4" t="s">
        <v>23</v>
      </c>
      <c r="K468" s="4" t="str" cm="1">
        <f t="array" ref="K468">_xlfn.IFS(L468&gt;50,"Senior", L468&gt;=30,"Adult", L468&lt;30,"Young Adult")</f>
        <v>Senior</v>
      </c>
      <c r="L468" s="4">
        <v>58</v>
      </c>
      <c r="M468" s="4" t="s">
        <v>21</v>
      </c>
      <c r="N468" s="4">
        <v>3</v>
      </c>
      <c r="O468" s="5">
        <v>300</v>
      </c>
      <c r="P468">
        <f t="shared" si="69"/>
        <v>900</v>
      </c>
      <c r="Q468" s="14">
        <f t="shared" si="70"/>
        <v>13.5</v>
      </c>
      <c r="R468" s="14">
        <f t="shared" si="71"/>
        <v>18</v>
      </c>
    </row>
    <row r="469" spans="1:18" x14ac:dyDescent="0.35">
      <c r="A469" s="2">
        <v>458</v>
      </c>
      <c r="B469" s="4">
        <f t="shared" si="63"/>
        <v>14</v>
      </c>
      <c r="C469" s="4">
        <f t="shared" si="64"/>
        <v>11</v>
      </c>
      <c r="D469" s="4">
        <f t="shared" si="65"/>
        <v>2023</v>
      </c>
      <c r="E469" s="4" t="str">
        <f t="shared" si="66"/>
        <v>Tuesday</v>
      </c>
      <c r="F469" s="4" t="str">
        <f t="shared" si="67"/>
        <v>November</v>
      </c>
      <c r="G469" s="4" t="str">
        <f t="shared" si="68"/>
        <v>2023</v>
      </c>
      <c r="H469" s="3">
        <v>45244</v>
      </c>
      <c r="I469" s="4" t="s">
        <v>483</v>
      </c>
      <c r="J469" s="4" t="s">
        <v>23</v>
      </c>
      <c r="K469" s="4" t="str" cm="1">
        <f t="array" ref="K469">_xlfn.IFS(L469&gt;50,"Senior", L469&gt;=30,"Adult", L469&lt;30,"Young Adult")</f>
        <v>Adult</v>
      </c>
      <c r="L469" s="4">
        <v>39</v>
      </c>
      <c r="M469" s="4" t="s">
        <v>26</v>
      </c>
      <c r="N469" s="4">
        <v>4</v>
      </c>
      <c r="O469" s="5">
        <v>25</v>
      </c>
      <c r="P469">
        <f t="shared" si="69"/>
        <v>100</v>
      </c>
      <c r="Q469" s="14">
        <f t="shared" si="70"/>
        <v>1.5</v>
      </c>
      <c r="R469" s="14">
        <f t="shared" si="71"/>
        <v>2</v>
      </c>
    </row>
    <row r="470" spans="1:18" x14ac:dyDescent="0.35">
      <c r="A470" s="2">
        <v>459</v>
      </c>
      <c r="B470" s="4">
        <f t="shared" si="63"/>
        <v>21</v>
      </c>
      <c r="C470" s="4">
        <f t="shared" si="64"/>
        <v>3</v>
      </c>
      <c r="D470" s="4">
        <f t="shared" si="65"/>
        <v>2023</v>
      </c>
      <c r="E470" s="4" t="str">
        <f t="shared" si="66"/>
        <v>Tuesday</v>
      </c>
      <c r="F470" s="4" t="str">
        <f t="shared" si="67"/>
        <v>March</v>
      </c>
      <c r="G470" s="4" t="str">
        <f t="shared" si="68"/>
        <v>2023</v>
      </c>
      <c r="H470" s="3">
        <v>45006</v>
      </c>
      <c r="I470" s="4" t="s">
        <v>484</v>
      </c>
      <c r="J470" s="4" t="s">
        <v>20</v>
      </c>
      <c r="K470" s="4" t="str" cm="1">
        <f t="array" ref="K470">_xlfn.IFS(L470&gt;50,"Senior", L470&gt;=30,"Adult", L470&lt;30,"Young Adult")</f>
        <v>Young Adult</v>
      </c>
      <c r="L470" s="4">
        <v>28</v>
      </c>
      <c r="M470" s="4" t="s">
        <v>24</v>
      </c>
      <c r="N470" s="4">
        <v>4</v>
      </c>
      <c r="O470" s="5">
        <v>300</v>
      </c>
      <c r="P470">
        <f t="shared" si="69"/>
        <v>1200</v>
      </c>
      <c r="Q470" s="14">
        <f t="shared" si="70"/>
        <v>18</v>
      </c>
      <c r="R470" s="14">
        <f t="shared" si="71"/>
        <v>24</v>
      </c>
    </row>
    <row r="471" spans="1:18" x14ac:dyDescent="0.35">
      <c r="A471" s="2">
        <v>460</v>
      </c>
      <c r="B471" s="4">
        <f t="shared" si="63"/>
        <v>2</v>
      </c>
      <c r="C471" s="4">
        <f t="shared" si="64"/>
        <v>5</v>
      </c>
      <c r="D471" s="4">
        <f t="shared" si="65"/>
        <v>2023</v>
      </c>
      <c r="E471" s="4" t="str">
        <f t="shared" si="66"/>
        <v>Tuesday</v>
      </c>
      <c r="F471" s="4" t="str">
        <f t="shared" si="67"/>
        <v>May</v>
      </c>
      <c r="G471" s="4" t="str">
        <f t="shared" si="68"/>
        <v>2023</v>
      </c>
      <c r="H471" s="3">
        <v>45048</v>
      </c>
      <c r="I471" s="4" t="s">
        <v>485</v>
      </c>
      <c r="J471" s="4" t="s">
        <v>20</v>
      </c>
      <c r="K471" s="4" t="str" cm="1">
        <f t="array" ref="K471">_xlfn.IFS(L471&gt;50,"Senior", L471&gt;=30,"Adult", L471&lt;30,"Young Adult")</f>
        <v>Adult</v>
      </c>
      <c r="L471" s="4">
        <v>40</v>
      </c>
      <c r="M471" s="4" t="s">
        <v>21</v>
      </c>
      <c r="N471" s="4">
        <v>1</v>
      </c>
      <c r="O471" s="5">
        <v>50</v>
      </c>
      <c r="P471">
        <f t="shared" si="69"/>
        <v>50</v>
      </c>
      <c r="Q471" s="14">
        <f t="shared" si="70"/>
        <v>0.75</v>
      </c>
      <c r="R471" s="14">
        <f t="shared" si="71"/>
        <v>1</v>
      </c>
    </row>
    <row r="472" spans="1:18" x14ac:dyDescent="0.35">
      <c r="A472" s="2">
        <v>461</v>
      </c>
      <c r="B472" s="4">
        <f t="shared" si="63"/>
        <v>25</v>
      </c>
      <c r="C472" s="4">
        <f t="shared" si="64"/>
        <v>3</v>
      </c>
      <c r="D472" s="4">
        <f t="shared" si="65"/>
        <v>2023</v>
      </c>
      <c r="E472" s="4" t="str">
        <f t="shared" si="66"/>
        <v>Saturday</v>
      </c>
      <c r="F472" s="4" t="str">
        <f t="shared" si="67"/>
        <v>March</v>
      </c>
      <c r="G472" s="4" t="str">
        <f t="shared" si="68"/>
        <v>2023</v>
      </c>
      <c r="H472" s="3">
        <v>45010</v>
      </c>
      <c r="I472" s="4" t="s">
        <v>486</v>
      </c>
      <c r="J472" s="4" t="s">
        <v>23</v>
      </c>
      <c r="K472" s="4" t="str" cm="1">
        <f t="array" ref="K472">_xlfn.IFS(L472&gt;50,"Senior", L472&gt;=30,"Adult", L472&lt;30,"Young Adult")</f>
        <v>Young Adult</v>
      </c>
      <c r="L472" s="4">
        <v>18</v>
      </c>
      <c r="M472" s="4" t="s">
        <v>21</v>
      </c>
      <c r="N472" s="4">
        <v>2</v>
      </c>
      <c r="O472" s="5">
        <v>500</v>
      </c>
      <c r="P472">
        <f t="shared" si="69"/>
        <v>1000</v>
      </c>
      <c r="Q472" s="14">
        <f t="shared" si="70"/>
        <v>15</v>
      </c>
      <c r="R472" s="14">
        <f t="shared" si="71"/>
        <v>20</v>
      </c>
    </row>
    <row r="473" spans="1:18" x14ac:dyDescent="0.35">
      <c r="A473" s="2">
        <v>462</v>
      </c>
      <c r="B473" s="4">
        <f t="shared" si="63"/>
        <v>1</v>
      </c>
      <c r="C473" s="4">
        <f t="shared" si="64"/>
        <v>4</v>
      </c>
      <c r="D473" s="4">
        <f t="shared" si="65"/>
        <v>2023</v>
      </c>
      <c r="E473" s="4" t="str">
        <f t="shared" si="66"/>
        <v>Saturday</v>
      </c>
      <c r="F473" s="4" t="str">
        <f t="shared" si="67"/>
        <v>April</v>
      </c>
      <c r="G473" s="4" t="str">
        <f t="shared" si="68"/>
        <v>2023</v>
      </c>
      <c r="H473" s="3">
        <v>45017</v>
      </c>
      <c r="I473" s="4" t="s">
        <v>487</v>
      </c>
      <c r="J473" s="4" t="s">
        <v>20</v>
      </c>
      <c r="K473" s="4" t="str" cm="1">
        <f t="array" ref="K473">_xlfn.IFS(L473&gt;50,"Senior", L473&gt;=30,"Adult", L473&lt;30,"Young Adult")</f>
        <v>Senior</v>
      </c>
      <c r="L473" s="4">
        <v>63</v>
      </c>
      <c r="M473" s="4" t="s">
        <v>26</v>
      </c>
      <c r="N473" s="4">
        <v>4</v>
      </c>
      <c r="O473" s="5">
        <v>300</v>
      </c>
      <c r="P473">
        <f t="shared" si="69"/>
        <v>1200</v>
      </c>
      <c r="Q473" s="14">
        <f t="shared" si="70"/>
        <v>18</v>
      </c>
      <c r="R473" s="14">
        <f t="shared" si="71"/>
        <v>24</v>
      </c>
    </row>
    <row r="474" spans="1:18" x14ac:dyDescent="0.35">
      <c r="A474" s="2">
        <v>463</v>
      </c>
      <c r="B474" s="4">
        <f t="shared" si="63"/>
        <v>31</v>
      </c>
      <c r="C474" s="4">
        <f t="shared" si="64"/>
        <v>7</v>
      </c>
      <c r="D474" s="4">
        <f t="shared" si="65"/>
        <v>2023</v>
      </c>
      <c r="E474" s="4" t="str">
        <f t="shared" si="66"/>
        <v>Monday</v>
      </c>
      <c r="F474" s="4" t="str">
        <f t="shared" si="67"/>
        <v>July</v>
      </c>
      <c r="G474" s="4" t="str">
        <f t="shared" si="68"/>
        <v>2023</v>
      </c>
      <c r="H474" s="3">
        <v>45138</v>
      </c>
      <c r="I474" s="4" t="s">
        <v>488</v>
      </c>
      <c r="J474" s="4" t="s">
        <v>23</v>
      </c>
      <c r="K474" s="4" t="str" cm="1">
        <f t="array" ref="K474">_xlfn.IFS(L474&gt;50,"Senior", L474&gt;=30,"Adult", L474&lt;30,"Young Adult")</f>
        <v>Senior</v>
      </c>
      <c r="L474" s="4">
        <v>54</v>
      </c>
      <c r="M474" s="4" t="s">
        <v>21</v>
      </c>
      <c r="N474" s="4">
        <v>3</v>
      </c>
      <c r="O474" s="5">
        <v>500</v>
      </c>
      <c r="P474">
        <f t="shared" si="69"/>
        <v>1500</v>
      </c>
      <c r="Q474" s="14">
        <f t="shared" si="70"/>
        <v>22.5</v>
      </c>
      <c r="R474" s="14">
        <f t="shared" si="71"/>
        <v>30</v>
      </c>
    </row>
    <row r="475" spans="1:18" x14ac:dyDescent="0.35">
      <c r="A475" s="2">
        <v>464</v>
      </c>
      <c r="B475" s="4">
        <f t="shared" si="63"/>
        <v>13</v>
      </c>
      <c r="C475" s="4">
        <f t="shared" si="64"/>
        <v>1</v>
      </c>
      <c r="D475" s="4">
        <f t="shared" si="65"/>
        <v>2023</v>
      </c>
      <c r="E475" s="4" t="str">
        <f t="shared" si="66"/>
        <v>Friday</v>
      </c>
      <c r="F475" s="4" t="str">
        <f t="shared" si="67"/>
        <v>January</v>
      </c>
      <c r="G475" s="4" t="str">
        <f t="shared" si="68"/>
        <v>2023</v>
      </c>
      <c r="H475" s="3">
        <v>44939</v>
      </c>
      <c r="I475" s="4" t="s">
        <v>489</v>
      </c>
      <c r="J475" s="4" t="s">
        <v>20</v>
      </c>
      <c r="K475" s="4" t="str" cm="1">
        <f t="array" ref="K475">_xlfn.IFS(L475&gt;50,"Senior", L475&gt;=30,"Adult", L475&lt;30,"Young Adult")</f>
        <v>Adult</v>
      </c>
      <c r="L475" s="4">
        <v>38</v>
      </c>
      <c r="M475" s="4" t="s">
        <v>26</v>
      </c>
      <c r="N475" s="4">
        <v>2</v>
      </c>
      <c r="O475" s="5">
        <v>300</v>
      </c>
      <c r="P475">
        <f t="shared" si="69"/>
        <v>600</v>
      </c>
      <c r="Q475" s="14">
        <f t="shared" si="70"/>
        <v>9</v>
      </c>
      <c r="R475" s="14">
        <f t="shared" si="71"/>
        <v>12</v>
      </c>
    </row>
    <row r="476" spans="1:18" x14ac:dyDescent="0.35">
      <c r="A476" s="2">
        <v>465</v>
      </c>
      <c r="B476" s="4">
        <f t="shared" si="63"/>
        <v>2</v>
      </c>
      <c r="C476" s="4">
        <f t="shared" si="64"/>
        <v>4</v>
      </c>
      <c r="D476" s="4">
        <f t="shared" si="65"/>
        <v>2023</v>
      </c>
      <c r="E476" s="4" t="str">
        <f t="shared" si="66"/>
        <v>Sunday</v>
      </c>
      <c r="F476" s="4" t="str">
        <f t="shared" si="67"/>
        <v>April</v>
      </c>
      <c r="G476" s="4" t="str">
        <f t="shared" si="68"/>
        <v>2023</v>
      </c>
      <c r="H476" s="3">
        <v>45018</v>
      </c>
      <c r="I476" s="4" t="s">
        <v>490</v>
      </c>
      <c r="J476" s="4" t="s">
        <v>23</v>
      </c>
      <c r="K476" s="4" t="str" cm="1">
        <f t="array" ref="K476">_xlfn.IFS(L476&gt;50,"Senior", L476&gt;=30,"Adult", L476&lt;30,"Young Adult")</f>
        <v>Adult</v>
      </c>
      <c r="L476" s="4">
        <v>43</v>
      </c>
      <c r="M476" s="4" t="s">
        <v>26</v>
      </c>
      <c r="N476" s="4">
        <v>3</v>
      </c>
      <c r="O476" s="5">
        <v>50</v>
      </c>
      <c r="P476">
        <f t="shared" si="69"/>
        <v>150</v>
      </c>
      <c r="Q476" s="14">
        <f t="shared" si="70"/>
        <v>2.25</v>
      </c>
      <c r="R476" s="14">
        <f t="shared" si="71"/>
        <v>3</v>
      </c>
    </row>
    <row r="477" spans="1:18" x14ac:dyDescent="0.35">
      <c r="A477" s="2">
        <v>466</v>
      </c>
      <c r="B477" s="4">
        <f t="shared" si="63"/>
        <v>20</v>
      </c>
      <c r="C477" s="4">
        <f t="shared" si="64"/>
        <v>6</v>
      </c>
      <c r="D477" s="4">
        <f t="shared" si="65"/>
        <v>2023</v>
      </c>
      <c r="E477" s="4" t="str">
        <f t="shared" si="66"/>
        <v>Tuesday</v>
      </c>
      <c r="F477" s="4" t="str">
        <f t="shared" si="67"/>
        <v>June</v>
      </c>
      <c r="G477" s="4" t="str">
        <f t="shared" si="68"/>
        <v>2023</v>
      </c>
      <c r="H477" s="3">
        <v>45097</v>
      </c>
      <c r="I477" s="4" t="s">
        <v>491</v>
      </c>
      <c r="J477" s="4" t="s">
        <v>20</v>
      </c>
      <c r="K477" s="4" t="str" cm="1">
        <f t="array" ref="K477">_xlfn.IFS(L477&gt;50,"Senior", L477&gt;=30,"Adult", L477&lt;30,"Young Adult")</f>
        <v>Senior</v>
      </c>
      <c r="L477" s="4">
        <v>63</v>
      </c>
      <c r="M477" s="4" t="s">
        <v>26</v>
      </c>
      <c r="N477" s="4">
        <v>4</v>
      </c>
      <c r="O477" s="5">
        <v>25</v>
      </c>
      <c r="P477">
        <f t="shared" si="69"/>
        <v>100</v>
      </c>
      <c r="Q477" s="14">
        <f t="shared" si="70"/>
        <v>1.5</v>
      </c>
      <c r="R477" s="14">
        <f t="shared" si="71"/>
        <v>2</v>
      </c>
    </row>
    <row r="478" spans="1:18" x14ac:dyDescent="0.35">
      <c r="A478" s="2">
        <v>467</v>
      </c>
      <c r="B478" s="4">
        <f t="shared" si="63"/>
        <v>30</v>
      </c>
      <c r="C478" s="4">
        <f t="shared" si="64"/>
        <v>7</v>
      </c>
      <c r="D478" s="4">
        <f t="shared" si="65"/>
        <v>2023</v>
      </c>
      <c r="E478" s="4" t="str">
        <f t="shared" si="66"/>
        <v>Sunday</v>
      </c>
      <c r="F478" s="4" t="str">
        <f t="shared" si="67"/>
        <v>July</v>
      </c>
      <c r="G478" s="4" t="str">
        <f t="shared" si="68"/>
        <v>2023</v>
      </c>
      <c r="H478" s="3">
        <v>45137</v>
      </c>
      <c r="I478" s="4" t="s">
        <v>492</v>
      </c>
      <c r="J478" s="4" t="s">
        <v>23</v>
      </c>
      <c r="K478" s="4" t="str" cm="1">
        <f t="array" ref="K478">_xlfn.IFS(L478&gt;50,"Senior", L478&gt;=30,"Adult", L478&lt;30,"Young Adult")</f>
        <v>Senior</v>
      </c>
      <c r="L478" s="4">
        <v>53</v>
      </c>
      <c r="M478" s="4" t="s">
        <v>26</v>
      </c>
      <c r="N478" s="4">
        <v>3</v>
      </c>
      <c r="O478" s="5">
        <v>50</v>
      </c>
      <c r="P478">
        <f t="shared" si="69"/>
        <v>150</v>
      </c>
      <c r="Q478" s="14">
        <f t="shared" si="70"/>
        <v>2.25</v>
      </c>
      <c r="R478" s="14">
        <f t="shared" si="71"/>
        <v>3</v>
      </c>
    </row>
    <row r="479" spans="1:18" x14ac:dyDescent="0.35">
      <c r="A479" s="2">
        <v>468</v>
      </c>
      <c r="B479" s="4">
        <f t="shared" si="63"/>
        <v>9</v>
      </c>
      <c r="C479" s="4">
        <f t="shared" si="64"/>
        <v>12</v>
      </c>
      <c r="D479" s="4">
        <f t="shared" si="65"/>
        <v>2023</v>
      </c>
      <c r="E479" s="4" t="str">
        <f t="shared" si="66"/>
        <v>Saturday</v>
      </c>
      <c r="F479" s="4" t="str">
        <f t="shared" si="67"/>
        <v>December</v>
      </c>
      <c r="G479" s="4" t="str">
        <f t="shared" si="68"/>
        <v>2023</v>
      </c>
      <c r="H479" s="3">
        <v>45269</v>
      </c>
      <c r="I479" s="4" t="s">
        <v>493</v>
      </c>
      <c r="J479" s="4" t="s">
        <v>20</v>
      </c>
      <c r="K479" s="4" t="str" cm="1">
        <f t="array" ref="K479">_xlfn.IFS(L479&gt;50,"Senior", L479&gt;=30,"Adult", L479&lt;30,"Young Adult")</f>
        <v>Adult</v>
      </c>
      <c r="L479" s="4">
        <v>40</v>
      </c>
      <c r="M479" s="4" t="s">
        <v>26</v>
      </c>
      <c r="N479" s="4">
        <v>1</v>
      </c>
      <c r="O479" s="5">
        <v>25</v>
      </c>
      <c r="P479">
        <f t="shared" si="69"/>
        <v>25</v>
      </c>
      <c r="Q479" s="14">
        <f t="shared" si="70"/>
        <v>0.375</v>
      </c>
      <c r="R479" s="14">
        <f t="shared" si="71"/>
        <v>0.5</v>
      </c>
    </row>
    <row r="480" spans="1:18" x14ac:dyDescent="0.35">
      <c r="A480" s="2">
        <v>469</v>
      </c>
      <c r="B480" s="4">
        <f t="shared" si="63"/>
        <v>8</v>
      </c>
      <c r="C480" s="4">
        <f t="shared" si="64"/>
        <v>5</v>
      </c>
      <c r="D480" s="4">
        <f t="shared" si="65"/>
        <v>2023</v>
      </c>
      <c r="E480" s="4" t="str">
        <f t="shared" si="66"/>
        <v>Monday</v>
      </c>
      <c r="F480" s="4" t="str">
        <f t="shared" si="67"/>
        <v>May</v>
      </c>
      <c r="G480" s="4" t="str">
        <f t="shared" si="68"/>
        <v>2023</v>
      </c>
      <c r="H480" s="3">
        <v>45054</v>
      </c>
      <c r="I480" s="4" t="s">
        <v>494</v>
      </c>
      <c r="J480" s="4" t="s">
        <v>20</v>
      </c>
      <c r="K480" s="4" t="str" cm="1">
        <f t="array" ref="K480">_xlfn.IFS(L480&gt;50,"Senior", L480&gt;=30,"Adult", L480&lt;30,"Young Adult")</f>
        <v>Young Adult</v>
      </c>
      <c r="L480" s="4">
        <v>18</v>
      </c>
      <c r="M480" s="4" t="s">
        <v>21</v>
      </c>
      <c r="N480" s="4">
        <v>3</v>
      </c>
      <c r="O480" s="5">
        <v>25</v>
      </c>
      <c r="P480">
        <f t="shared" si="69"/>
        <v>75</v>
      </c>
      <c r="Q480" s="14">
        <f t="shared" si="70"/>
        <v>1.125</v>
      </c>
      <c r="R480" s="14">
        <f t="shared" si="71"/>
        <v>1.5</v>
      </c>
    </row>
    <row r="481" spans="1:18" x14ac:dyDescent="0.35">
      <c r="A481" s="2">
        <v>470</v>
      </c>
      <c r="B481" s="4">
        <f t="shared" si="63"/>
        <v>17</v>
      </c>
      <c r="C481" s="4">
        <f t="shared" si="64"/>
        <v>5</v>
      </c>
      <c r="D481" s="4">
        <f t="shared" si="65"/>
        <v>2023</v>
      </c>
      <c r="E481" s="4" t="str">
        <f t="shared" si="66"/>
        <v>Wednesday</v>
      </c>
      <c r="F481" s="4" t="str">
        <f t="shared" si="67"/>
        <v>May</v>
      </c>
      <c r="G481" s="4" t="str">
        <f t="shared" si="68"/>
        <v>2023</v>
      </c>
      <c r="H481" s="3">
        <v>45063</v>
      </c>
      <c r="I481" s="4" t="s">
        <v>495</v>
      </c>
      <c r="J481" s="4" t="s">
        <v>23</v>
      </c>
      <c r="K481" s="4" t="str" cm="1">
        <f t="array" ref="K481">_xlfn.IFS(L481&gt;50,"Senior", L481&gt;=30,"Adult", L481&lt;30,"Young Adult")</f>
        <v>Senior</v>
      </c>
      <c r="L481" s="4">
        <v>57</v>
      </c>
      <c r="M481" s="4" t="s">
        <v>24</v>
      </c>
      <c r="N481" s="4">
        <v>2</v>
      </c>
      <c r="O481" s="5">
        <v>500</v>
      </c>
      <c r="P481">
        <f t="shared" si="69"/>
        <v>1000</v>
      </c>
      <c r="Q481" s="14">
        <f t="shared" si="70"/>
        <v>15</v>
      </c>
      <c r="R481" s="14">
        <f t="shared" si="71"/>
        <v>20</v>
      </c>
    </row>
    <row r="482" spans="1:18" x14ac:dyDescent="0.35">
      <c r="A482" s="2">
        <v>471</v>
      </c>
      <c r="B482" s="4">
        <f t="shared" si="63"/>
        <v>23</v>
      </c>
      <c r="C482" s="4">
        <f t="shared" si="64"/>
        <v>3</v>
      </c>
      <c r="D482" s="4">
        <f t="shared" si="65"/>
        <v>2023</v>
      </c>
      <c r="E482" s="4" t="str">
        <f t="shared" si="66"/>
        <v>Thursday</v>
      </c>
      <c r="F482" s="4" t="str">
        <f t="shared" si="67"/>
        <v>March</v>
      </c>
      <c r="G482" s="4" t="str">
        <f t="shared" si="68"/>
        <v>2023</v>
      </c>
      <c r="H482" s="3">
        <v>45008</v>
      </c>
      <c r="I482" s="4" t="s">
        <v>496</v>
      </c>
      <c r="J482" s="4" t="s">
        <v>20</v>
      </c>
      <c r="K482" s="4" t="str" cm="1">
        <f t="array" ref="K482">_xlfn.IFS(L482&gt;50,"Senior", L482&gt;=30,"Adult", L482&lt;30,"Young Adult")</f>
        <v>Adult</v>
      </c>
      <c r="L482" s="4">
        <v>32</v>
      </c>
      <c r="M482" s="4" t="s">
        <v>24</v>
      </c>
      <c r="N482" s="4">
        <v>3</v>
      </c>
      <c r="O482" s="5">
        <v>50</v>
      </c>
      <c r="P482">
        <f t="shared" si="69"/>
        <v>150</v>
      </c>
      <c r="Q482" s="14">
        <f t="shared" si="70"/>
        <v>2.25</v>
      </c>
      <c r="R482" s="14">
        <f t="shared" si="71"/>
        <v>3</v>
      </c>
    </row>
    <row r="483" spans="1:18" x14ac:dyDescent="0.35">
      <c r="A483" s="2">
        <v>472</v>
      </c>
      <c r="B483" s="4">
        <f t="shared" si="63"/>
        <v>26</v>
      </c>
      <c r="C483" s="4">
        <f t="shared" si="64"/>
        <v>12</v>
      </c>
      <c r="D483" s="4">
        <f t="shared" si="65"/>
        <v>2023</v>
      </c>
      <c r="E483" s="4" t="str">
        <f t="shared" si="66"/>
        <v>Tuesday</v>
      </c>
      <c r="F483" s="4" t="str">
        <f t="shared" si="67"/>
        <v>December</v>
      </c>
      <c r="G483" s="4" t="str">
        <f t="shared" si="68"/>
        <v>2023</v>
      </c>
      <c r="H483" s="3">
        <v>45286</v>
      </c>
      <c r="I483" s="4" t="s">
        <v>497</v>
      </c>
      <c r="J483" s="4" t="s">
        <v>23</v>
      </c>
      <c r="K483" s="4" t="str" cm="1">
        <f t="array" ref="K483">_xlfn.IFS(L483&gt;50,"Senior", L483&gt;=30,"Adult", L483&lt;30,"Young Adult")</f>
        <v>Adult</v>
      </c>
      <c r="L483" s="4">
        <v>38</v>
      </c>
      <c r="M483" s="4" t="s">
        <v>21</v>
      </c>
      <c r="N483" s="4">
        <v>3</v>
      </c>
      <c r="O483" s="5">
        <v>300</v>
      </c>
      <c r="P483">
        <f t="shared" si="69"/>
        <v>900</v>
      </c>
      <c r="Q483" s="14">
        <f t="shared" si="70"/>
        <v>13.5</v>
      </c>
      <c r="R483" s="14">
        <f t="shared" si="71"/>
        <v>18</v>
      </c>
    </row>
    <row r="484" spans="1:18" x14ac:dyDescent="0.35">
      <c r="A484" s="2">
        <v>473</v>
      </c>
      <c r="B484" s="4">
        <f t="shared" si="63"/>
        <v>25</v>
      </c>
      <c r="C484" s="4">
        <f t="shared" si="64"/>
        <v>2</v>
      </c>
      <c r="D484" s="4">
        <f t="shared" si="65"/>
        <v>2023</v>
      </c>
      <c r="E484" s="4" t="str">
        <f t="shared" si="66"/>
        <v>Saturday</v>
      </c>
      <c r="F484" s="4" t="str">
        <f t="shared" si="67"/>
        <v>February</v>
      </c>
      <c r="G484" s="4" t="str">
        <f t="shared" si="68"/>
        <v>2023</v>
      </c>
      <c r="H484" s="3">
        <v>44982</v>
      </c>
      <c r="I484" s="4" t="s">
        <v>498</v>
      </c>
      <c r="J484" s="4" t="s">
        <v>20</v>
      </c>
      <c r="K484" s="4" t="str" cm="1">
        <f t="array" ref="K484">_xlfn.IFS(L484&gt;50,"Senior", L484&gt;=30,"Adult", L484&lt;30,"Young Adult")</f>
        <v>Senior</v>
      </c>
      <c r="L484" s="4">
        <v>64</v>
      </c>
      <c r="M484" s="4" t="s">
        <v>21</v>
      </c>
      <c r="N484" s="4">
        <v>1</v>
      </c>
      <c r="O484" s="5">
        <v>50</v>
      </c>
      <c r="P484">
        <f t="shared" si="69"/>
        <v>50</v>
      </c>
      <c r="Q484" s="14">
        <f t="shared" si="70"/>
        <v>0.75</v>
      </c>
      <c r="R484" s="14">
        <f t="shared" si="71"/>
        <v>1</v>
      </c>
    </row>
    <row r="485" spans="1:18" x14ac:dyDescent="0.35">
      <c r="A485" s="2">
        <v>474</v>
      </c>
      <c r="B485" s="4">
        <f t="shared" si="63"/>
        <v>15</v>
      </c>
      <c r="C485" s="4">
        <f t="shared" si="64"/>
        <v>7</v>
      </c>
      <c r="D485" s="4">
        <f t="shared" si="65"/>
        <v>2023</v>
      </c>
      <c r="E485" s="4" t="str">
        <f t="shared" si="66"/>
        <v>Saturday</v>
      </c>
      <c r="F485" s="4" t="str">
        <f t="shared" si="67"/>
        <v>July</v>
      </c>
      <c r="G485" s="4" t="str">
        <f t="shared" si="68"/>
        <v>2023</v>
      </c>
      <c r="H485" s="3">
        <v>45122</v>
      </c>
      <c r="I485" s="4" t="s">
        <v>499</v>
      </c>
      <c r="J485" s="4" t="s">
        <v>23</v>
      </c>
      <c r="K485" s="4" t="str" cm="1">
        <f t="array" ref="K485">_xlfn.IFS(L485&gt;50,"Senior", L485&gt;=30,"Adult", L485&lt;30,"Young Adult")</f>
        <v>Young Adult</v>
      </c>
      <c r="L485" s="4">
        <v>26</v>
      </c>
      <c r="M485" s="4" t="s">
        <v>24</v>
      </c>
      <c r="N485" s="4">
        <v>3</v>
      </c>
      <c r="O485" s="5">
        <v>500</v>
      </c>
      <c r="P485">
        <f t="shared" si="69"/>
        <v>1500</v>
      </c>
      <c r="Q485" s="14">
        <f t="shared" si="70"/>
        <v>22.5</v>
      </c>
      <c r="R485" s="14">
        <f t="shared" si="71"/>
        <v>30</v>
      </c>
    </row>
    <row r="486" spans="1:18" x14ac:dyDescent="0.35">
      <c r="A486" s="2">
        <v>475</v>
      </c>
      <c r="B486" s="4">
        <f t="shared" si="63"/>
        <v>20</v>
      </c>
      <c r="C486" s="4">
        <f t="shared" si="64"/>
        <v>1</v>
      </c>
      <c r="D486" s="4">
        <f t="shared" si="65"/>
        <v>2023</v>
      </c>
      <c r="E486" s="4" t="str">
        <f t="shared" si="66"/>
        <v>Friday</v>
      </c>
      <c r="F486" s="4" t="str">
        <f t="shared" si="67"/>
        <v>January</v>
      </c>
      <c r="G486" s="4" t="str">
        <f t="shared" si="68"/>
        <v>2023</v>
      </c>
      <c r="H486" s="3">
        <v>44946</v>
      </c>
      <c r="I486" s="4" t="s">
        <v>500</v>
      </c>
      <c r="J486" s="4" t="s">
        <v>20</v>
      </c>
      <c r="K486" s="4" t="str" cm="1">
        <f t="array" ref="K486">_xlfn.IFS(L486&gt;50,"Senior", L486&gt;=30,"Adult", L486&lt;30,"Young Adult")</f>
        <v>Young Adult</v>
      </c>
      <c r="L486" s="4">
        <v>26</v>
      </c>
      <c r="M486" s="4" t="s">
        <v>24</v>
      </c>
      <c r="N486" s="4">
        <v>3</v>
      </c>
      <c r="O486" s="5">
        <v>25</v>
      </c>
      <c r="P486">
        <f t="shared" si="69"/>
        <v>75</v>
      </c>
      <c r="Q486" s="14">
        <f t="shared" si="70"/>
        <v>1.125</v>
      </c>
      <c r="R486" s="14">
        <f t="shared" si="71"/>
        <v>1.5</v>
      </c>
    </row>
    <row r="487" spans="1:18" x14ac:dyDescent="0.35">
      <c r="A487" s="2">
        <v>476</v>
      </c>
      <c r="B487" s="4">
        <f t="shared" si="63"/>
        <v>29</v>
      </c>
      <c r="C487" s="4">
        <f t="shared" si="64"/>
        <v>8</v>
      </c>
      <c r="D487" s="4">
        <f t="shared" si="65"/>
        <v>2023</v>
      </c>
      <c r="E487" s="4" t="str">
        <f t="shared" si="66"/>
        <v>Tuesday</v>
      </c>
      <c r="F487" s="4" t="str">
        <f t="shared" si="67"/>
        <v>August</v>
      </c>
      <c r="G487" s="4" t="str">
        <f t="shared" si="68"/>
        <v>2023</v>
      </c>
      <c r="H487" s="3">
        <v>45167</v>
      </c>
      <c r="I487" s="4" t="s">
        <v>501</v>
      </c>
      <c r="J487" s="4" t="s">
        <v>23</v>
      </c>
      <c r="K487" s="4" t="str" cm="1">
        <f t="array" ref="K487">_xlfn.IFS(L487&gt;50,"Senior", L487&gt;=30,"Adult", L487&lt;30,"Young Adult")</f>
        <v>Young Adult</v>
      </c>
      <c r="L487" s="4">
        <v>27</v>
      </c>
      <c r="M487" s="4" t="s">
        <v>24</v>
      </c>
      <c r="N487" s="4">
        <v>4</v>
      </c>
      <c r="O487" s="5">
        <v>500</v>
      </c>
      <c r="P487">
        <f t="shared" si="69"/>
        <v>2000</v>
      </c>
      <c r="Q487" s="14">
        <f t="shared" si="70"/>
        <v>30</v>
      </c>
      <c r="R487" s="14">
        <f t="shared" si="71"/>
        <v>40</v>
      </c>
    </row>
    <row r="488" spans="1:18" x14ac:dyDescent="0.35">
      <c r="A488" s="2">
        <v>477</v>
      </c>
      <c r="B488" s="4">
        <f t="shared" si="63"/>
        <v>24</v>
      </c>
      <c r="C488" s="4">
        <f t="shared" si="64"/>
        <v>4</v>
      </c>
      <c r="D488" s="4">
        <f t="shared" si="65"/>
        <v>2023</v>
      </c>
      <c r="E488" s="4" t="str">
        <f t="shared" si="66"/>
        <v>Monday</v>
      </c>
      <c r="F488" s="4" t="str">
        <f t="shared" si="67"/>
        <v>April</v>
      </c>
      <c r="G488" s="4" t="str">
        <f t="shared" si="68"/>
        <v>2023</v>
      </c>
      <c r="H488" s="3">
        <v>45040</v>
      </c>
      <c r="I488" s="4" t="s">
        <v>502</v>
      </c>
      <c r="J488" s="4" t="s">
        <v>20</v>
      </c>
      <c r="K488" s="4" t="str" cm="1">
        <f t="array" ref="K488">_xlfn.IFS(L488&gt;50,"Senior", L488&gt;=30,"Adult", L488&lt;30,"Young Adult")</f>
        <v>Adult</v>
      </c>
      <c r="L488" s="4">
        <v>43</v>
      </c>
      <c r="M488" s="4" t="s">
        <v>24</v>
      </c>
      <c r="N488" s="4">
        <v>4</v>
      </c>
      <c r="O488" s="5">
        <v>30</v>
      </c>
      <c r="P488">
        <f t="shared" si="69"/>
        <v>120</v>
      </c>
      <c r="Q488" s="14">
        <f t="shared" si="70"/>
        <v>1.7999999999999998</v>
      </c>
      <c r="R488" s="14">
        <f t="shared" si="71"/>
        <v>2.4</v>
      </c>
    </row>
    <row r="489" spans="1:18" x14ac:dyDescent="0.35">
      <c r="A489" s="2">
        <v>478</v>
      </c>
      <c r="B489" s="4">
        <f t="shared" si="63"/>
        <v>13</v>
      </c>
      <c r="C489" s="4">
        <f t="shared" si="64"/>
        <v>4</v>
      </c>
      <c r="D489" s="4">
        <f t="shared" si="65"/>
        <v>2023</v>
      </c>
      <c r="E489" s="4" t="str">
        <f t="shared" si="66"/>
        <v>Thursday</v>
      </c>
      <c r="F489" s="4" t="str">
        <f t="shared" si="67"/>
        <v>April</v>
      </c>
      <c r="G489" s="4" t="str">
        <f t="shared" si="68"/>
        <v>2023</v>
      </c>
      <c r="H489" s="3">
        <v>45029</v>
      </c>
      <c r="I489" s="4" t="s">
        <v>503</v>
      </c>
      <c r="J489" s="4" t="s">
        <v>23</v>
      </c>
      <c r="K489" s="4" t="str" cm="1">
        <f t="array" ref="K489">_xlfn.IFS(L489&gt;50,"Senior", L489&gt;=30,"Adult", L489&lt;30,"Young Adult")</f>
        <v>Senior</v>
      </c>
      <c r="L489" s="4">
        <v>58</v>
      </c>
      <c r="M489" s="4" t="s">
        <v>24</v>
      </c>
      <c r="N489" s="4">
        <v>2</v>
      </c>
      <c r="O489" s="5">
        <v>30</v>
      </c>
      <c r="P489">
        <f t="shared" si="69"/>
        <v>60</v>
      </c>
      <c r="Q489" s="14">
        <f t="shared" si="70"/>
        <v>0.89999999999999991</v>
      </c>
      <c r="R489" s="14">
        <f t="shared" si="71"/>
        <v>1.2</v>
      </c>
    </row>
    <row r="490" spans="1:18" x14ac:dyDescent="0.35">
      <c r="A490" s="2">
        <v>479</v>
      </c>
      <c r="B490" s="4">
        <f t="shared" si="63"/>
        <v>24</v>
      </c>
      <c r="C490" s="4">
        <f t="shared" si="64"/>
        <v>8</v>
      </c>
      <c r="D490" s="4">
        <f t="shared" si="65"/>
        <v>2023</v>
      </c>
      <c r="E490" s="4" t="str">
        <f t="shared" si="66"/>
        <v>Thursday</v>
      </c>
      <c r="F490" s="4" t="str">
        <f t="shared" si="67"/>
        <v>August</v>
      </c>
      <c r="G490" s="4" t="str">
        <f t="shared" si="68"/>
        <v>2023</v>
      </c>
      <c r="H490" s="3">
        <v>45162</v>
      </c>
      <c r="I490" s="4" t="s">
        <v>504</v>
      </c>
      <c r="J490" s="4" t="s">
        <v>20</v>
      </c>
      <c r="K490" s="4" t="str" cm="1">
        <f t="array" ref="K490">_xlfn.IFS(L490&gt;50,"Senior", L490&gt;=30,"Adult", L490&lt;30,"Young Adult")</f>
        <v>Senior</v>
      </c>
      <c r="L490" s="4">
        <v>52</v>
      </c>
      <c r="M490" s="4" t="s">
        <v>26</v>
      </c>
      <c r="N490" s="4">
        <v>4</v>
      </c>
      <c r="O490" s="5">
        <v>300</v>
      </c>
      <c r="P490">
        <f t="shared" si="69"/>
        <v>1200</v>
      </c>
      <c r="Q490" s="14">
        <f t="shared" si="70"/>
        <v>18</v>
      </c>
      <c r="R490" s="14">
        <f t="shared" si="71"/>
        <v>24</v>
      </c>
    </row>
    <row r="491" spans="1:18" x14ac:dyDescent="0.35">
      <c r="A491" s="2">
        <v>480</v>
      </c>
      <c r="B491" s="4">
        <f t="shared" si="63"/>
        <v>29</v>
      </c>
      <c r="C491" s="4">
        <f t="shared" si="64"/>
        <v>6</v>
      </c>
      <c r="D491" s="4">
        <f t="shared" si="65"/>
        <v>2023</v>
      </c>
      <c r="E491" s="4" t="str">
        <f t="shared" si="66"/>
        <v>Thursday</v>
      </c>
      <c r="F491" s="4" t="str">
        <f t="shared" si="67"/>
        <v>June</v>
      </c>
      <c r="G491" s="4" t="str">
        <f t="shared" si="68"/>
        <v>2023</v>
      </c>
      <c r="H491" s="3">
        <v>45106</v>
      </c>
      <c r="I491" s="4" t="s">
        <v>505</v>
      </c>
      <c r="J491" s="4" t="s">
        <v>23</v>
      </c>
      <c r="K491" s="4" t="str" cm="1">
        <f t="array" ref="K491">_xlfn.IFS(L491&gt;50,"Senior", L491&gt;=30,"Adult", L491&lt;30,"Young Adult")</f>
        <v>Adult</v>
      </c>
      <c r="L491" s="4">
        <v>42</v>
      </c>
      <c r="M491" s="4" t="s">
        <v>21</v>
      </c>
      <c r="N491" s="4">
        <v>4</v>
      </c>
      <c r="O491" s="5">
        <v>500</v>
      </c>
      <c r="P491">
        <f t="shared" si="69"/>
        <v>2000</v>
      </c>
      <c r="Q491" s="14">
        <f t="shared" si="70"/>
        <v>30</v>
      </c>
      <c r="R491" s="14">
        <f t="shared" si="71"/>
        <v>40</v>
      </c>
    </row>
    <row r="492" spans="1:18" x14ac:dyDescent="0.35">
      <c r="A492" s="2">
        <v>481</v>
      </c>
      <c r="B492" s="4">
        <f t="shared" si="63"/>
        <v>6</v>
      </c>
      <c r="C492" s="4">
        <f t="shared" si="64"/>
        <v>6</v>
      </c>
      <c r="D492" s="4">
        <f t="shared" si="65"/>
        <v>2023</v>
      </c>
      <c r="E492" s="4" t="str">
        <f t="shared" si="66"/>
        <v>Tuesday</v>
      </c>
      <c r="F492" s="4" t="str">
        <f t="shared" si="67"/>
        <v>June</v>
      </c>
      <c r="G492" s="4" t="str">
        <f t="shared" si="68"/>
        <v>2023</v>
      </c>
      <c r="H492" s="3">
        <v>45083</v>
      </c>
      <c r="I492" s="4" t="s">
        <v>506</v>
      </c>
      <c r="J492" s="4" t="s">
        <v>23</v>
      </c>
      <c r="K492" s="4" t="str" cm="1">
        <f t="array" ref="K492">_xlfn.IFS(L492&gt;50,"Senior", L492&gt;=30,"Adult", L492&lt;30,"Young Adult")</f>
        <v>Adult</v>
      </c>
      <c r="L492" s="4">
        <v>43</v>
      </c>
      <c r="M492" s="4" t="s">
        <v>26</v>
      </c>
      <c r="N492" s="4">
        <v>4</v>
      </c>
      <c r="O492" s="5">
        <v>300</v>
      </c>
      <c r="P492">
        <f t="shared" si="69"/>
        <v>1200</v>
      </c>
      <c r="Q492" s="14">
        <f t="shared" si="70"/>
        <v>18</v>
      </c>
      <c r="R492" s="14">
        <f t="shared" si="71"/>
        <v>24</v>
      </c>
    </row>
    <row r="493" spans="1:18" x14ac:dyDescent="0.35">
      <c r="A493" s="2">
        <v>482</v>
      </c>
      <c r="B493" s="4">
        <f t="shared" si="63"/>
        <v>27</v>
      </c>
      <c r="C493" s="4">
        <f t="shared" si="64"/>
        <v>4</v>
      </c>
      <c r="D493" s="4">
        <f t="shared" si="65"/>
        <v>2023</v>
      </c>
      <c r="E493" s="4" t="str">
        <f t="shared" si="66"/>
        <v>Thursday</v>
      </c>
      <c r="F493" s="4" t="str">
        <f t="shared" si="67"/>
        <v>April</v>
      </c>
      <c r="G493" s="4" t="str">
        <f t="shared" si="68"/>
        <v>2023</v>
      </c>
      <c r="H493" s="3">
        <v>45043</v>
      </c>
      <c r="I493" s="4" t="s">
        <v>507</v>
      </c>
      <c r="J493" s="4" t="s">
        <v>23</v>
      </c>
      <c r="K493" s="4" t="str" cm="1">
        <f t="array" ref="K493">_xlfn.IFS(L493&gt;50,"Senior", L493&gt;=30,"Adult", L493&lt;30,"Young Adult")</f>
        <v>Young Adult</v>
      </c>
      <c r="L493" s="4">
        <v>28</v>
      </c>
      <c r="M493" s="4" t="s">
        <v>24</v>
      </c>
      <c r="N493" s="4">
        <v>4</v>
      </c>
      <c r="O493" s="5">
        <v>300</v>
      </c>
      <c r="P493">
        <f t="shared" si="69"/>
        <v>1200</v>
      </c>
      <c r="Q493" s="14">
        <f t="shared" si="70"/>
        <v>18</v>
      </c>
      <c r="R493" s="14">
        <f t="shared" si="71"/>
        <v>24</v>
      </c>
    </row>
    <row r="494" spans="1:18" x14ac:dyDescent="0.35">
      <c r="A494" s="2">
        <v>483</v>
      </c>
      <c r="B494" s="4">
        <f t="shared" si="63"/>
        <v>25</v>
      </c>
      <c r="C494" s="4">
        <f t="shared" si="64"/>
        <v>4</v>
      </c>
      <c r="D494" s="4">
        <f t="shared" si="65"/>
        <v>2023</v>
      </c>
      <c r="E494" s="4" t="str">
        <f t="shared" si="66"/>
        <v>Tuesday</v>
      </c>
      <c r="F494" s="4" t="str">
        <f t="shared" si="67"/>
        <v>April</v>
      </c>
      <c r="G494" s="4" t="str">
        <f t="shared" si="68"/>
        <v>2023</v>
      </c>
      <c r="H494" s="3">
        <v>45041</v>
      </c>
      <c r="I494" s="4" t="s">
        <v>508</v>
      </c>
      <c r="J494" s="4" t="s">
        <v>20</v>
      </c>
      <c r="K494" s="4" t="str" cm="1">
        <f t="array" ref="K494">_xlfn.IFS(L494&gt;50,"Senior", L494&gt;=30,"Adult", L494&lt;30,"Young Adult")</f>
        <v>Senior</v>
      </c>
      <c r="L494" s="4">
        <v>55</v>
      </c>
      <c r="M494" s="4" t="s">
        <v>24</v>
      </c>
      <c r="N494" s="4">
        <v>1</v>
      </c>
      <c r="O494" s="5">
        <v>30</v>
      </c>
      <c r="P494">
        <f t="shared" si="69"/>
        <v>30</v>
      </c>
      <c r="Q494" s="14">
        <f t="shared" si="70"/>
        <v>0.44999999999999996</v>
      </c>
      <c r="R494" s="14">
        <f t="shared" si="71"/>
        <v>0.6</v>
      </c>
    </row>
    <row r="495" spans="1:18" x14ac:dyDescent="0.35">
      <c r="A495" s="2">
        <v>484</v>
      </c>
      <c r="B495" s="4">
        <f t="shared" si="63"/>
        <v>13</v>
      </c>
      <c r="C495" s="4">
        <f t="shared" si="64"/>
        <v>1</v>
      </c>
      <c r="D495" s="4">
        <f t="shared" si="65"/>
        <v>2023</v>
      </c>
      <c r="E495" s="4" t="str">
        <f t="shared" si="66"/>
        <v>Friday</v>
      </c>
      <c r="F495" s="4" t="str">
        <f t="shared" si="67"/>
        <v>January</v>
      </c>
      <c r="G495" s="4" t="str">
        <f t="shared" si="68"/>
        <v>2023</v>
      </c>
      <c r="H495" s="3">
        <v>44939</v>
      </c>
      <c r="I495" s="4" t="s">
        <v>509</v>
      </c>
      <c r="J495" s="4" t="s">
        <v>23</v>
      </c>
      <c r="K495" s="4" t="str" cm="1">
        <f t="array" ref="K495">_xlfn.IFS(L495&gt;50,"Senior", L495&gt;=30,"Adult", L495&lt;30,"Young Adult")</f>
        <v>Young Adult</v>
      </c>
      <c r="L495" s="4">
        <v>19</v>
      </c>
      <c r="M495" s="4" t="s">
        <v>24</v>
      </c>
      <c r="N495" s="4">
        <v>4</v>
      </c>
      <c r="O495" s="5">
        <v>300</v>
      </c>
      <c r="P495">
        <f t="shared" si="69"/>
        <v>1200</v>
      </c>
      <c r="Q495" s="14">
        <f t="shared" si="70"/>
        <v>18</v>
      </c>
      <c r="R495" s="14">
        <f t="shared" si="71"/>
        <v>24</v>
      </c>
    </row>
    <row r="496" spans="1:18" x14ac:dyDescent="0.35">
      <c r="A496" s="2">
        <v>485</v>
      </c>
      <c r="B496" s="4">
        <f t="shared" si="63"/>
        <v>4</v>
      </c>
      <c r="C496" s="4">
        <f t="shared" si="64"/>
        <v>12</v>
      </c>
      <c r="D496" s="4">
        <f t="shared" si="65"/>
        <v>2023</v>
      </c>
      <c r="E496" s="4" t="str">
        <f t="shared" si="66"/>
        <v>Monday</v>
      </c>
      <c r="F496" s="4" t="str">
        <f t="shared" si="67"/>
        <v>December</v>
      </c>
      <c r="G496" s="4" t="str">
        <f t="shared" si="68"/>
        <v>2023</v>
      </c>
      <c r="H496" s="3">
        <v>45264</v>
      </c>
      <c r="I496" s="4" t="s">
        <v>510</v>
      </c>
      <c r="J496" s="4" t="s">
        <v>20</v>
      </c>
      <c r="K496" s="4" t="str" cm="1">
        <f t="array" ref="K496">_xlfn.IFS(L496&gt;50,"Senior", L496&gt;=30,"Adult", L496&lt;30,"Young Adult")</f>
        <v>Young Adult</v>
      </c>
      <c r="L496" s="4">
        <v>24</v>
      </c>
      <c r="M496" s="4" t="s">
        <v>26</v>
      </c>
      <c r="N496" s="4">
        <v>1</v>
      </c>
      <c r="O496" s="5">
        <v>30</v>
      </c>
      <c r="P496">
        <f t="shared" si="69"/>
        <v>30</v>
      </c>
      <c r="Q496" s="14">
        <f t="shared" si="70"/>
        <v>0.44999999999999996</v>
      </c>
      <c r="R496" s="14">
        <f t="shared" si="71"/>
        <v>0.6</v>
      </c>
    </row>
    <row r="497" spans="1:18" x14ac:dyDescent="0.35">
      <c r="A497" s="2">
        <v>486</v>
      </c>
      <c r="B497" s="4">
        <f t="shared" si="63"/>
        <v>9</v>
      </c>
      <c r="C497" s="4">
        <f t="shared" si="64"/>
        <v>4</v>
      </c>
      <c r="D497" s="4">
        <f t="shared" si="65"/>
        <v>2023</v>
      </c>
      <c r="E497" s="4" t="str">
        <f t="shared" si="66"/>
        <v>Sunday</v>
      </c>
      <c r="F497" s="4" t="str">
        <f t="shared" si="67"/>
        <v>April</v>
      </c>
      <c r="G497" s="4" t="str">
        <f t="shared" si="68"/>
        <v>2023</v>
      </c>
      <c r="H497" s="3">
        <v>45025</v>
      </c>
      <c r="I497" s="4" t="s">
        <v>511</v>
      </c>
      <c r="J497" s="4" t="s">
        <v>23</v>
      </c>
      <c r="K497" s="4" t="str" cm="1">
        <f t="array" ref="K497">_xlfn.IFS(L497&gt;50,"Senior", L497&gt;=30,"Adult", L497&lt;30,"Young Adult")</f>
        <v>Adult</v>
      </c>
      <c r="L497" s="4">
        <v>35</v>
      </c>
      <c r="M497" s="4" t="s">
        <v>26</v>
      </c>
      <c r="N497" s="4">
        <v>1</v>
      </c>
      <c r="O497" s="5">
        <v>25</v>
      </c>
      <c r="P497">
        <f t="shared" si="69"/>
        <v>25</v>
      </c>
      <c r="Q497" s="14">
        <f t="shared" si="70"/>
        <v>0.375</v>
      </c>
      <c r="R497" s="14">
        <f t="shared" si="71"/>
        <v>0.5</v>
      </c>
    </row>
    <row r="498" spans="1:18" x14ac:dyDescent="0.35">
      <c r="A498" s="2">
        <v>487</v>
      </c>
      <c r="B498" s="4">
        <f t="shared" si="63"/>
        <v>24</v>
      </c>
      <c r="C498" s="4">
        <f t="shared" si="64"/>
        <v>7</v>
      </c>
      <c r="D498" s="4">
        <f t="shared" si="65"/>
        <v>2023</v>
      </c>
      <c r="E498" s="4" t="str">
        <f t="shared" si="66"/>
        <v>Monday</v>
      </c>
      <c r="F498" s="4" t="str">
        <f t="shared" si="67"/>
        <v>July</v>
      </c>
      <c r="G498" s="4" t="str">
        <f t="shared" si="68"/>
        <v>2023</v>
      </c>
      <c r="H498" s="3">
        <v>45131</v>
      </c>
      <c r="I498" s="4" t="s">
        <v>512</v>
      </c>
      <c r="J498" s="4" t="s">
        <v>20</v>
      </c>
      <c r="K498" s="4" t="str" cm="1">
        <f t="array" ref="K498">_xlfn.IFS(L498&gt;50,"Senior", L498&gt;=30,"Adult", L498&lt;30,"Young Adult")</f>
        <v>Adult</v>
      </c>
      <c r="L498" s="4">
        <v>44</v>
      </c>
      <c r="M498" s="4" t="s">
        <v>24</v>
      </c>
      <c r="N498" s="4">
        <v>4</v>
      </c>
      <c r="O498" s="5">
        <v>500</v>
      </c>
      <c r="P498">
        <f t="shared" si="69"/>
        <v>2000</v>
      </c>
      <c r="Q498" s="14">
        <f t="shared" si="70"/>
        <v>30</v>
      </c>
      <c r="R498" s="14">
        <f t="shared" si="71"/>
        <v>40</v>
      </c>
    </row>
    <row r="499" spans="1:18" x14ac:dyDescent="0.35">
      <c r="A499" s="2">
        <v>488</v>
      </c>
      <c r="B499" s="4">
        <f t="shared" si="63"/>
        <v>18</v>
      </c>
      <c r="C499" s="4">
        <f t="shared" si="64"/>
        <v>6</v>
      </c>
      <c r="D499" s="4">
        <f t="shared" si="65"/>
        <v>2023</v>
      </c>
      <c r="E499" s="4" t="str">
        <f t="shared" si="66"/>
        <v>Sunday</v>
      </c>
      <c r="F499" s="4" t="str">
        <f t="shared" si="67"/>
        <v>June</v>
      </c>
      <c r="G499" s="4" t="str">
        <f t="shared" si="68"/>
        <v>2023</v>
      </c>
      <c r="H499" s="3">
        <v>45095</v>
      </c>
      <c r="I499" s="4" t="s">
        <v>513</v>
      </c>
      <c r="J499" s="4" t="s">
        <v>23</v>
      </c>
      <c r="K499" s="4" t="str" cm="1">
        <f t="array" ref="K499">_xlfn.IFS(L499&gt;50,"Senior", L499&gt;=30,"Adult", L499&lt;30,"Young Adult")</f>
        <v>Senior</v>
      </c>
      <c r="L499" s="4">
        <v>51</v>
      </c>
      <c r="M499" s="4" t="s">
        <v>26</v>
      </c>
      <c r="N499" s="4">
        <v>3</v>
      </c>
      <c r="O499" s="5">
        <v>300</v>
      </c>
      <c r="P499">
        <f t="shared" si="69"/>
        <v>900</v>
      </c>
      <c r="Q499" s="14">
        <f t="shared" si="70"/>
        <v>13.5</v>
      </c>
      <c r="R499" s="14">
        <f t="shared" si="71"/>
        <v>18</v>
      </c>
    </row>
    <row r="500" spans="1:18" x14ac:dyDescent="0.35">
      <c r="A500" s="2">
        <v>489</v>
      </c>
      <c r="B500" s="4">
        <f t="shared" si="63"/>
        <v>23</v>
      </c>
      <c r="C500" s="4">
        <f t="shared" si="64"/>
        <v>5</v>
      </c>
      <c r="D500" s="4">
        <f t="shared" si="65"/>
        <v>2023</v>
      </c>
      <c r="E500" s="4" t="str">
        <f t="shared" si="66"/>
        <v>Tuesday</v>
      </c>
      <c r="F500" s="4" t="str">
        <f t="shared" si="67"/>
        <v>May</v>
      </c>
      <c r="G500" s="4" t="str">
        <f t="shared" si="68"/>
        <v>2023</v>
      </c>
      <c r="H500" s="3">
        <v>45069</v>
      </c>
      <c r="I500" s="4" t="s">
        <v>514</v>
      </c>
      <c r="J500" s="4" t="s">
        <v>20</v>
      </c>
      <c r="K500" s="4" t="str" cm="1">
        <f t="array" ref="K500">_xlfn.IFS(L500&gt;50,"Senior", L500&gt;=30,"Adult", L500&lt;30,"Young Adult")</f>
        <v>Adult</v>
      </c>
      <c r="L500" s="4">
        <v>44</v>
      </c>
      <c r="M500" s="4" t="s">
        <v>26</v>
      </c>
      <c r="N500" s="4">
        <v>1</v>
      </c>
      <c r="O500" s="5">
        <v>30</v>
      </c>
      <c r="P500">
        <f t="shared" si="69"/>
        <v>30</v>
      </c>
      <c r="Q500" s="14">
        <f t="shared" si="70"/>
        <v>0.44999999999999996</v>
      </c>
      <c r="R500" s="14">
        <f t="shared" si="71"/>
        <v>0.6</v>
      </c>
    </row>
    <row r="501" spans="1:18" x14ac:dyDescent="0.35">
      <c r="A501" s="2">
        <v>490</v>
      </c>
      <c r="B501" s="4">
        <f t="shared" si="63"/>
        <v>5</v>
      </c>
      <c r="C501" s="4">
        <f t="shared" si="64"/>
        <v>2</v>
      </c>
      <c r="D501" s="4">
        <f t="shared" si="65"/>
        <v>2023</v>
      </c>
      <c r="E501" s="4" t="str">
        <f t="shared" si="66"/>
        <v>Sunday</v>
      </c>
      <c r="F501" s="4" t="str">
        <f t="shared" si="67"/>
        <v>February</v>
      </c>
      <c r="G501" s="4" t="str">
        <f t="shared" si="68"/>
        <v>2023</v>
      </c>
      <c r="H501" s="3">
        <v>44962</v>
      </c>
      <c r="I501" s="4" t="s">
        <v>515</v>
      </c>
      <c r="J501" s="4" t="s">
        <v>20</v>
      </c>
      <c r="K501" s="4" t="str" cm="1">
        <f t="array" ref="K501">_xlfn.IFS(L501&gt;50,"Senior", L501&gt;=30,"Adult", L501&lt;30,"Young Adult")</f>
        <v>Adult</v>
      </c>
      <c r="L501" s="4">
        <v>34</v>
      </c>
      <c r="M501" s="4" t="s">
        <v>24</v>
      </c>
      <c r="N501" s="4">
        <v>3</v>
      </c>
      <c r="O501" s="5">
        <v>50</v>
      </c>
      <c r="P501">
        <f t="shared" si="69"/>
        <v>150</v>
      </c>
      <c r="Q501" s="14">
        <f t="shared" si="70"/>
        <v>2.25</v>
      </c>
      <c r="R501" s="14">
        <f t="shared" si="71"/>
        <v>3</v>
      </c>
    </row>
    <row r="502" spans="1:18" x14ac:dyDescent="0.35">
      <c r="A502" s="2">
        <v>491</v>
      </c>
      <c r="B502" s="4">
        <f t="shared" si="63"/>
        <v>23</v>
      </c>
      <c r="C502" s="4">
        <f t="shared" si="64"/>
        <v>5</v>
      </c>
      <c r="D502" s="4">
        <f t="shared" si="65"/>
        <v>2023</v>
      </c>
      <c r="E502" s="4" t="str">
        <f t="shared" si="66"/>
        <v>Tuesday</v>
      </c>
      <c r="F502" s="4" t="str">
        <f t="shared" si="67"/>
        <v>May</v>
      </c>
      <c r="G502" s="4" t="str">
        <f t="shared" si="68"/>
        <v>2023</v>
      </c>
      <c r="H502" s="3">
        <v>45069</v>
      </c>
      <c r="I502" s="4" t="s">
        <v>516</v>
      </c>
      <c r="J502" s="4" t="s">
        <v>23</v>
      </c>
      <c r="K502" s="4" t="str" cm="1">
        <f t="array" ref="K502">_xlfn.IFS(L502&gt;50,"Senior", L502&gt;=30,"Adult", L502&lt;30,"Young Adult")</f>
        <v>Senior</v>
      </c>
      <c r="L502" s="4">
        <v>60</v>
      </c>
      <c r="M502" s="4" t="s">
        <v>26</v>
      </c>
      <c r="N502" s="4">
        <v>3</v>
      </c>
      <c r="O502" s="5">
        <v>300</v>
      </c>
      <c r="P502">
        <f t="shared" si="69"/>
        <v>900</v>
      </c>
      <c r="Q502" s="14">
        <f t="shared" si="70"/>
        <v>13.5</v>
      </c>
      <c r="R502" s="14">
        <f t="shared" si="71"/>
        <v>18</v>
      </c>
    </row>
    <row r="503" spans="1:18" x14ac:dyDescent="0.35">
      <c r="A503" s="2">
        <v>492</v>
      </c>
      <c r="B503" s="4">
        <f t="shared" si="63"/>
        <v>29</v>
      </c>
      <c r="C503" s="4">
        <f t="shared" si="64"/>
        <v>6</v>
      </c>
      <c r="D503" s="4">
        <f t="shared" si="65"/>
        <v>2023</v>
      </c>
      <c r="E503" s="4" t="str">
        <f t="shared" si="66"/>
        <v>Thursday</v>
      </c>
      <c r="F503" s="4" t="str">
        <f t="shared" si="67"/>
        <v>June</v>
      </c>
      <c r="G503" s="4" t="str">
        <f t="shared" si="68"/>
        <v>2023</v>
      </c>
      <c r="H503" s="3">
        <v>45106</v>
      </c>
      <c r="I503" s="4" t="s">
        <v>517</v>
      </c>
      <c r="J503" s="4" t="s">
        <v>20</v>
      </c>
      <c r="K503" s="4" t="str" cm="1">
        <f t="array" ref="K503">_xlfn.IFS(L503&gt;50,"Senior", L503&gt;=30,"Adult", L503&lt;30,"Young Adult")</f>
        <v>Senior</v>
      </c>
      <c r="L503" s="4">
        <v>61</v>
      </c>
      <c r="M503" s="4" t="s">
        <v>21</v>
      </c>
      <c r="N503" s="4">
        <v>4</v>
      </c>
      <c r="O503" s="5">
        <v>25</v>
      </c>
      <c r="P503">
        <f t="shared" si="69"/>
        <v>100</v>
      </c>
      <c r="Q503" s="14">
        <f t="shared" si="70"/>
        <v>1.5</v>
      </c>
      <c r="R503" s="14">
        <f t="shared" si="71"/>
        <v>2</v>
      </c>
    </row>
    <row r="504" spans="1:18" x14ac:dyDescent="0.35">
      <c r="A504" s="2">
        <v>493</v>
      </c>
      <c r="B504" s="4">
        <f t="shared" si="63"/>
        <v>25</v>
      </c>
      <c r="C504" s="4">
        <f t="shared" si="64"/>
        <v>11</v>
      </c>
      <c r="D504" s="4">
        <f t="shared" si="65"/>
        <v>2023</v>
      </c>
      <c r="E504" s="4" t="str">
        <f t="shared" si="66"/>
        <v>Saturday</v>
      </c>
      <c r="F504" s="4" t="str">
        <f t="shared" si="67"/>
        <v>November</v>
      </c>
      <c r="G504" s="4" t="str">
        <f t="shared" si="68"/>
        <v>2023</v>
      </c>
      <c r="H504" s="3">
        <v>45255</v>
      </c>
      <c r="I504" s="4" t="s">
        <v>518</v>
      </c>
      <c r="J504" s="4" t="s">
        <v>20</v>
      </c>
      <c r="K504" s="4" t="str" cm="1">
        <f t="array" ref="K504">_xlfn.IFS(L504&gt;50,"Senior", L504&gt;=30,"Adult", L504&lt;30,"Young Adult")</f>
        <v>Adult</v>
      </c>
      <c r="L504" s="4">
        <v>41</v>
      </c>
      <c r="M504" s="4" t="s">
        <v>21</v>
      </c>
      <c r="N504" s="4">
        <v>2</v>
      </c>
      <c r="O504" s="5">
        <v>25</v>
      </c>
      <c r="P504">
        <f t="shared" si="69"/>
        <v>50</v>
      </c>
      <c r="Q504" s="14">
        <f t="shared" si="70"/>
        <v>0.75</v>
      </c>
      <c r="R504" s="14">
        <f t="shared" si="71"/>
        <v>1</v>
      </c>
    </row>
    <row r="505" spans="1:18" x14ac:dyDescent="0.35">
      <c r="A505" s="2">
        <v>494</v>
      </c>
      <c r="B505" s="4">
        <f t="shared" si="63"/>
        <v>18</v>
      </c>
      <c r="C505" s="4">
        <f t="shared" si="64"/>
        <v>9</v>
      </c>
      <c r="D505" s="4">
        <f t="shared" si="65"/>
        <v>2023</v>
      </c>
      <c r="E505" s="4" t="str">
        <f t="shared" si="66"/>
        <v>Monday</v>
      </c>
      <c r="F505" s="4" t="str">
        <f t="shared" si="67"/>
        <v>September</v>
      </c>
      <c r="G505" s="4" t="str">
        <f t="shared" si="68"/>
        <v>2023</v>
      </c>
      <c r="H505" s="3">
        <v>45187</v>
      </c>
      <c r="I505" s="4" t="s">
        <v>519</v>
      </c>
      <c r="J505" s="4" t="s">
        <v>23</v>
      </c>
      <c r="K505" s="4" t="str" cm="1">
        <f t="array" ref="K505">_xlfn.IFS(L505&gt;50,"Senior", L505&gt;=30,"Adult", L505&lt;30,"Young Adult")</f>
        <v>Adult</v>
      </c>
      <c r="L505" s="4">
        <v>42</v>
      </c>
      <c r="M505" s="4" t="s">
        <v>21</v>
      </c>
      <c r="N505" s="4">
        <v>4</v>
      </c>
      <c r="O505" s="5">
        <v>50</v>
      </c>
      <c r="P505">
        <f t="shared" si="69"/>
        <v>200</v>
      </c>
      <c r="Q505" s="14">
        <f t="shared" si="70"/>
        <v>3</v>
      </c>
      <c r="R505" s="14">
        <f t="shared" si="71"/>
        <v>4</v>
      </c>
    </row>
    <row r="506" spans="1:18" x14ac:dyDescent="0.35">
      <c r="A506" s="2">
        <v>495</v>
      </c>
      <c r="B506" s="4">
        <f t="shared" si="63"/>
        <v>24</v>
      </c>
      <c r="C506" s="4">
        <f t="shared" si="64"/>
        <v>7</v>
      </c>
      <c r="D506" s="4">
        <f t="shared" si="65"/>
        <v>2023</v>
      </c>
      <c r="E506" s="4" t="str">
        <f t="shared" si="66"/>
        <v>Monday</v>
      </c>
      <c r="F506" s="4" t="str">
        <f t="shared" si="67"/>
        <v>July</v>
      </c>
      <c r="G506" s="4" t="str">
        <f t="shared" si="68"/>
        <v>2023</v>
      </c>
      <c r="H506" s="3">
        <v>45131</v>
      </c>
      <c r="I506" s="4" t="s">
        <v>520</v>
      </c>
      <c r="J506" s="4" t="s">
        <v>20</v>
      </c>
      <c r="K506" s="4" t="str" cm="1">
        <f t="array" ref="K506">_xlfn.IFS(L506&gt;50,"Senior", L506&gt;=30,"Adult", L506&lt;30,"Young Adult")</f>
        <v>Young Adult</v>
      </c>
      <c r="L506" s="4">
        <v>24</v>
      </c>
      <c r="M506" s="4" t="s">
        <v>21</v>
      </c>
      <c r="N506" s="4">
        <v>2</v>
      </c>
      <c r="O506" s="5">
        <v>30</v>
      </c>
      <c r="P506">
        <f t="shared" si="69"/>
        <v>60</v>
      </c>
      <c r="Q506" s="14">
        <f t="shared" si="70"/>
        <v>0.89999999999999991</v>
      </c>
      <c r="R506" s="14">
        <f t="shared" si="71"/>
        <v>1.2</v>
      </c>
    </row>
    <row r="507" spans="1:18" x14ac:dyDescent="0.35">
      <c r="A507" s="2">
        <v>496</v>
      </c>
      <c r="B507" s="4">
        <f t="shared" si="63"/>
        <v>14</v>
      </c>
      <c r="C507" s="4">
        <f t="shared" si="64"/>
        <v>12</v>
      </c>
      <c r="D507" s="4">
        <f t="shared" si="65"/>
        <v>2023</v>
      </c>
      <c r="E507" s="4" t="str">
        <f t="shared" si="66"/>
        <v>Thursday</v>
      </c>
      <c r="F507" s="4" t="str">
        <f t="shared" si="67"/>
        <v>December</v>
      </c>
      <c r="G507" s="4" t="str">
        <f t="shared" si="68"/>
        <v>2023</v>
      </c>
      <c r="H507" s="3">
        <v>45274</v>
      </c>
      <c r="I507" s="4" t="s">
        <v>521</v>
      </c>
      <c r="J507" s="4" t="s">
        <v>20</v>
      </c>
      <c r="K507" s="4" t="str" cm="1">
        <f t="array" ref="K507">_xlfn.IFS(L507&gt;50,"Senior", L507&gt;=30,"Adult", L507&lt;30,"Young Adult")</f>
        <v>Young Adult</v>
      </c>
      <c r="L507" s="4">
        <v>23</v>
      </c>
      <c r="M507" s="4" t="s">
        <v>24</v>
      </c>
      <c r="N507" s="4">
        <v>2</v>
      </c>
      <c r="O507" s="5">
        <v>300</v>
      </c>
      <c r="P507">
        <f t="shared" si="69"/>
        <v>600</v>
      </c>
      <c r="Q507" s="14">
        <f t="shared" si="70"/>
        <v>9</v>
      </c>
      <c r="R507" s="14">
        <f t="shared" si="71"/>
        <v>12</v>
      </c>
    </row>
    <row r="508" spans="1:18" x14ac:dyDescent="0.35">
      <c r="A508" s="2">
        <v>497</v>
      </c>
      <c r="B508" s="4">
        <f t="shared" si="63"/>
        <v>2</v>
      </c>
      <c r="C508" s="4">
        <f t="shared" si="64"/>
        <v>10</v>
      </c>
      <c r="D508" s="4">
        <f t="shared" si="65"/>
        <v>2023</v>
      </c>
      <c r="E508" s="4" t="str">
        <f t="shared" si="66"/>
        <v>Monday</v>
      </c>
      <c r="F508" s="4" t="str">
        <f t="shared" si="67"/>
        <v>October</v>
      </c>
      <c r="G508" s="4" t="str">
        <f t="shared" si="68"/>
        <v>2023</v>
      </c>
      <c r="H508" s="3">
        <v>45201</v>
      </c>
      <c r="I508" s="4" t="s">
        <v>522</v>
      </c>
      <c r="J508" s="4" t="s">
        <v>20</v>
      </c>
      <c r="K508" s="4" t="str" cm="1">
        <f t="array" ref="K508">_xlfn.IFS(L508&gt;50,"Senior", L508&gt;=30,"Adult", L508&lt;30,"Young Adult")</f>
        <v>Adult</v>
      </c>
      <c r="L508" s="4">
        <v>41</v>
      </c>
      <c r="M508" s="4" t="s">
        <v>24</v>
      </c>
      <c r="N508" s="4">
        <v>4</v>
      </c>
      <c r="O508" s="5">
        <v>30</v>
      </c>
      <c r="P508">
        <f t="shared" si="69"/>
        <v>120</v>
      </c>
      <c r="Q508" s="14">
        <f t="shared" si="70"/>
        <v>1.7999999999999998</v>
      </c>
      <c r="R508" s="14">
        <f t="shared" si="71"/>
        <v>2.4</v>
      </c>
    </row>
    <row r="509" spans="1:18" x14ac:dyDescent="0.35">
      <c r="A509" s="2">
        <v>498</v>
      </c>
      <c r="B509" s="4">
        <f t="shared" si="63"/>
        <v>19</v>
      </c>
      <c r="C509" s="4">
        <f t="shared" si="64"/>
        <v>6</v>
      </c>
      <c r="D509" s="4">
        <f t="shared" si="65"/>
        <v>2023</v>
      </c>
      <c r="E509" s="4" t="str">
        <f t="shared" si="66"/>
        <v>Monday</v>
      </c>
      <c r="F509" s="4" t="str">
        <f t="shared" si="67"/>
        <v>June</v>
      </c>
      <c r="G509" s="4" t="str">
        <f t="shared" si="68"/>
        <v>2023</v>
      </c>
      <c r="H509" s="3">
        <v>45096</v>
      </c>
      <c r="I509" s="4" t="s">
        <v>523</v>
      </c>
      <c r="J509" s="4" t="s">
        <v>23</v>
      </c>
      <c r="K509" s="4" t="str" cm="1">
        <f t="array" ref="K509">_xlfn.IFS(L509&gt;50,"Senior", L509&gt;=30,"Adult", L509&lt;30,"Young Adult")</f>
        <v>Adult</v>
      </c>
      <c r="L509" s="4">
        <v>50</v>
      </c>
      <c r="M509" s="4" t="s">
        <v>24</v>
      </c>
      <c r="N509" s="4">
        <v>4</v>
      </c>
      <c r="O509" s="5">
        <v>25</v>
      </c>
      <c r="P509">
        <f t="shared" si="69"/>
        <v>100</v>
      </c>
      <c r="Q509" s="14">
        <f t="shared" si="70"/>
        <v>1.5</v>
      </c>
      <c r="R509" s="14">
        <f t="shared" si="71"/>
        <v>2</v>
      </c>
    </row>
    <row r="510" spans="1:18" x14ac:dyDescent="0.35">
      <c r="A510" s="2">
        <v>499</v>
      </c>
      <c r="B510" s="4">
        <f t="shared" si="63"/>
        <v>15</v>
      </c>
      <c r="C510" s="4">
        <f t="shared" si="64"/>
        <v>1</v>
      </c>
      <c r="D510" s="4">
        <f t="shared" si="65"/>
        <v>2023</v>
      </c>
      <c r="E510" s="4" t="str">
        <f t="shared" si="66"/>
        <v>Sunday</v>
      </c>
      <c r="F510" s="4" t="str">
        <f t="shared" si="67"/>
        <v>January</v>
      </c>
      <c r="G510" s="4" t="str">
        <f t="shared" si="68"/>
        <v>2023</v>
      </c>
      <c r="H510" s="3">
        <v>44941</v>
      </c>
      <c r="I510" s="4" t="s">
        <v>524</v>
      </c>
      <c r="J510" s="4" t="s">
        <v>20</v>
      </c>
      <c r="K510" s="4" t="str" cm="1">
        <f t="array" ref="K510">_xlfn.IFS(L510&gt;50,"Senior", L510&gt;=30,"Adult", L510&lt;30,"Young Adult")</f>
        <v>Adult</v>
      </c>
      <c r="L510" s="4">
        <v>46</v>
      </c>
      <c r="M510" s="4" t="s">
        <v>21</v>
      </c>
      <c r="N510" s="4">
        <v>2</v>
      </c>
      <c r="O510" s="5">
        <v>30</v>
      </c>
      <c r="P510">
        <f t="shared" si="69"/>
        <v>60</v>
      </c>
      <c r="Q510" s="14">
        <f t="shared" si="70"/>
        <v>0.89999999999999991</v>
      </c>
      <c r="R510" s="14">
        <f t="shared" si="71"/>
        <v>1.2</v>
      </c>
    </row>
    <row r="511" spans="1:18" x14ac:dyDescent="0.35">
      <c r="A511" s="2">
        <v>500</v>
      </c>
      <c r="B511" s="4">
        <f t="shared" si="63"/>
        <v>1</v>
      </c>
      <c r="C511" s="4">
        <f t="shared" si="64"/>
        <v>3</v>
      </c>
      <c r="D511" s="4">
        <f t="shared" si="65"/>
        <v>2023</v>
      </c>
      <c r="E511" s="4" t="str">
        <f t="shared" si="66"/>
        <v>Wednesday</v>
      </c>
      <c r="F511" s="4" t="str">
        <f t="shared" si="67"/>
        <v>March</v>
      </c>
      <c r="G511" s="4" t="str">
        <f t="shared" si="68"/>
        <v>2023</v>
      </c>
      <c r="H511" s="3">
        <v>44986</v>
      </c>
      <c r="I511" s="4" t="s">
        <v>525</v>
      </c>
      <c r="J511" s="4" t="s">
        <v>23</v>
      </c>
      <c r="K511" s="4" t="str" cm="1">
        <f t="array" ref="K511">_xlfn.IFS(L511&gt;50,"Senior", L511&gt;=30,"Adult", L511&lt;30,"Young Adult")</f>
        <v>Senior</v>
      </c>
      <c r="L511" s="4">
        <v>60</v>
      </c>
      <c r="M511" s="4" t="s">
        <v>21</v>
      </c>
      <c r="N511" s="4">
        <v>4</v>
      </c>
      <c r="O511" s="5">
        <v>25</v>
      </c>
      <c r="P511">
        <f t="shared" si="69"/>
        <v>100</v>
      </c>
      <c r="Q511" s="14">
        <f t="shared" si="70"/>
        <v>1.5</v>
      </c>
      <c r="R511" s="14">
        <f t="shared" si="71"/>
        <v>2</v>
      </c>
    </row>
    <row r="512" spans="1:18" x14ac:dyDescent="0.35">
      <c r="A512" s="2">
        <v>501</v>
      </c>
      <c r="B512" s="4">
        <f t="shared" si="63"/>
        <v>14</v>
      </c>
      <c r="C512" s="4">
        <f t="shared" si="64"/>
        <v>5</v>
      </c>
      <c r="D512" s="4">
        <f t="shared" si="65"/>
        <v>2023</v>
      </c>
      <c r="E512" s="4" t="str">
        <f t="shared" si="66"/>
        <v>Sunday</v>
      </c>
      <c r="F512" s="4" t="str">
        <f t="shared" si="67"/>
        <v>May</v>
      </c>
      <c r="G512" s="4" t="str">
        <f t="shared" si="68"/>
        <v>2023</v>
      </c>
      <c r="H512" s="3">
        <v>45060</v>
      </c>
      <c r="I512" s="4" t="s">
        <v>526</v>
      </c>
      <c r="J512" s="4" t="s">
        <v>20</v>
      </c>
      <c r="K512" s="4" t="str" cm="1">
        <f t="array" ref="K512">_xlfn.IFS(L512&gt;50,"Senior", L512&gt;=30,"Adult", L512&lt;30,"Young Adult")</f>
        <v>Adult</v>
      </c>
      <c r="L512" s="4">
        <v>39</v>
      </c>
      <c r="M512" s="4" t="s">
        <v>26</v>
      </c>
      <c r="N512" s="4">
        <v>2</v>
      </c>
      <c r="O512" s="5">
        <v>30</v>
      </c>
      <c r="P512">
        <f t="shared" si="69"/>
        <v>60</v>
      </c>
      <c r="Q512" s="14">
        <f t="shared" si="70"/>
        <v>0.89999999999999991</v>
      </c>
      <c r="R512" s="14">
        <f t="shared" si="71"/>
        <v>1.2</v>
      </c>
    </row>
    <row r="513" spans="1:18" x14ac:dyDescent="0.35">
      <c r="A513" s="2">
        <v>502</v>
      </c>
      <c r="B513" s="4">
        <f t="shared" si="63"/>
        <v>2</v>
      </c>
      <c r="C513" s="4">
        <f t="shared" si="64"/>
        <v>4</v>
      </c>
      <c r="D513" s="4">
        <f t="shared" si="65"/>
        <v>2023</v>
      </c>
      <c r="E513" s="4" t="str">
        <f t="shared" si="66"/>
        <v>Sunday</v>
      </c>
      <c r="F513" s="4" t="str">
        <f t="shared" si="67"/>
        <v>April</v>
      </c>
      <c r="G513" s="4" t="str">
        <f t="shared" si="68"/>
        <v>2023</v>
      </c>
      <c r="H513" s="3">
        <v>45018</v>
      </c>
      <c r="I513" s="4" t="s">
        <v>527</v>
      </c>
      <c r="J513" s="4" t="s">
        <v>20</v>
      </c>
      <c r="K513" s="4" t="str" cm="1">
        <f t="array" ref="K513">_xlfn.IFS(L513&gt;50,"Senior", L513&gt;=30,"Adult", L513&lt;30,"Young Adult")</f>
        <v>Adult</v>
      </c>
      <c r="L513" s="4">
        <v>43</v>
      </c>
      <c r="M513" s="4" t="s">
        <v>26</v>
      </c>
      <c r="N513" s="4">
        <v>3</v>
      </c>
      <c r="O513" s="5">
        <v>50</v>
      </c>
      <c r="P513">
        <f t="shared" si="69"/>
        <v>150</v>
      </c>
      <c r="Q513" s="14">
        <f t="shared" si="70"/>
        <v>2.25</v>
      </c>
      <c r="R513" s="14">
        <f t="shared" si="71"/>
        <v>3</v>
      </c>
    </row>
    <row r="514" spans="1:18" x14ac:dyDescent="0.35">
      <c r="A514" s="2">
        <v>503</v>
      </c>
      <c r="B514" s="4">
        <f t="shared" si="63"/>
        <v>25</v>
      </c>
      <c r="C514" s="4">
        <f t="shared" si="64"/>
        <v>10</v>
      </c>
      <c r="D514" s="4">
        <f t="shared" si="65"/>
        <v>2023</v>
      </c>
      <c r="E514" s="4" t="str">
        <f t="shared" si="66"/>
        <v>Wednesday</v>
      </c>
      <c r="F514" s="4" t="str">
        <f t="shared" si="67"/>
        <v>October</v>
      </c>
      <c r="G514" s="4" t="str">
        <f t="shared" si="68"/>
        <v>2023</v>
      </c>
      <c r="H514" s="3">
        <v>45224</v>
      </c>
      <c r="I514" s="4" t="s">
        <v>528</v>
      </c>
      <c r="J514" s="4" t="s">
        <v>20</v>
      </c>
      <c r="K514" s="4" t="str" cm="1">
        <f t="array" ref="K514">_xlfn.IFS(L514&gt;50,"Senior", L514&gt;=30,"Adult", L514&lt;30,"Young Adult")</f>
        <v>Adult</v>
      </c>
      <c r="L514" s="4">
        <v>45</v>
      </c>
      <c r="M514" s="4" t="s">
        <v>21</v>
      </c>
      <c r="N514" s="4">
        <v>4</v>
      </c>
      <c r="O514" s="5">
        <v>500</v>
      </c>
      <c r="P514">
        <f t="shared" si="69"/>
        <v>2000</v>
      </c>
      <c r="Q514" s="14">
        <f t="shared" si="70"/>
        <v>30</v>
      </c>
      <c r="R514" s="14">
        <f t="shared" si="71"/>
        <v>40</v>
      </c>
    </row>
    <row r="515" spans="1:18" x14ac:dyDescent="0.35">
      <c r="A515" s="2">
        <v>504</v>
      </c>
      <c r="B515" s="4">
        <f t="shared" si="63"/>
        <v>16</v>
      </c>
      <c r="C515" s="4">
        <f t="shared" si="64"/>
        <v>5</v>
      </c>
      <c r="D515" s="4">
        <f t="shared" si="65"/>
        <v>2023</v>
      </c>
      <c r="E515" s="4" t="str">
        <f t="shared" si="66"/>
        <v>Tuesday</v>
      </c>
      <c r="F515" s="4" t="str">
        <f t="shared" si="67"/>
        <v>May</v>
      </c>
      <c r="G515" s="4" t="str">
        <f t="shared" si="68"/>
        <v>2023</v>
      </c>
      <c r="H515" s="3">
        <v>45062</v>
      </c>
      <c r="I515" s="4" t="s">
        <v>529</v>
      </c>
      <c r="J515" s="4" t="s">
        <v>23</v>
      </c>
      <c r="K515" s="4" t="str" cm="1">
        <f t="array" ref="K515">_xlfn.IFS(L515&gt;50,"Senior", L515&gt;=30,"Adult", L515&lt;30,"Young Adult")</f>
        <v>Adult</v>
      </c>
      <c r="L515" s="4">
        <v>38</v>
      </c>
      <c r="M515" s="4" t="s">
        <v>21</v>
      </c>
      <c r="N515" s="4">
        <v>3</v>
      </c>
      <c r="O515" s="5">
        <v>50</v>
      </c>
      <c r="P515">
        <f t="shared" si="69"/>
        <v>150</v>
      </c>
      <c r="Q515" s="14">
        <f t="shared" si="70"/>
        <v>2.25</v>
      </c>
      <c r="R515" s="14">
        <f t="shared" si="71"/>
        <v>3</v>
      </c>
    </row>
    <row r="516" spans="1:18" x14ac:dyDescent="0.35">
      <c r="A516" s="2">
        <v>505</v>
      </c>
      <c r="B516" s="4">
        <f t="shared" si="63"/>
        <v>20</v>
      </c>
      <c r="C516" s="4">
        <f t="shared" si="64"/>
        <v>1</v>
      </c>
      <c r="D516" s="4">
        <f t="shared" si="65"/>
        <v>2023</v>
      </c>
      <c r="E516" s="4" t="str">
        <f t="shared" si="66"/>
        <v>Friday</v>
      </c>
      <c r="F516" s="4" t="str">
        <f t="shared" si="67"/>
        <v>January</v>
      </c>
      <c r="G516" s="4" t="str">
        <f t="shared" si="68"/>
        <v>2023</v>
      </c>
      <c r="H516" s="3">
        <v>44946</v>
      </c>
      <c r="I516" s="4" t="s">
        <v>530</v>
      </c>
      <c r="J516" s="4" t="s">
        <v>20</v>
      </c>
      <c r="K516" s="4" t="str" cm="1">
        <f t="array" ref="K516">_xlfn.IFS(L516&gt;50,"Senior", L516&gt;=30,"Adult", L516&lt;30,"Young Adult")</f>
        <v>Young Adult</v>
      </c>
      <c r="L516" s="4">
        <v>24</v>
      </c>
      <c r="M516" s="4" t="s">
        <v>21</v>
      </c>
      <c r="N516" s="4">
        <v>1</v>
      </c>
      <c r="O516" s="5">
        <v>50</v>
      </c>
      <c r="P516">
        <f t="shared" si="69"/>
        <v>50</v>
      </c>
      <c r="Q516" s="14">
        <f t="shared" si="70"/>
        <v>0.75</v>
      </c>
      <c r="R516" s="14">
        <f t="shared" si="71"/>
        <v>1</v>
      </c>
    </row>
    <row r="517" spans="1:18" x14ac:dyDescent="0.35">
      <c r="A517" s="2">
        <v>506</v>
      </c>
      <c r="B517" s="4">
        <f t="shared" si="63"/>
        <v>25</v>
      </c>
      <c r="C517" s="4">
        <f t="shared" si="64"/>
        <v>2</v>
      </c>
      <c r="D517" s="4">
        <f t="shared" si="65"/>
        <v>2023</v>
      </c>
      <c r="E517" s="4" t="str">
        <f t="shared" si="66"/>
        <v>Saturday</v>
      </c>
      <c r="F517" s="4" t="str">
        <f t="shared" si="67"/>
        <v>February</v>
      </c>
      <c r="G517" s="4" t="str">
        <f t="shared" si="68"/>
        <v>2023</v>
      </c>
      <c r="H517" s="3">
        <v>44982</v>
      </c>
      <c r="I517" s="4" t="s">
        <v>531</v>
      </c>
      <c r="J517" s="4" t="s">
        <v>20</v>
      </c>
      <c r="K517" s="4" t="str" cm="1">
        <f t="array" ref="K517">_xlfn.IFS(L517&gt;50,"Senior", L517&gt;=30,"Adult", L517&lt;30,"Young Adult")</f>
        <v>Adult</v>
      </c>
      <c r="L517" s="4">
        <v>34</v>
      </c>
      <c r="M517" s="4" t="s">
        <v>21</v>
      </c>
      <c r="N517" s="4">
        <v>3</v>
      </c>
      <c r="O517" s="5">
        <v>500</v>
      </c>
      <c r="P517">
        <f t="shared" si="69"/>
        <v>1500</v>
      </c>
      <c r="Q517" s="14">
        <f t="shared" si="70"/>
        <v>22.5</v>
      </c>
      <c r="R517" s="14">
        <f t="shared" si="71"/>
        <v>30</v>
      </c>
    </row>
    <row r="518" spans="1:18" x14ac:dyDescent="0.35">
      <c r="A518" s="2">
        <v>507</v>
      </c>
      <c r="B518" s="4">
        <f t="shared" si="63"/>
        <v>2</v>
      </c>
      <c r="C518" s="4">
        <f t="shared" si="64"/>
        <v>11</v>
      </c>
      <c r="D518" s="4">
        <f t="shared" si="65"/>
        <v>2023</v>
      </c>
      <c r="E518" s="4" t="str">
        <f t="shared" si="66"/>
        <v>Thursday</v>
      </c>
      <c r="F518" s="4" t="str">
        <f t="shared" si="67"/>
        <v>November</v>
      </c>
      <c r="G518" s="4" t="str">
        <f t="shared" si="68"/>
        <v>2023</v>
      </c>
      <c r="H518" s="3">
        <v>45232</v>
      </c>
      <c r="I518" s="4" t="s">
        <v>532</v>
      </c>
      <c r="J518" s="4" t="s">
        <v>23</v>
      </c>
      <c r="K518" s="4" t="str" cm="1">
        <f t="array" ref="K518">_xlfn.IFS(L518&gt;50,"Senior", L518&gt;=30,"Adult", L518&lt;30,"Young Adult")</f>
        <v>Adult</v>
      </c>
      <c r="L518" s="4">
        <v>37</v>
      </c>
      <c r="M518" s="4" t="s">
        <v>26</v>
      </c>
      <c r="N518" s="4">
        <v>3</v>
      </c>
      <c r="O518" s="5">
        <v>500</v>
      </c>
      <c r="P518">
        <f t="shared" si="69"/>
        <v>1500</v>
      </c>
      <c r="Q518" s="14">
        <f t="shared" si="70"/>
        <v>22.5</v>
      </c>
      <c r="R518" s="14">
        <f t="shared" si="71"/>
        <v>30</v>
      </c>
    </row>
    <row r="519" spans="1:18" x14ac:dyDescent="0.35">
      <c r="A519" s="2">
        <v>508</v>
      </c>
      <c r="B519" s="4">
        <f t="shared" si="63"/>
        <v>11</v>
      </c>
      <c r="C519" s="4">
        <f t="shared" si="64"/>
        <v>8</v>
      </c>
      <c r="D519" s="4">
        <f t="shared" si="65"/>
        <v>2023</v>
      </c>
      <c r="E519" s="4" t="str">
        <f t="shared" si="66"/>
        <v>Friday</v>
      </c>
      <c r="F519" s="4" t="str">
        <f t="shared" si="67"/>
        <v>August</v>
      </c>
      <c r="G519" s="4" t="str">
        <f t="shared" si="68"/>
        <v>2023</v>
      </c>
      <c r="H519" s="3">
        <v>45149</v>
      </c>
      <c r="I519" s="4" t="s">
        <v>533</v>
      </c>
      <c r="J519" s="4" t="s">
        <v>20</v>
      </c>
      <c r="K519" s="4" t="str" cm="1">
        <f t="array" ref="K519">_xlfn.IFS(L519&gt;50,"Senior", L519&gt;=30,"Adult", L519&lt;30,"Young Adult")</f>
        <v>Senior</v>
      </c>
      <c r="L519" s="4">
        <v>58</v>
      </c>
      <c r="M519" s="4" t="s">
        <v>21</v>
      </c>
      <c r="N519" s="4">
        <v>2</v>
      </c>
      <c r="O519" s="5">
        <v>300</v>
      </c>
      <c r="P519">
        <f t="shared" si="69"/>
        <v>600</v>
      </c>
      <c r="Q519" s="14">
        <f t="shared" si="70"/>
        <v>9</v>
      </c>
      <c r="R519" s="14">
        <f t="shared" si="71"/>
        <v>12</v>
      </c>
    </row>
    <row r="520" spans="1:18" x14ac:dyDescent="0.35">
      <c r="A520" s="2">
        <v>509</v>
      </c>
      <c r="B520" s="4">
        <f t="shared" si="63"/>
        <v>26</v>
      </c>
      <c r="C520" s="4">
        <f t="shared" si="64"/>
        <v>6</v>
      </c>
      <c r="D520" s="4">
        <f t="shared" si="65"/>
        <v>2023</v>
      </c>
      <c r="E520" s="4" t="str">
        <f t="shared" si="66"/>
        <v>Monday</v>
      </c>
      <c r="F520" s="4" t="str">
        <f t="shared" si="67"/>
        <v>June</v>
      </c>
      <c r="G520" s="4" t="str">
        <f t="shared" si="68"/>
        <v>2023</v>
      </c>
      <c r="H520" s="3">
        <v>45103</v>
      </c>
      <c r="I520" s="4" t="s">
        <v>534</v>
      </c>
      <c r="J520" s="4" t="s">
        <v>23</v>
      </c>
      <c r="K520" s="4" t="str" cm="1">
        <f t="array" ref="K520">_xlfn.IFS(L520&gt;50,"Senior", L520&gt;=30,"Adult", L520&lt;30,"Young Adult")</f>
        <v>Adult</v>
      </c>
      <c r="L520" s="4">
        <v>37</v>
      </c>
      <c r="M520" s="4" t="s">
        <v>26</v>
      </c>
      <c r="N520" s="4">
        <v>3</v>
      </c>
      <c r="O520" s="5">
        <v>300</v>
      </c>
      <c r="P520">
        <f t="shared" si="69"/>
        <v>900</v>
      </c>
      <c r="Q520" s="14">
        <f t="shared" si="70"/>
        <v>13.5</v>
      </c>
      <c r="R520" s="14">
        <f t="shared" si="71"/>
        <v>18</v>
      </c>
    </row>
    <row r="521" spans="1:18" x14ac:dyDescent="0.35">
      <c r="A521" s="2">
        <v>510</v>
      </c>
      <c r="B521" s="4">
        <f t="shared" si="63"/>
        <v>10</v>
      </c>
      <c r="C521" s="4">
        <f t="shared" si="64"/>
        <v>6</v>
      </c>
      <c r="D521" s="4">
        <f t="shared" si="65"/>
        <v>2023</v>
      </c>
      <c r="E521" s="4" t="str">
        <f t="shared" si="66"/>
        <v>Saturday</v>
      </c>
      <c r="F521" s="4" t="str">
        <f t="shared" si="67"/>
        <v>June</v>
      </c>
      <c r="G521" s="4" t="str">
        <f t="shared" si="68"/>
        <v>2023</v>
      </c>
      <c r="H521" s="3">
        <v>45087</v>
      </c>
      <c r="I521" s="4" t="s">
        <v>535</v>
      </c>
      <c r="J521" s="4" t="s">
        <v>23</v>
      </c>
      <c r="K521" s="4" t="str" cm="1">
        <f t="array" ref="K521">_xlfn.IFS(L521&gt;50,"Senior", L521&gt;=30,"Adult", L521&lt;30,"Young Adult")</f>
        <v>Adult</v>
      </c>
      <c r="L521" s="4">
        <v>39</v>
      </c>
      <c r="M521" s="4" t="s">
        <v>21</v>
      </c>
      <c r="N521" s="4">
        <v>4</v>
      </c>
      <c r="O521" s="5">
        <v>50</v>
      </c>
      <c r="P521">
        <f t="shared" si="69"/>
        <v>200</v>
      </c>
      <c r="Q521" s="14">
        <f t="shared" si="70"/>
        <v>3</v>
      </c>
      <c r="R521" s="14">
        <f t="shared" si="71"/>
        <v>4</v>
      </c>
    </row>
    <row r="522" spans="1:18" x14ac:dyDescent="0.35">
      <c r="A522" s="2">
        <v>511</v>
      </c>
      <c r="B522" s="4">
        <f t="shared" si="63"/>
        <v>12</v>
      </c>
      <c r="C522" s="4">
        <f t="shared" si="64"/>
        <v>8</v>
      </c>
      <c r="D522" s="4">
        <f t="shared" si="65"/>
        <v>2023</v>
      </c>
      <c r="E522" s="4" t="str">
        <f t="shared" si="66"/>
        <v>Saturday</v>
      </c>
      <c r="F522" s="4" t="str">
        <f t="shared" si="67"/>
        <v>August</v>
      </c>
      <c r="G522" s="4" t="str">
        <f t="shared" si="68"/>
        <v>2023</v>
      </c>
      <c r="H522" s="3">
        <v>45150</v>
      </c>
      <c r="I522" s="4" t="s">
        <v>536</v>
      </c>
      <c r="J522" s="4" t="s">
        <v>20</v>
      </c>
      <c r="K522" s="4" t="str" cm="1">
        <f t="array" ref="K522">_xlfn.IFS(L522&gt;50,"Senior", L522&gt;=30,"Adult", L522&lt;30,"Young Adult")</f>
        <v>Adult</v>
      </c>
      <c r="L522" s="4">
        <v>45</v>
      </c>
      <c r="M522" s="4" t="s">
        <v>21</v>
      </c>
      <c r="N522" s="4">
        <v>2</v>
      </c>
      <c r="O522" s="5">
        <v>50</v>
      </c>
      <c r="P522">
        <f t="shared" si="69"/>
        <v>100</v>
      </c>
      <c r="Q522" s="14">
        <f t="shared" si="70"/>
        <v>1.5</v>
      </c>
      <c r="R522" s="14">
        <f t="shared" si="71"/>
        <v>2</v>
      </c>
    </row>
    <row r="523" spans="1:18" x14ac:dyDescent="0.35">
      <c r="A523" s="2">
        <v>512</v>
      </c>
      <c r="B523" s="4">
        <f t="shared" si="63"/>
        <v>7</v>
      </c>
      <c r="C523" s="4">
        <f t="shared" si="64"/>
        <v>11</v>
      </c>
      <c r="D523" s="4">
        <f t="shared" si="65"/>
        <v>2023</v>
      </c>
      <c r="E523" s="4" t="str">
        <f t="shared" si="66"/>
        <v>Tuesday</v>
      </c>
      <c r="F523" s="4" t="str">
        <f t="shared" si="67"/>
        <v>November</v>
      </c>
      <c r="G523" s="4" t="str">
        <f t="shared" si="68"/>
        <v>2023</v>
      </c>
      <c r="H523" s="3">
        <v>45237</v>
      </c>
      <c r="I523" s="4" t="s">
        <v>537</v>
      </c>
      <c r="J523" s="4" t="s">
        <v>23</v>
      </c>
      <c r="K523" s="4" t="str" cm="1">
        <f t="array" ref="K523">_xlfn.IFS(L523&gt;50,"Senior", L523&gt;=30,"Adult", L523&lt;30,"Young Adult")</f>
        <v>Senior</v>
      </c>
      <c r="L523" s="4">
        <v>57</v>
      </c>
      <c r="M523" s="4" t="s">
        <v>21</v>
      </c>
      <c r="N523" s="4">
        <v>1</v>
      </c>
      <c r="O523" s="5">
        <v>25</v>
      </c>
      <c r="P523">
        <f t="shared" si="69"/>
        <v>25</v>
      </c>
      <c r="Q523" s="14">
        <f t="shared" si="70"/>
        <v>0.375</v>
      </c>
      <c r="R523" s="14">
        <f t="shared" si="71"/>
        <v>0.5</v>
      </c>
    </row>
    <row r="524" spans="1:18" x14ac:dyDescent="0.35">
      <c r="A524" s="2">
        <v>513</v>
      </c>
      <c r="B524" s="4">
        <f t="shared" ref="B524:B587" si="72">DAY(H524)</f>
        <v>19</v>
      </c>
      <c r="C524" s="4">
        <f t="shared" ref="C524:C587" si="73">MONTH(H524)</f>
        <v>9</v>
      </c>
      <c r="D524" s="4">
        <f t="shared" ref="D524:D587" si="74">YEAR(H524)</f>
        <v>2023</v>
      </c>
      <c r="E524" s="4" t="str">
        <f t="shared" ref="E524:E587" si="75">TEXT(H524,"DDDD")</f>
        <v>Tuesday</v>
      </c>
      <c r="F524" s="4" t="str">
        <f t="shared" ref="F524:F587" si="76">TEXT(H524,"MMMM")</f>
        <v>September</v>
      </c>
      <c r="G524" s="4" t="str">
        <f t="shared" ref="G524:G587" si="77">TEXT(H524,"YYYY")</f>
        <v>2023</v>
      </c>
      <c r="H524" s="3">
        <v>45188</v>
      </c>
      <c r="I524" s="4" t="s">
        <v>538</v>
      </c>
      <c r="J524" s="4" t="s">
        <v>20</v>
      </c>
      <c r="K524" s="4" t="str" cm="1">
        <f t="array" ref="K524">_xlfn.IFS(L524&gt;50,"Senior", L524&gt;=30,"Adult", L524&lt;30,"Young Adult")</f>
        <v>Young Adult</v>
      </c>
      <c r="L524" s="4">
        <v>24</v>
      </c>
      <c r="M524" s="4" t="s">
        <v>26</v>
      </c>
      <c r="N524" s="4">
        <v>4</v>
      </c>
      <c r="O524" s="5">
        <v>25</v>
      </c>
      <c r="P524">
        <f t="shared" ref="P524:P587" si="78">O524*N524</f>
        <v>100</v>
      </c>
      <c r="Q524" s="14">
        <f t="shared" si="70"/>
        <v>1.5</v>
      </c>
      <c r="R524" s="14">
        <f t="shared" si="71"/>
        <v>2</v>
      </c>
    </row>
    <row r="525" spans="1:18" x14ac:dyDescent="0.35">
      <c r="A525" s="2">
        <v>514</v>
      </c>
      <c r="B525" s="4">
        <f t="shared" si="72"/>
        <v>1</v>
      </c>
      <c r="C525" s="4">
        <f t="shared" si="73"/>
        <v>3</v>
      </c>
      <c r="D525" s="4">
        <f t="shared" si="74"/>
        <v>2023</v>
      </c>
      <c r="E525" s="4" t="str">
        <f t="shared" si="75"/>
        <v>Wednesday</v>
      </c>
      <c r="F525" s="4" t="str">
        <f t="shared" si="76"/>
        <v>March</v>
      </c>
      <c r="G525" s="4" t="str">
        <f t="shared" si="77"/>
        <v>2023</v>
      </c>
      <c r="H525" s="3">
        <v>44986</v>
      </c>
      <c r="I525" s="4" t="s">
        <v>539</v>
      </c>
      <c r="J525" s="4" t="s">
        <v>23</v>
      </c>
      <c r="K525" s="4" t="str" cm="1">
        <f t="array" ref="K525">_xlfn.IFS(L525&gt;50,"Senior", L525&gt;=30,"Adult", L525&lt;30,"Young Adult")</f>
        <v>Young Adult</v>
      </c>
      <c r="L525" s="4">
        <v>18</v>
      </c>
      <c r="M525" s="4" t="s">
        <v>26</v>
      </c>
      <c r="N525" s="4">
        <v>1</v>
      </c>
      <c r="O525" s="5">
        <v>300</v>
      </c>
      <c r="P525">
        <f t="shared" si="78"/>
        <v>300</v>
      </c>
      <c r="Q525" s="14">
        <f t="shared" ref="Q525:Q530" si="79">P525*$I$4</f>
        <v>4.5</v>
      </c>
      <c r="R525" s="14">
        <f t="shared" ref="R525:R530" si="80">P525*$I$5</f>
        <v>6</v>
      </c>
    </row>
    <row r="526" spans="1:18" x14ac:dyDescent="0.35">
      <c r="A526" s="2">
        <v>515</v>
      </c>
      <c r="B526" s="4">
        <f t="shared" si="72"/>
        <v>17</v>
      </c>
      <c r="C526" s="4">
        <f t="shared" si="73"/>
        <v>7</v>
      </c>
      <c r="D526" s="4">
        <f t="shared" si="74"/>
        <v>2023</v>
      </c>
      <c r="E526" s="4" t="str">
        <f t="shared" si="75"/>
        <v>Monday</v>
      </c>
      <c r="F526" s="4" t="str">
        <f t="shared" si="76"/>
        <v>July</v>
      </c>
      <c r="G526" s="4" t="str">
        <f t="shared" si="77"/>
        <v>2023</v>
      </c>
      <c r="H526" s="3">
        <v>45124</v>
      </c>
      <c r="I526" s="4" t="s">
        <v>540</v>
      </c>
      <c r="J526" s="4" t="s">
        <v>23</v>
      </c>
      <c r="K526" s="4" t="str" cm="1">
        <f t="array" ref="K526">_xlfn.IFS(L526&gt;50,"Senior", L526&gt;=30,"Adult", L526&lt;30,"Young Adult")</f>
        <v>Adult</v>
      </c>
      <c r="L526" s="4">
        <v>49</v>
      </c>
      <c r="M526" s="4" t="s">
        <v>24</v>
      </c>
      <c r="N526" s="4">
        <v>3</v>
      </c>
      <c r="O526" s="5">
        <v>300</v>
      </c>
      <c r="P526">
        <f t="shared" si="78"/>
        <v>900</v>
      </c>
      <c r="Q526" s="14">
        <f t="shared" si="79"/>
        <v>13.5</v>
      </c>
      <c r="R526" s="14">
        <f t="shared" si="80"/>
        <v>18</v>
      </c>
    </row>
    <row r="527" spans="1:18" x14ac:dyDescent="0.35">
      <c r="A527" s="2">
        <v>516</v>
      </c>
      <c r="B527" s="4">
        <f t="shared" si="72"/>
        <v>23</v>
      </c>
      <c r="C527" s="4">
        <f t="shared" si="73"/>
        <v>10</v>
      </c>
      <c r="D527" s="4">
        <f t="shared" si="74"/>
        <v>2023</v>
      </c>
      <c r="E527" s="4" t="str">
        <f t="shared" si="75"/>
        <v>Monday</v>
      </c>
      <c r="F527" s="4" t="str">
        <f t="shared" si="76"/>
        <v>October</v>
      </c>
      <c r="G527" s="4" t="str">
        <f t="shared" si="77"/>
        <v>2023</v>
      </c>
      <c r="H527" s="3">
        <v>45222</v>
      </c>
      <c r="I527" s="4" t="s">
        <v>541</v>
      </c>
      <c r="J527" s="4" t="s">
        <v>20</v>
      </c>
      <c r="K527" s="4" t="str" cm="1">
        <f t="array" ref="K527">_xlfn.IFS(L527&gt;50,"Senior", L527&gt;=30,"Adult", L527&lt;30,"Young Adult")</f>
        <v>Adult</v>
      </c>
      <c r="L527" s="4">
        <v>30</v>
      </c>
      <c r="M527" s="4" t="s">
        <v>21</v>
      </c>
      <c r="N527" s="4">
        <v>4</v>
      </c>
      <c r="O527" s="5">
        <v>25</v>
      </c>
      <c r="P527">
        <f t="shared" si="78"/>
        <v>100</v>
      </c>
      <c r="Q527" s="14">
        <f t="shared" si="79"/>
        <v>1.5</v>
      </c>
      <c r="R527" s="14">
        <f t="shared" si="80"/>
        <v>2</v>
      </c>
    </row>
    <row r="528" spans="1:18" x14ac:dyDescent="0.35">
      <c r="A528" s="2">
        <v>517</v>
      </c>
      <c r="B528" s="4">
        <f t="shared" si="72"/>
        <v>8</v>
      </c>
      <c r="C528" s="4">
        <f t="shared" si="73"/>
        <v>4</v>
      </c>
      <c r="D528" s="4">
        <f t="shared" si="74"/>
        <v>2023</v>
      </c>
      <c r="E528" s="4" t="str">
        <f t="shared" si="75"/>
        <v>Saturday</v>
      </c>
      <c r="F528" s="4" t="str">
        <f t="shared" si="76"/>
        <v>April</v>
      </c>
      <c r="G528" s="4" t="str">
        <f t="shared" si="77"/>
        <v>2023</v>
      </c>
      <c r="H528" s="3">
        <v>45024</v>
      </c>
      <c r="I528" s="4" t="s">
        <v>542</v>
      </c>
      <c r="J528" s="4" t="s">
        <v>23</v>
      </c>
      <c r="K528" s="4" t="str" cm="1">
        <f t="array" ref="K528">_xlfn.IFS(L528&gt;50,"Senior", L528&gt;=30,"Adult", L528&lt;30,"Young Adult")</f>
        <v>Adult</v>
      </c>
      <c r="L528" s="4">
        <v>47</v>
      </c>
      <c r="M528" s="4" t="s">
        <v>24</v>
      </c>
      <c r="N528" s="4">
        <v>4</v>
      </c>
      <c r="O528" s="5">
        <v>25</v>
      </c>
      <c r="P528">
        <f t="shared" si="78"/>
        <v>100</v>
      </c>
      <c r="Q528" s="14">
        <f t="shared" si="79"/>
        <v>1.5</v>
      </c>
      <c r="R528" s="14">
        <f t="shared" si="80"/>
        <v>2</v>
      </c>
    </row>
    <row r="529" spans="1:18" x14ac:dyDescent="0.35">
      <c r="A529" s="2">
        <v>518</v>
      </c>
      <c r="B529" s="4">
        <f t="shared" si="72"/>
        <v>11</v>
      </c>
      <c r="C529" s="4">
        <f t="shared" si="73"/>
        <v>5</v>
      </c>
      <c r="D529" s="4">
        <f t="shared" si="74"/>
        <v>2023</v>
      </c>
      <c r="E529" s="4" t="str">
        <f t="shared" si="75"/>
        <v>Thursday</v>
      </c>
      <c r="F529" s="4" t="str">
        <f t="shared" si="76"/>
        <v>May</v>
      </c>
      <c r="G529" s="4" t="str">
        <f t="shared" si="77"/>
        <v>2023</v>
      </c>
      <c r="H529" s="3">
        <v>45057</v>
      </c>
      <c r="I529" s="4" t="s">
        <v>543</v>
      </c>
      <c r="J529" s="4" t="s">
        <v>23</v>
      </c>
      <c r="K529" s="4" t="str" cm="1">
        <f t="array" ref="K529">_xlfn.IFS(L529&gt;50,"Senior", L529&gt;=30,"Adult", L529&lt;30,"Young Adult")</f>
        <v>Adult</v>
      </c>
      <c r="L529" s="4">
        <v>40</v>
      </c>
      <c r="M529" s="4" t="s">
        <v>24</v>
      </c>
      <c r="N529" s="4">
        <v>1</v>
      </c>
      <c r="O529" s="5">
        <v>30</v>
      </c>
      <c r="P529">
        <f t="shared" si="78"/>
        <v>30</v>
      </c>
      <c r="Q529" s="14">
        <f t="shared" si="79"/>
        <v>0.44999999999999996</v>
      </c>
      <c r="R529" s="14">
        <f t="shared" si="80"/>
        <v>0.6</v>
      </c>
    </row>
    <row r="530" spans="1:18" x14ac:dyDescent="0.35">
      <c r="A530" s="2">
        <v>519</v>
      </c>
      <c r="B530" s="4">
        <f t="shared" si="72"/>
        <v>23</v>
      </c>
      <c r="C530" s="4">
        <f t="shared" si="73"/>
        <v>1</v>
      </c>
      <c r="D530" s="4">
        <f t="shared" si="74"/>
        <v>2023</v>
      </c>
      <c r="E530" s="4" t="str">
        <f t="shared" si="75"/>
        <v>Monday</v>
      </c>
      <c r="F530" s="4" t="str">
        <f t="shared" si="76"/>
        <v>January</v>
      </c>
      <c r="G530" s="4" t="str">
        <f t="shared" si="77"/>
        <v>2023</v>
      </c>
      <c r="H530" s="3">
        <v>44949</v>
      </c>
      <c r="I530" s="4" t="s">
        <v>544</v>
      </c>
      <c r="J530" s="4" t="s">
        <v>23</v>
      </c>
      <c r="K530" s="4" t="str" cm="1">
        <f t="array" ref="K530">_xlfn.IFS(L530&gt;50,"Senior", L530&gt;=30,"Adult", L530&lt;30,"Young Adult")</f>
        <v>Adult</v>
      </c>
      <c r="L530" s="4">
        <v>36</v>
      </c>
      <c r="M530" s="4" t="s">
        <v>26</v>
      </c>
      <c r="N530" s="4">
        <v>4</v>
      </c>
      <c r="O530" s="5">
        <v>30</v>
      </c>
      <c r="P530">
        <f t="shared" si="78"/>
        <v>120</v>
      </c>
      <c r="Q530" s="14">
        <f t="shared" si="79"/>
        <v>1.7999999999999998</v>
      </c>
      <c r="R530" s="14">
        <f t="shared" si="80"/>
        <v>2.4</v>
      </c>
    </row>
    <row r="531" spans="1:18" x14ac:dyDescent="0.35">
      <c r="A531" s="2">
        <v>520</v>
      </c>
      <c r="B531" s="4">
        <f t="shared" si="72"/>
        <v>29</v>
      </c>
      <c r="C531" s="4">
        <f t="shared" si="73"/>
        <v>12</v>
      </c>
      <c r="D531" s="4">
        <f t="shared" si="74"/>
        <v>2023</v>
      </c>
      <c r="E531" s="4" t="str">
        <f t="shared" si="75"/>
        <v>Friday</v>
      </c>
      <c r="F531" s="4" t="str">
        <f t="shared" si="76"/>
        <v>December</v>
      </c>
      <c r="G531" s="4" t="str">
        <f t="shared" si="77"/>
        <v>2023</v>
      </c>
      <c r="H531" s="3">
        <v>45289</v>
      </c>
      <c r="I531" s="4" t="s">
        <v>545</v>
      </c>
      <c r="J531" s="4" t="s">
        <v>23</v>
      </c>
      <c r="K531" s="4" t="str" cm="1">
        <f t="array" ref="K531">_xlfn.IFS(L531&gt;50,"Senior", L531&gt;=30,"Adult", L531&lt;30,"Young Adult")</f>
        <v>Adult</v>
      </c>
      <c r="L531" s="4">
        <v>49</v>
      </c>
      <c r="M531" s="4" t="s">
        <v>26</v>
      </c>
      <c r="N531" s="4">
        <v>4</v>
      </c>
      <c r="O531" s="5">
        <v>25</v>
      </c>
      <c r="P531">
        <f t="shared" si="78"/>
        <v>100</v>
      </c>
      <c r="Q531" s="14" t="e">
        <f>P531*#REF!</f>
        <v>#REF!</v>
      </c>
      <c r="R531" s="14" t="e">
        <f>P531*#REF!</f>
        <v>#REF!</v>
      </c>
    </row>
    <row r="532" spans="1:18" x14ac:dyDescent="0.35">
      <c r="A532" s="2">
        <v>521</v>
      </c>
      <c r="B532" s="4">
        <f t="shared" si="72"/>
        <v>12</v>
      </c>
      <c r="C532" s="4">
        <f t="shared" si="73"/>
        <v>8</v>
      </c>
      <c r="D532" s="4">
        <f t="shared" si="74"/>
        <v>2023</v>
      </c>
      <c r="E532" s="4" t="str">
        <f t="shared" si="75"/>
        <v>Saturday</v>
      </c>
      <c r="F532" s="4" t="str">
        <f t="shared" si="76"/>
        <v>August</v>
      </c>
      <c r="G532" s="4" t="str">
        <f t="shared" si="77"/>
        <v>2023</v>
      </c>
      <c r="H532" s="3">
        <v>45150</v>
      </c>
      <c r="I532" s="4" t="s">
        <v>546</v>
      </c>
      <c r="J532" s="4" t="s">
        <v>23</v>
      </c>
      <c r="K532" s="4" t="str" cm="1">
        <f t="array" ref="K532">_xlfn.IFS(L532&gt;50,"Senior", L532&gt;=30,"Adult", L532&lt;30,"Young Adult")</f>
        <v>Adult</v>
      </c>
      <c r="L532" s="4">
        <v>47</v>
      </c>
      <c r="M532" s="4" t="s">
        <v>24</v>
      </c>
      <c r="N532" s="4">
        <v>4</v>
      </c>
      <c r="O532" s="5">
        <v>30</v>
      </c>
      <c r="P532">
        <f t="shared" si="78"/>
        <v>120</v>
      </c>
      <c r="Q532" s="14" t="e">
        <f>P532*#REF!</f>
        <v>#REF!</v>
      </c>
      <c r="R532" s="14" t="e">
        <f>P532*#REF!</f>
        <v>#REF!</v>
      </c>
    </row>
    <row r="533" spans="1:18" x14ac:dyDescent="0.35">
      <c r="A533" s="2">
        <v>522</v>
      </c>
      <c r="B533" s="4">
        <f t="shared" si="72"/>
        <v>1</v>
      </c>
      <c r="C533" s="4">
        <f t="shared" si="73"/>
        <v>1</v>
      </c>
      <c r="D533" s="4">
        <f t="shared" si="74"/>
        <v>2023</v>
      </c>
      <c r="E533" s="4" t="str">
        <f t="shared" si="75"/>
        <v>Sunday</v>
      </c>
      <c r="F533" s="4" t="str">
        <f t="shared" si="76"/>
        <v>January</v>
      </c>
      <c r="G533" s="4" t="str">
        <f t="shared" si="77"/>
        <v>2023</v>
      </c>
      <c r="H533" s="3">
        <v>44927</v>
      </c>
      <c r="I533" s="4" t="s">
        <v>547</v>
      </c>
      <c r="J533" s="4" t="s">
        <v>20</v>
      </c>
      <c r="K533" s="4" t="str" cm="1">
        <f t="array" ref="K533">_xlfn.IFS(L533&gt;50,"Senior", L533&gt;=30,"Adult", L533&lt;30,"Young Adult")</f>
        <v>Adult</v>
      </c>
      <c r="L533" s="4">
        <v>46</v>
      </c>
      <c r="M533" s="4" t="s">
        <v>21</v>
      </c>
      <c r="N533" s="4">
        <v>3</v>
      </c>
      <c r="O533" s="5">
        <v>500</v>
      </c>
      <c r="P533">
        <f t="shared" si="78"/>
        <v>1500</v>
      </c>
      <c r="Q533" s="14">
        <f>P533*$I$4</f>
        <v>22.5</v>
      </c>
      <c r="R533" s="14">
        <f>P533*$I$5</f>
        <v>30</v>
      </c>
    </row>
    <row r="534" spans="1:18" x14ac:dyDescent="0.35">
      <c r="A534" s="2">
        <v>523</v>
      </c>
      <c r="B534" s="4">
        <f t="shared" si="72"/>
        <v>24</v>
      </c>
      <c r="C534" s="4">
        <f t="shared" si="73"/>
        <v>9</v>
      </c>
      <c r="D534" s="4">
        <f t="shared" si="74"/>
        <v>2023</v>
      </c>
      <c r="E534" s="4" t="str">
        <f t="shared" si="75"/>
        <v>Sunday</v>
      </c>
      <c r="F534" s="4" t="str">
        <f t="shared" si="76"/>
        <v>September</v>
      </c>
      <c r="G534" s="4" t="str">
        <f t="shared" si="77"/>
        <v>2023</v>
      </c>
      <c r="H534" s="3">
        <v>45193</v>
      </c>
      <c r="I534" s="4" t="s">
        <v>548</v>
      </c>
      <c r="J534" s="4" t="s">
        <v>23</v>
      </c>
      <c r="K534" s="4" t="str" cm="1">
        <f t="array" ref="K534">_xlfn.IFS(L534&gt;50,"Senior", L534&gt;=30,"Adult", L534&lt;30,"Young Adult")</f>
        <v>Senior</v>
      </c>
      <c r="L534" s="4">
        <v>62</v>
      </c>
      <c r="M534" s="4" t="s">
        <v>26</v>
      </c>
      <c r="N534" s="4">
        <v>1</v>
      </c>
      <c r="O534" s="5">
        <v>300</v>
      </c>
      <c r="P534">
        <f t="shared" si="78"/>
        <v>300</v>
      </c>
      <c r="Q534" s="14" t="e">
        <f>P534*#REF!</f>
        <v>#REF!</v>
      </c>
      <c r="R534" s="14" t="e">
        <f>P534*#REF!</f>
        <v>#REF!</v>
      </c>
    </row>
    <row r="535" spans="1:18" x14ac:dyDescent="0.35">
      <c r="A535" s="2">
        <v>524</v>
      </c>
      <c r="B535" s="4">
        <f t="shared" si="72"/>
        <v>3</v>
      </c>
      <c r="C535" s="4">
        <f t="shared" si="73"/>
        <v>10</v>
      </c>
      <c r="D535" s="4">
        <f t="shared" si="74"/>
        <v>2023</v>
      </c>
      <c r="E535" s="4" t="str">
        <f t="shared" si="75"/>
        <v>Tuesday</v>
      </c>
      <c r="F535" s="4" t="str">
        <f t="shared" si="76"/>
        <v>October</v>
      </c>
      <c r="G535" s="4" t="str">
        <f t="shared" si="77"/>
        <v>2023</v>
      </c>
      <c r="H535" s="3">
        <v>45202</v>
      </c>
      <c r="I535" s="4" t="s">
        <v>549</v>
      </c>
      <c r="J535" s="4" t="s">
        <v>20</v>
      </c>
      <c r="K535" s="4" t="str" cm="1">
        <f t="array" ref="K535">_xlfn.IFS(L535&gt;50,"Senior", L535&gt;=30,"Adult", L535&lt;30,"Young Adult")</f>
        <v>Adult</v>
      </c>
      <c r="L535" s="4">
        <v>46</v>
      </c>
      <c r="M535" s="4" t="s">
        <v>21</v>
      </c>
      <c r="N535" s="4">
        <v>4</v>
      </c>
      <c r="O535" s="5">
        <v>300</v>
      </c>
      <c r="P535">
        <f t="shared" si="78"/>
        <v>1200</v>
      </c>
      <c r="Q535" s="14">
        <f t="shared" ref="Q535:Q536" si="81">P535*$I$4</f>
        <v>18</v>
      </c>
      <c r="R535" s="14">
        <f t="shared" ref="R535:R536" si="82">P535*$I$5</f>
        <v>24</v>
      </c>
    </row>
    <row r="536" spans="1:18" x14ac:dyDescent="0.35">
      <c r="A536" s="2">
        <v>525</v>
      </c>
      <c r="B536" s="4">
        <f t="shared" si="72"/>
        <v>18</v>
      </c>
      <c r="C536" s="4">
        <f t="shared" si="73"/>
        <v>12</v>
      </c>
      <c r="D536" s="4">
        <f t="shared" si="74"/>
        <v>2023</v>
      </c>
      <c r="E536" s="4" t="str">
        <f t="shared" si="75"/>
        <v>Monday</v>
      </c>
      <c r="F536" s="4" t="str">
        <f t="shared" si="76"/>
        <v>December</v>
      </c>
      <c r="G536" s="4" t="str">
        <f t="shared" si="77"/>
        <v>2023</v>
      </c>
      <c r="H536" s="3">
        <v>45278</v>
      </c>
      <c r="I536" s="4" t="s">
        <v>550</v>
      </c>
      <c r="J536" s="4" t="s">
        <v>23</v>
      </c>
      <c r="K536" s="4" t="str" cm="1">
        <f t="array" ref="K536">_xlfn.IFS(L536&gt;50,"Senior", L536&gt;=30,"Adult", L536&lt;30,"Young Adult")</f>
        <v>Adult</v>
      </c>
      <c r="L536" s="4">
        <v>47</v>
      </c>
      <c r="M536" s="4" t="s">
        <v>21</v>
      </c>
      <c r="N536" s="4">
        <v>2</v>
      </c>
      <c r="O536" s="5">
        <v>25</v>
      </c>
      <c r="P536">
        <f t="shared" si="78"/>
        <v>50</v>
      </c>
      <c r="Q536" s="14">
        <f t="shared" si="81"/>
        <v>0.75</v>
      </c>
      <c r="R536" s="14">
        <f t="shared" si="82"/>
        <v>1</v>
      </c>
    </row>
    <row r="537" spans="1:18" x14ac:dyDescent="0.35">
      <c r="A537" s="2">
        <v>526</v>
      </c>
      <c r="B537" s="4">
        <f t="shared" si="72"/>
        <v>10</v>
      </c>
      <c r="C537" s="4">
        <f t="shared" si="73"/>
        <v>12</v>
      </c>
      <c r="D537" s="4">
        <f t="shared" si="74"/>
        <v>2023</v>
      </c>
      <c r="E537" s="4" t="str">
        <f t="shared" si="75"/>
        <v>Sunday</v>
      </c>
      <c r="F537" s="4" t="str">
        <f t="shared" si="76"/>
        <v>December</v>
      </c>
      <c r="G537" s="4" t="str">
        <f t="shared" si="77"/>
        <v>2023</v>
      </c>
      <c r="H537" s="3">
        <v>45270</v>
      </c>
      <c r="I537" s="4" t="s">
        <v>551</v>
      </c>
      <c r="J537" s="4" t="s">
        <v>20</v>
      </c>
      <c r="K537" s="4" t="str" cm="1">
        <f t="array" ref="K537">_xlfn.IFS(L537&gt;50,"Senior", L537&gt;=30,"Adult", L537&lt;30,"Young Adult")</f>
        <v>Adult</v>
      </c>
      <c r="L537" s="4">
        <v>33</v>
      </c>
      <c r="M537" s="4" t="s">
        <v>24</v>
      </c>
      <c r="N537" s="4">
        <v>2</v>
      </c>
      <c r="O537" s="5">
        <v>50</v>
      </c>
      <c r="P537">
        <f t="shared" si="78"/>
        <v>100</v>
      </c>
      <c r="Q537" s="14" t="e">
        <f>P537*#REF!</f>
        <v>#REF!</v>
      </c>
      <c r="R537" s="14" t="e">
        <f>P537*#REF!</f>
        <v>#REF!</v>
      </c>
    </row>
    <row r="538" spans="1:18" x14ac:dyDescent="0.35">
      <c r="A538" s="2">
        <v>527</v>
      </c>
      <c r="B538" s="4">
        <f t="shared" si="72"/>
        <v>11</v>
      </c>
      <c r="C538" s="4">
        <f t="shared" si="73"/>
        <v>4</v>
      </c>
      <c r="D538" s="4">
        <f t="shared" si="74"/>
        <v>2023</v>
      </c>
      <c r="E538" s="4" t="str">
        <f t="shared" si="75"/>
        <v>Tuesday</v>
      </c>
      <c r="F538" s="4" t="str">
        <f t="shared" si="76"/>
        <v>April</v>
      </c>
      <c r="G538" s="4" t="str">
        <f t="shared" si="77"/>
        <v>2023</v>
      </c>
      <c r="H538" s="3">
        <v>45027</v>
      </c>
      <c r="I538" s="4" t="s">
        <v>552</v>
      </c>
      <c r="J538" s="4" t="s">
        <v>20</v>
      </c>
      <c r="K538" s="4" t="str" cm="1">
        <f t="array" ref="K538">_xlfn.IFS(L538&gt;50,"Senior", L538&gt;=30,"Adult", L538&lt;30,"Young Adult")</f>
        <v>Senior</v>
      </c>
      <c r="L538" s="4">
        <v>57</v>
      </c>
      <c r="M538" s="4" t="s">
        <v>24</v>
      </c>
      <c r="N538" s="4">
        <v>2</v>
      </c>
      <c r="O538" s="5">
        <v>25</v>
      </c>
      <c r="P538">
        <f t="shared" si="78"/>
        <v>50</v>
      </c>
      <c r="Q538" s="14" t="e">
        <f>P538*#REF!</f>
        <v>#REF!</v>
      </c>
      <c r="R538" s="14" t="e">
        <f>P538*#REF!</f>
        <v>#REF!</v>
      </c>
    </row>
    <row r="539" spans="1:18" x14ac:dyDescent="0.35">
      <c r="A539" s="2">
        <v>528</v>
      </c>
      <c r="B539" s="4">
        <f t="shared" si="72"/>
        <v>6</v>
      </c>
      <c r="C539" s="4">
        <f t="shared" si="73"/>
        <v>7</v>
      </c>
      <c r="D539" s="4">
        <f t="shared" si="74"/>
        <v>2023</v>
      </c>
      <c r="E539" s="4" t="str">
        <f t="shared" si="75"/>
        <v>Thursday</v>
      </c>
      <c r="F539" s="4" t="str">
        <f t="shared" si="76"/>
        <v>July</v>
      </c>
      <c r="G539" s="4" t="str">
        <f t="shared" si="77"/>
        <v>2023</v>
      </c>
      <c r="H539" s="3">
        <v>45113</v>
      </c>
      <c r="I539" s="4" t="s">
        <v>553</v>
      </c>
      <c r="J539" s="4" t="s">
        <v>23</v>
      </c>
      <c r="K539" s="4" t="str" cm="1">
        <f t="array" ref="K539">_xlfn.IFS(L539&gt;50,"Senior", L539&gt;=30,"Adult", L539&lt;30,"Young Adult")</f>
        <v>Adult</v>
      </c>
      <c r="L539" s="4">
        <v>36</v>
      </c>
      <c r="M539" s="4" t="s">
        <v>24</v>
      </c>
      <c r="N539" s="4">
        <v>2</v>
      </c>
      <c r="O539" s="5">
        <v>30</v>
      </c>
      <c r="P539">
        <f t="shared" si="78"/>
        <v>60</v>
      </c>
      <c r="Q539" s="14" t="e">
        <f>P539*#REF!</f>
        <v>#REF!</v>
      </c>
      <c r="R539" s="14" t="e">
        <f>P539*#REF!</f>
        <v>#REF!</v>
      </c>
    </row>
    <row r="540" spans="1:18" x14ac:dyDescent="0.35">
      <c r="A540" s="2">
        <v>529</v>
      </c>
      <c r="B540" s="4">
        <f t="shared" si="72"/>
        <v>9</v>
      </c>
      <c r="C540" s="4">
        <f t="shared" si="73"/>
        <v>8</v>
      </c>
      <c r="D540" s="4">
        <f t="shared" si="74"/>
        <v>2023</v>
      </c>
      <c r="E540" s="4" t="str">
        <f t="shared" si="75"/>
        <v>Wednesday</v>
      </c>
      <c r="F540" s="4" t="str">
        <f t="shared" si="76"/>
        <v>August</v>
      </c>
      <c r="G540" s="4" t="str">
        <f t="shared" si="77"/>
        <v>2023</v>
      </c>
      <c r="H540" s="3">
        <v>45147</v>
      </c>
      <c r="I540" s="4" t="s">
        <v>554</v>
      </c>
      <c r="J540" s="4" t="s">
        <v>23</v>
      </c>
      <c r="K540" s="4" t="str" cm="1">
        <f t="array" ref="K540">_xlfn.IFS(L540&gt;50,"Senior", L540&gt;=30,"Adult", L540&lt;30,"Young Adult")</f>
        <v>Adult</v>
      </c>
      <c r="L540" s="4">
        <v>35</v>
      </c>
      <c r="M540" s="4" t="s">
        <v>24</v>
      </c>
      <c r="N540" s="4">
        <v>3</v>
      </c>
      <c r="O540" s="5">
        <v>50</v>
      </c>
      <c r="P540">
        <f t="shared" si="78"/>
        <v>150</v>
      </c>
      <c r="Q540" s="14" t="e">
        <f>P540*#REF!</f>
        <v>#REF!</v>
      </c>
      <c r="R540" s="14" t="e">
        <f>P540*#REF!</f>
        <v>#REF!</v>
      </c>
    </row>
    <row r="541" spans="1:18" x14ac:dyDescent="0.35">
      <c r="A541" s="2">
        <v>530</v>
      </c>
      <c r="B541" s="4">
        <f t="shared" si="72"/>
        <v>5</v>
      </c>
      <c r="C541" s="4">
        <f t="shared" si="73"/>
        <v>2</v>
      </c>
      <c r="D541" s="4">
        <f t="shared" si="74"/>
        <v>2023</v>
      </c>
      <c r="E541" s="4" t="str">
        <f t="shared" si="75"/>
        <v>Sunday</v>
      </c>
      <c r="F541" s="4" t="str">
        <f t="shared" si="76"/>
        <v>February</v>
      </c>
      <c r="G541" s="4" t="str">
        <f t="shared" si="77"/>
        <v>2023</v>
      </c>
      <c r="H541" s="3">
        <v>44962</v>
      </c>
      <c r="I541" s="4" t="s">
        <v>555</v>
      </c>
      <c r="J541" s="4" t="s">
        <v>23</v>
      </c>
      <c r="K541" s="4" t="str" cm="1">
        <f t="array" ref="K541">_xlfn.IFS(L541&gt;50,"Senior", L541&gt;=30,"Adult", L541&lt;30,"Young Adult")</f>
        <v>Young Adult</v>
      </c>
      <c r="L541" s="4">
        <v>18</v>
      </c>
      <c r="M541" s="4" t="s">
        <v>26</v>
      </c>
      <c r="N541" s="4">
        <v>4</v>
      </c>
      <c r="O541" s="5">
        <v>30</v>
      </c>
      <c r="P541">
        <f t="shared" si="78"/>
        <v>120</v>
      </c>
      <c r="Q541" s="14" t="e">
        <f>P541*#REF!</f>
        <v>#REF!</v>
      </c>
      <c r="R541" s="14" t="e">
        <f>P541*#REF!</f>
        <v>#REF!</v>
      </c>
    </row>
    <row r="542" spans="1:18" x14ac:dyDescent="0.35">
      <c r="A542" s="2">
        <v>531</v>
      </c>
      <c r="B542" s="4">
        <f t="shared" si="72"/>
        <v>7</v>
      </c>
      <c r="C542" s="4">
        <f t="shared" si="73"/>
        <v>12</v>
      </c>
      <c r="D542" s="4">
        <f t="shared" si="74"/>
        <v>2023</v>
      </c>
      <c r="E542" s="4" t="str">
        <f t="shared" si="75"/>
        <v>Thursday</v>
      </c>
      <c r="F542" s="4" t="str">
        <f t="shared" si="76"/>
        <v>December</v>
      </c>
      <c r="G542" s="4" t="str">
        <f t="shared" si="77"/>
        <v>2023</v>
      </c>
      <c r="H542" s="3">
        <v>45267</v>
      </c>
      <c r="I542" s="4" t="s">
        <v>556</v>
      </c>
      <c r="J542" s="4" t="s">
        <v>20</v>
      </c>
      <c r="K542" s="4" t="str" cm="1">
        <f t="array" ref="K542">_xlfn.IFS(L542&gt;50,"Senior", L542&gt;=30,"Adult", L542&lt;30,"Young Adult")</f>
        <v>Adult</v>
      </c>
      <c r="L542" s="4">
        <v>31</v>
      </c>
      <c r="M542" s="4" t="s">
        <v>26</v>
      </c>
      <c r="N542" s="4">
        <v>1</v>
      </c>
      <c r="O542" s="5">
        <v>500</v>
      </c>
      <c r="P542">
        <f t="shared" si="78"/>
        <v>500</v>
      </c>
      <c r="Q542" s="14" t="e">
        <f>P542*#REF!</f>
        <v>#REF!</v>
      </c>
      <c r="R542" s="14" t="e">
        <f>P542*#REF!</f>
        <v>#REF!</v>
      </c>
    </row>
    <row r="543" spans="1:18" x14ac:dyDescent="0.35">
      <c r="A543" s="2">
        <v>532</v>
      </c>
      <c r="B543" s="4">
        <f t="shared" si="72"/>
        <v>19</v>
      </c>
      <c r="C543" s="4">
        <f t="shared" si="73"/>
        <v>6</v>
      </c>
      <c r="D543" s="4">
        <f t="shared" si="74"/>
        <v>2023</v>
      </c>
      <c r="E543" s="4" t="str">
        <f t="shared" si="75"/>
        <v>Monday</v>
      </c>
      <c r="F543" s="4" t="str">
        <f t="shared" si="76"/>
        <v>June</v>
      </c>
      <c r="G543" s="4" t="str">
        <f t="shared" si="77"/>
        <v>2023</v>
      </c>
      <c r="H543" s="3">
        <v>45096</v>
      </c>
      <c r="I543" s="4" t="s">
        <v>557</v>
      </c>
      <c r="J543" s="4" t="s">
        <v>23</v>
      </c>
      <c r="K543" s="4" t="str" cm="1">
        <f t="array" ref="K543">_xlfn.IFS(L543&gt;50,"Senior", L543&gt;=30,"Adult", L543&lt;30,"Young Adult")</f>
        <v>Senior</v>
      </c>
      <c r="L543" s="4">
        <v>64</v>
      </c>
      <c r="M543" s="4" t="s">
        <v>24</v>
      </c>
      <c r="N543" s="4">
        <v>4</v>
      </c>
      <c r="O543" s="5">
        <v>30</v>
      </c>
      <c r="P543">
        <f t="shared" si="78"/>
        <v>120</v>
      </c>
      <c r="Q543" s="14" t="e">
        <f>P543*#REF!</f>
        <v>#REF!</v>
      </c>
      <c r="R543" s="14" t="e">
        <f>P543*#REF!</f>
        <v>#REF!</v>
      </c>
    </row>
    <row r="544" spans="1:18" x14ac:dyDescent="0.35">
      <c r="A544" s="2">
        <v>533</v>
      </c>
      <c r="B544" s="4">
        <f t="shared" si="72"/>
        <v>16</v>
      </c>
      <c r="C544" s="4">
        <f t="shared" si="73"/>
        <v>11</v>
      </c>
      <c r="D544" s="4">
        <f t="shared" si="74"/>
        <v>2023</v>
      </c>
      <c r="E544" s="4" t="str">
        <f t="shared" si="75"/>
        <v>Thursday</v>
      </c>
      <c r="F544" s="4" t="str">
        <f t="shared" si="76"/>
        <v>November</v>
      </c>
      <c r="G544" s="4" t="str">
        <f t="shared" si="77"/>
        <v>2023</v>
      </c>
      <c r="H544" s="3">
        <v>45246</v>
      </c>
      <c r="I544" s="4" t="s">
        <v>558</v>
      </c>
      <c r="J544" s="4" t="s">
        <v>20</v>
      </c>
      <c r="K544" s="4" t="str" cm="1">
        <f t="array" ref="K544">_xlfn.IFS(L544&gt;50,"Senior", L544&gt;=30,"Adult", L544&lt;30,"Young Adult")</f>
        <v>Young Adult</v>
      </c>
      <c r="L544" s="4">
        <v>19</v>
      </c>
      <c r="M544" s="4" t="s">
        <v>26</v>
      </c>
      <c r="N544" s="4">
        <v>3</v>
      </c>
      <c r="O544" s="5">
        <v>500</v>
      </c>
      <c r="P544">
        <f t="shared" si="78"/>
        <v>1500</v>
      </c>
      <c r="Q544" s="14" t="e">
        <f>P544*#REF!</f>
        <v>#REF!</v>
      </c>
      <c r="R544" s="14" t="e">
        <f>P544*#REF!</f>
        <v>#REF!</v>
      </c>
    </row>
    <row r="545" spans="1:18" x14ac:dyDescent="0.35">
      <c r="A545" s="2">
        <v>534</v>
      </c>
      <c r="B545" s="4">
        <f t="shared" si="72"/>
        <v>10</v>
      </c>
      <c r="C545" s="4">
        <f t="shared" si="73"/>
        <v>6</v>
      </c>
      <c r="D545" s="4">
        <f t="shared" si="74"/>
        <v>2023</v>
      </c>
      <c r="E545" s="4" t="str">
        <f t="shared" si="75"/>
        <v>Saturday</v>
      </c>
      <c r="F545" s="4" t="str">
        <f t="shared" si="76"/>
        <v>June</v>
      </c>
      <c r="G545" s="4" t="str">
        <f t="shared" si="77"/>
        <v>2023</v>
      </c>
      <c r="H545" s="3">
        <v>45087</v>
      </c>
      <c r="I545" s="4" t="s">
        <v>559</v>
      </c>
      <c r="J545" s="4" t="s">
        <v>20</v>
      </c>
      <c r="K545" s="4" t="str" cm="1">
        <f t="array" ref="K545">_xlfn.IFS(L545&gt;50,"Senior", L545&gt;=30,"Adult", L545&lt;30,"Young Adult")</f>
        <v>Adult</v>
      </c>
      <c r="L545" s="4">
        <v>45</v>
      </c>
      <c r="M545" s="4" t="s">
        <v>24</v>
      </c>
      <c r="N545" s="4">
        <v>2</v>
      </c>
      <c r="O545" s="5">
        <v>500</v>
      </c>
      <c r="P545">
        <f t="shared" si="78"/>
        <v>1000</v>
      </c>
      <c r="Q545" s="14" t="e">
        <f>P545*#REF!</f>
        <v>#REF!</v>
      </c>
      <c r="R545" s="14" t="e">
        <f>P545*#REF!</f>
        <v>#REF!</v>
      </c>
    </row>
    <row r="546" spans="1:18" x14ac:dyDescent="0.35">
      <c r="A546" s="2">
        <v>535</v>
      </c>
      <c r="B546" s="4">
        <f t="shared" si="72"/>
        <v>6</v>
      </c>
      <c r="C546" s="4">
        <f t="shared" si="73"/>
        <v>12</v>
      </c>
      <c r="D546" s="4">
        <f t="shared" si="74"/>
        <v>2023</v>
      </c>
      <c r="E546" s="4" t="str">
        <f t="shared" si="75"/>
        <v>Wednesday</v>
      </c>
      <c r="F546" s="4" t="str">
        <f t="shared" si="76"/>
        <v>December</v>
      </c>
      <c r="G546" s="4" t="str">
        <f t="shared" si="77"/>
        <v>2023</v>
      </c>
      <c r="H546" s="3">
        <v>45266</v>
      </c>
      <c r="I546" s="4" t="s">
        <v>560</v>
      </c>
      <c r="J546" s="4" t="s">
        <v>20</v>
      </c>
      <c r="K546" s="4" t="str" cm="1">
        <f t="array" ref="K546">_xlfn.IFS(L546&gt;50,"Senior", L546&gt;=30,"Adult", L546&lt;30,"Young Adult")</f>
        <v>Adult</v>
      </c>
      <c r="L546" s="4">
        <v>47</v>
      </c>
      <c r="M546" s="4" t="s">
        <v>21</v>
      </c>
      <c r="N546" s="4">
        <v>3</v>
      </c>
      <c r="O546" s="5">
        <v>30</v>
      </c>
      <c r="P546">
        <f t="shared" si="78"/>
        <v>90</v>
      </c>
      <c r="Q546" s="14">
        <f t="shared" ref="Q546:Q548" si="83">P546*$I$4</f>
        <v>1.3499999999999999</v>
      </c>
      <c r="R546" s="14">
        <f t="shared" ref="R546:R548" si="84">P546*$I$5</f>
        <v>1.8</v>
      </c>
    </row>
    <row r="547" spans="1:18" x14ac:dyDescent="0.35">
      <c r="A547" s="2">
        <v>536</v>
      </c>
      <c r="B547" s="4">
        <f t="shared" si="72"/>
        <v>5</v>
      </c>
      <c r="C547" s="4">
        <f t="shared" si="73"/>
        <v>3</v>
      </c>
      <c r="D547" s="4">
        <f t="shared" si="74"/>
        <v>2023</v>
      </c>
      <c r="E547" s="4" t="str">
        <f t="shared" si="75"/>
        <v>Sunday</v>
      </c>
      <c r="F547" s="4" t="str">
        <f t="shared" si="76"/>
        <v>March</v>
      </c>
      <c r="G547" s="4" t="str">
        <f t="shared" si="77"/>
        <v>2023</v>
      </c>
      <c r="H547" s="3">
        <v>44990</v>
      </c>
      <c r="I547" s="4" t="s">
        <v>561</v>
      </c>
      <c r="J547" s="4" t="s">
        <v>23</v>
      </c>
      <c r="K547" s="4" t="str" cm="1">
        <f t="array" ref="K547">_xlfn.IFS(L547&gt;50,"Senior", L547&gt;=30,"Adult", L547&lt;30,"Young Adult")</f>
        <v>Senior</v>
      </c>
      <c r="L547" s="4">
        <v>55</v>
      </c>
      <c r="M547" s="4" t="s">
        <v>21</v>
      </c>
      <c r="N547" s="4">
        <v>4</v>
      </c>
      <c r="O547" s="5">
        <v>30</v>
      </c>
      <c r="P547">
        <f t="shared" si="78"/>
        <v>120</v>
      </c>
      <c r="Q547" s="14">
        <f t="shared" si="83"/>
        <v>1.7999999999999998</v>
      </c>
      <c r="R547" s="14">
        <f t="shared" si="84"/>
        <v>2.4</v>
      </c>
    </row>
    <row r="548" spans="1:18" x14ac:dyDescent="0.35">
      <c r="A548" s="2">
        <v>537</v>
      </c>
      <c r="B548" s="4">
        <f t="shared" si="72"/>
        <v>3</v>
      </c>
      <c r="C548" s="4">
        <f t="shared" si="73"/>
        <v>6</v>
      </c>
      <c r="D548" s="4">
        <f t="shared" si="74"/>
        <v>2023</v>
      </c>
      <c r="E548" s="4" t="str">
        <f t="shared" si="75"/>
        <v>Saturday</v>
      </c>
      <c r="F548" s="4" t="str">
        <f t="shared" si="76"/>
        <v>June</v>
      </c>
      <c r="G548" s="4" t="str">
        <f t="shared" si="77"/>
        <v>2023</v>
      </c>
      <c r="H548" s="3">
        <v>45080</v>
      </c>
      <c r="I548" s="4" t="s">
        <v>562</v>
      </c>
      <c r="J548" s="4" t="s">
        <v>23</v>
      </c>
      <c r="K548" s="4" t="str" cm="1">
        <f t="array" ref="K548">_xlfn.IFS(L548&gt;50,"Senior", L548&gt;=30,"Adult", L548&lt;30,"Young Adult")</f>
        <v>Young Adult</v>
      </c>
      <c r="L548" s="4">
        <v>21</v>
      </c>
      <c r="M548" s="4" t="s">
        <v>21</v>
      </c>
      <c r="N548" s="4">
        <v>1</v>
      </c>
      <c r="O548" s="5">
        <v>500</v>
      </c>
      <c r="P548">
        <f t="shared" si="78"/>
        <v>500</v>
      </c>
      <c r="Q548" s="14">
        <f t="shared" si="83"/>
        <v>7.5</v>
      </c>
      <c r="R548" s="14">
        <f t="shared" si="84"/>
        <v>10</v>
      </c>
    </row>
    <row r="549" spans="1:18" x14ac:dyDescent="0.35">
      <c r="A549" s="2">
        <v>538</v>
      </c>
      <c r="B549" s="4">
        <f t="shared" si="72"/>
        <v>17</v>
      </c>
      <c r="C549" s="4">
        <f t="shared" si="73"/>
        <v>9</v>
      </c>
      <c r="D549" s="4">
        <f t="shared" si="74"/>
        <v>2023</v>
      </c>
      <c r="E549" s="4" t="str">
        <f t="shared" si="75"/>
        <v>Sunday</v>
      </c>
      <c r="F549" s="4" t="str">
        <f t="shared" si="76"/>
        <v>September</v>
      </c>
      <c r="G549" s="4" t="str">
        <f t="shared" si="77"/>
        <v>2023</v>
      </c>
      <c r="H549" s="3">
        <v>45186</v>
      </c>
      <c r="I549" s="4" t="s">
        <v>563</v>
      </c>
      <c r="J549" s="4" t="s">
        <v>20</v>
      </c>
      <c r="K549" s="4" t="str" cm="1">
        <f t="array" ref="K549">_xlfn.IFS(L549&gt;50,"Senior", L549&gt;=30,"Adult", L549&lt;30,"Young Adult")</f>
        <v>Young Adult</v>
      </c>
      <c r="L549" s="4">
        <v>18</v>
      </c>
      <c r="M549" s="4" t="s">
        <v>24</v>
      </c>
      <c r="N549" s="4">
        <v>3</v>
      </c>
      <c r="O549" s="5">
        <v>50</v>
      </c>
      <c r="P549">
        <f t="shared" si="78"/>
        <v>150</v>
      </c>
      <c r="Q549" s="14" t="e">
        <f>P549*#REF!</f>
        <v>#REF!</v>
      </c>
      <c r="R549" s="14" t="e">
        <f>P549*#REF!</f>
        <v>#REF!</v>
      </c>
    </row>
    <row r="550" spans="1:18" x14ac:dyDescent="0.35">
      <c r="A550" s="2">
        <v>539</v>
      </c>
      <c r="B550" s="4">
        <f t="shared" si="72"/>
        <v>8</v>
      </c>
      <c r="C550" s="4">
        <f t="shared" si="73"/>
        <v>6</v>
      </c>
      <c r="D550" s="4">
        <f t="shared" si="74"/>
        <v>2023</v>
      </c>
      <c r="E550" s="4" t="str">
        <f t="shared" si="75"/>
        <v>Thursday</v>
      </c>
      <c r="F550" s="4" t="str">
        <f t="shared" si="76"/>
        <v>June</v>
      </c>
      <c r="G550" s="4" t="str">
        <f t="shared" si="77"/>
        <v>2023</v>
      </c>
      <c r="H550" s="3">
        <v>45085</v>
      </c>
      <c r="I550" s="4" t="s">
        <v>564</v>
      </c>
      <c r="J550" s="4" t="s">
        <v>20</v>
      </c>
      <c r="K550" s="4" t="str" cm="1">
        <f t="array" ref="K550">_xlfn.IFS(L550&gt;50,"Senior", L550&gt;=30,"Adult", L550&lt;30,"Young Adult")</f>
        <v>Young Adult</v>
      </c>
      <c r="L550" s="4">
        <v>25</v>
      </c>
      <c r="M550" s="4" t="s">
        <v>21</v>
      </c>
      <c r="N550" s="4">
        <v>1</v>
      </c>
      <c r="O550" s="5">
        <v>500</v>
      </c>
      <c r="P550">
        <f t="shared" si="78"/>
        <v>500</v>
      </c>
      <c r="Q550" s="14">
        <f>P550*$I$4</f>
        <v>7.5</v>
      </c>
      <c r="R550" s="14">
        <f>P550*$I$5</f>
        <v>10</v>
      </c>
    </row>
    <row r="551" spans="1:18" x14ac:dyDescent="0.35">
      <c r="A551" s="2">
        <v>540</v>
      </c>
      <c r="B551" s="4">
        <f t="shared" si="72"/>
        <v>8</v>
      </c>
      <c r="C551" s="4">
        <f t="shared" si="73"/>
        <v>12</v>
      </c>
      <c r="D551" s="4">
        <f t="shared" si="74"/>
        <v>2023</v>
      </c>
      <c r="E551" s="4" t="str">
        <f t="shared" si="75"/>
        <v>Friday</v>
      </c>
      <c r="F551" s="4" t="str">
        <f t="shared" si="76"/>
        <v>December</v>
      </c>
      <c r="G551" s="4" t="str">
        <f t="shared" si="77"/>
        <v>2023</v>
      </c>
      <c r="H551" s="3">
        <v>45268</v>
      </c>
      <c r="I551" s="4" t="s">
        <v>565</v>
      </c>
      <c r="J551" s="4" t="s">
        <v>23</v>
      </c>
      <c r="K551" s="4" t="str" cm="1">
        <f t="array" ref="K551">_xlfn.IFS(L551&gt;50,"Senior", L551&gt;=30,"Adult", L551&lt;30,"Young Adult")</f>
        <v>Adult</v>
      </c>
      <c r="L551" s="4">
        <v>46</v>
      </c>
      <c r="M551" s="4" t="s">
        <v>26</v>
      </c>
      <c r="N551" s="4">
        <v>3</v>
      </c>
      <c r="O551" s="5">
        <v>300</v>
      </c>
      <c r="P551">
        <f t="shared" si="78"/>
        <v>900</v>
      </c>
      <c r="Q551" s="14" t="e">
        <f>P551*#REF!</f>
        <v>#REF!</v>
      </c>
      <c r="R551" s="14" t="e">
        <f>P551*#REF!</f>
        <v>#REF!</v>
      </c>
    </row>
    <row r="552" spans="1:18" x14ac:dyDescent="0.35">
      <c r="A552" s="2">
        <v>541</v>
      </c>
      <c r="B552" s="4">
        <f t="shared" si="72"/>
        <v>29</v>
      </c>
      <c r="C552" s="4">
        <f t="shared" si="73"/>
        <v>7</v>
      </c>
      <c r="D552" s="4">
        <f t="shared" si="74"/>
        <v>2023</v>
      </c>
      <c r="E552" s="4" t="str">
        <f t="shared" si="75"/>
        <v>Saturday</v>
      </c>
      <c r="F552" s="4" t="str">
        <f t="shared" si="76"/>
        <v>July</v>
      </c>
      <c r="G552" s="4" t="str">
        <f t="shared" si="77"/>
        <v>2023</v>
      </c>
      <c r="H552" s="3">
        <v>45136</v>
      </c>
      <c r="I552" s="4" t="s">
        <v>566</v>
      </c>
      <c r="J552" s="4" t="s">
        <v>20</v>
      </c>
      <c r="K552" s="4" t="str" cm="1">
        <f t="array" ref="K552">_xlfn.IFS(L552&gt;50,"Senior", L552&gt;=30,"Adult", L552&lt;30,"Young Adult")</f>
        <v>Senior</v>
      </c>
      <c r="L552" s="4">
        <v>56</v>
      </c>
      <c r="M552" s="4" t="s">
        <v>21</v>
      </c>
      <c r="N552" s="4">
        <v>1</v>
      </c>
      <c r="O552" s="5">
        <v>500</v>
      </c>
      <c r="P552">
        <f t="shared" si="78"/>
        <v>500</v>
      </c>
      <c r="Q552" s="14">
        <f t="shared" ref="Q552:Q554" si="85">P552*$I$4</f>
        <v>7.5</v>
      </c>
      <c r="R552" s="14">
        <f t="shared" ref="R552:R554" si="86">P552*$I$5</f>
        <v>10</v>
      </c>
    </row>
    <row r="553" spans="1:18" x14ac:dyDescent="0.35">
      <c r="A553" s="2">
        <v>542</v>
      </c>
      <c r="B553" s="4">
        <f t="shared" si="72"/>
        <v>17</v>
      </c>
      <c r="C553" s="4">
        <f t="shared" si="73"/>
        <v>6</v>
      </c>
      <c r="D553" s="4">
        <f t="shared" si="74"/>
        <v>2023</v>
      </c>
      <c r="E553" s="4" t="str">
        <f t="shared" si="75"/>
        <v>Saturday</v>
      </c>
      <c r="F553" s="4" t="str">
        <f t="shared" si="76"/>
        <v>June</v>
      </c>
      <c r="G553" s="4" t="str">
        <f t="shared" si="77"/>
        <v>2023</v>
      </c>
      <c r="H553" s="3">
        <v>45094</v>
      </c>
      <c r="I553" s="4" t="s">
        <v>567</v>
      </c>
      <c r="J553" s="4" t="s">
        <v>23</v>
      </c>
      <c r="K553" s="4" t="str" cm="1">
        <f t="array" ref="K553">_xlfn.IFS(L553&gt;50,"Senior", L553&gt;=30,"Adult", L553&lt;30,"Young Adult")</f>
        <v>Young Adult</v>
      </c>
      <c r="L553" s="4">
        <v>20</v>
      </c>
      <c r="M553" s="4" t="s">
        <v>21</v>
      </c>
      <c r="N553" s="4">
        <v>1</v>
      </c>
      <c r="O553" s="5">
        <v>50</v>
      </c>
      <c r="P553">
        <f t="shared" si="78"/>
        <v>50</v>
      </c>
      <c r="Q553" s="14">
        <f t="shared" si="85"/>
        <v>0.75</v>
      </c>
      <c r="R553" s="14">
        <f t="shared" si="86"/>
        <v>1</v>
      </c>
    </row>
    <row r="554" spans="1:18" x14ac:dyDescent="0.35">
      <c r="A554" s="2">
        <v>543</v>
      </c>
      <c r="B554" s="4">
        <f t="shared" si="72"/>
        <v>26</v>
      </c>
      <c r="C554" s="4">
        <f t="shared" si="73"/>
        <v>7</v>
      </c>
      <c r="D554" s="4">
        <f t="shared" si="74"/>
        <v>2023</v>
      </c>
      <c r="E554" s="4" t="str">
        <f t="shared" si="75"/>
        <v>Wednesday</v>
      </c>
      <c r="F554" s="4" t="str">
        <f t="shared" si="76"/>
        <v>July</v>
      </c>
      <c r="G554" s="4" t="str">
        <f t="shared" si="77"/>
        <v>2023</v>
      </c>
      <c r="H554" s="3">
        <v>45133</v>
      </c>
      <c r="I554" s="4" t="s">
        <v>568</v>
      </c>
      <c r="J554" s="4" t="s">
        <v>20</v>
      </c>
      <c r="K554" s="4" t="str" cm="1">
        <f t="array" ref="K554">_xlfn.IFS(L554&gt;50,"Senior", L554&gt;=30,"Adult", L554&lt;30,"Young Adult")</f>
        <v>Adult</v>
      </c>
      <c r="L554" s="4">
        <v>49</v>
      </c>
      <c r="M554" s="4" t="s">
        <v>21</v>
      </c>
      <c r="N554" s="4">
        <v>2</v>
      </c>
      <c r="O554" s="5">
        <v>300</v>
      </c>
      <c r="P554">
        <f t="shared" si="78"/>
        <v>600</v>
      </c>
      <c r="Q554" s="14">
        <f t="shared" si="85"/>
        <v>9</v>
      </c>
      <c r="R554" s="14">
        <f t="shared" si="86"/>
        <v>12</v>
      </c>
    </row>
    <row r="555" spans="1:18" x14ac:dyDescent="0.35">
      <c r="A555" s="2">
        <v>544</v>
      </c>
      <c r="B555" s="4">
        <f t="shared" si="72"/>
        <v>23</v>
      </c>
      <c r="C555" s="4">
        <f t="shared" si="73"/>
        <v>12</v>
      </c>
      <c r="D555" s="4">
        <f t="shared" si="74"/>
        <v>2023</v>
      </c>
      <c r="E555" s="4" t="str">
        <f t="shared" si="75"/>
        <v>Saturday</v>
      </c>
      <c r="F555" s="4" t="str">
        <f t="shared" si="76"/>
        <v>December</v>
      </c>
      <c r="G555" s="4" t="str">
        <f t="shared" si="77"/>
        <v>2023</v>
      </c>
      <c r="H555" s="3">
        <v>45283</v>
      </c>
      <c r="I555" s="4" t="s">
        <v>569</v>
      </c>
      <c r="J555" s="4" t="s">
        <v>23</v>
      </c>
      <c r="K555" s="4" t="str" cm="1">
        <f t="array" ref="K555">_xlfn.IFS(L555&gt;50,"Senior", L555&gt;=30,"Adult", L555&lt;30,"Young Adult")</f>
        <v>Young Adult</v>
      </c>
      <c r="L555" s="4">
        <v>27</v>
      </c>
      <c r="M555" s="4" t="s">
        <v>26</v>
      </c>
      <c r="N555" s="4">
        <v>1</v>
      </c>
      <c r="O555" s="5">
        <v>25</v>
      </c>
      <c r="P555">
        <f t="shared" si="78"/>
        <v>25</v>
      </c>
      <c r="Q555" s="14" t="e">
        <f>P555*#REF!</f>
        <v>#REF!</v>
      </c>
      <c r="R555" s="14" t="e">
        <f>P555*#REF!</f>
        <v>#REF!</v>
      </c>
    </row>
    <row r="556" spans="1:18" x14ac:dyDescent="0.35">
      <c r="A556" s="2">
        <v>545</v>
      </c>
      <c r="B556" s="4">
        <f t="shared" si="72"/>
        <v>1</v>
      </c>
      <c r="C556" s="4">
        <f t="shared" si="73"/>
        <v>6</v>
      </c>
      <c r="D556" s="4">
        <f t="shared" si="74"/>
        <v>2023</v>
      </c>
      <c r="E556" s="4" t="str">
        <f t="shared" si="75"/>
        <v>Thursday</v>
      </c>
      <c r="F556" s="4" t="str">
        <f t="shared" si="76"/>
        <v>June</v>
      </c>
      <c r="G556" s="4" t="str">
        <f t="shared" si="77"/>
        <v>2023</v>
      </c>
      <c r="H556" s="3">
        <v>45078</v>
      </c>
      <c r="I556" s="4" t="s">
        <v>570</v>
      </c>
      <c r="J556" s="4" t="s">
        <v>20</v>
      </c>
      <c r="K556" s="4" t="str" cm="1">
        <f t="array" ref="K556">_xlfn.IFS(L556&gt;50,"Senior", L556&gt;=30,"Adult", L556&lt;30,"Young Adult")</f>
        <v>Young Adult</v>
      </c>
      <c r="L556" s="4">
        <v>27</v>
      </c>
      <c r="M556" s="4" t="s">
        <v>24</v>
      </c>
      <c r="N556" s="4">
        <v>2</v>
      </c>
      <c r="O556" s="5">
        <v>25</v>
      </c>
      <c r="P556">
        <f t="shared" si="78"/>
        <v>50</v>
      </c>
      <c r="Q556" s="14" t="e">
        <f>P556*#REF!</f>
        <v>#REF!</v>
      </c>
      <c r="R556" s="14" t="e">
        <f>P556*#REF!</f>
        <v>#REF!</v>
      </c>
    </row>
    <row r="557" spans="1:18" x14ac:dyDescent="0.35">
      <c r="A557" s="2">
        <v>546</v>
      </c>
      <c r="B557" s="4">
        <f t="shared" si="72"/>
        <v>11</v>
      </c>
      <c r="C557" s="4">
        <f t="shared" si="73"/>
        <v>10</v>
      </c>
      <c r="D557" s="4">
        <f t="shared" si="74"/>
        <v>2023</v>
      </c>
      <c r="E557" s="4" t="str">
        <f t="shared" si="75"/>
        <v>Wednesday</v>
      </c>
      <c r="F557" s="4" t="str">
        <f t="shared" si="76"/>
        <v>October</v>
      </c>
      <c r="G557" s="4" t="str">
        <f t="shared" si="77"/>
        <v>2023</v>
      </c>
      <c r="H557" s="3">
        <v>45210</v>
      </c>
      <c r="I557" s="4" t="s">
        <v>571</v>
      </c>
      <c r="J557" s="4" t="s">
        <v>23</v>
      </c>
      <c r="K557" s="4" t="str" cm="1">
        <f t="array" ref="K557">_xlfn.IFS(L557&gt;50,"Senior", L557&gt;=30,"Adult", L557&lt;30,"Young Adult")</f>
        <v>Adult</v>
      </c>
      <c r="L557" s="4">
        <v>36</v>
      </c>
      <c r="M557" s="4" t="s">
        <v>26</v>
      </c>
      <c r="N557" s="4">
        <v>4</v>
      </c>
      <c r="O557" s="5">
        <v>50</v>
      </c>
      <c r="P557">
        <f t="shared" si="78"/>
        <v>200</v>
      </c>
      <c r="Q557" s="14" t="e">
        <f>P557*#REF!</f>
        <v>#REF!</v>
      </c>
      <c r="R557" s="14" t="e">
        <f>P557*#REF!</f>
        <v>#REF!</v>
      </c>
    </row>
    <row r="558" spans="1:18" x14ac:dyDescent="0.35">
      <c r="A558" s="2">
        <v>547</v>
      </c>
      <c r="B558" s="4">
        <f t="shared" si="72"/>
        <v>7</v>
      </c>
      <c r="C558" s="4">
        <f t="shared" si="73"/>
        <v>3</v>
      </c>
      <c r="D558" s="4">
        <f t="shared" si="74"/>
        <v>2023</v>
      </c>
      <c r="E558" s="4" t="str">
        <f t="shared" si="75"/>
        <v>Tuesday</v>
      </c>
      <c r="F558" s="4" t="str">
        <f t="shared" si="76"/>
        <v>March</v>
      </c>
      <c r="G558" s="4" t="str">
        <f t="shared" si="77"/>
        <v>2023</v>
      </c>
      <c r="H558" s="3">
        <v>44992</v>
      </c>
      <c r="I558" s="4" t="s">
        <v>572</v>
      </c>
      <c r="J558" s="4" t="s">
        <v>20</v>
      </c>
      <c r="K558" s="4" t="str" cm="1">
        <f t="array" ref="K558">_xlfn.IFS(L558&gt;50,"Senior", L558&gt;=30,"Adult", L558&lt;30,"Young Adult")</f>
        <v>Senior</v>
      </c>
      <c r="L558" s="4">
        <v>63</v>
      </c>
      <c r="M558" s="4" t="s">
        <v>24</v>
      </c>
      <c r="N558" s="4">
        <v>4</v>
      </c>
      <c r="O558" s="5">
        <v>500</v>
      </c>
      <c r="P558">
        <f t="shared" si="78"/>
        <v>2000</v>
      </c>
      <c r="Q558" s="14" t="e">
        <f>P558*#REF!</f>
        <v>#REF!</v>
      </c>
      <c r="R558" s="14" t="e">
        <f>P558*#REF!</f>
        <v>#REF!</v>
      </c>
    </row>
    <row r="559" spans="1:18" x14ac:dyDescent="0.35">
      <c r="A559" s="2">
        <v>548</v>
      </c>
      <c r="B559" s="4">
        <f t="shared" si="72"/>
        <v>9</v>
      </c>
      <c r="C559" s="4">
        <f t="shared" si="73"/>
        <v>4</v>
      </c>
      <c r="D559" s="4">
        <f t="shared" si="74"/>
        <v>2023</v>
      </c>
      <c r="E559" s="4" t="str">
        <f t="shared" si="75"/>
        <v>Sunday</v>
      </c>
      <c r="F559" s="4" t="str">
        <f t="shared" si="76"/>
        <v>April</v>
      </c>
      <c r="G559" s="4" t="str">
        <f t="shared" si="77"/>
        <v>2023</v>
      </c>
      <c r="H559" s="3">
        <v>45025</v>
      </c>
      <c r="I559" s="4" t="s">
        <v>573</v>
      </c>
      <c r="J559" s="4" t="s">
        <v>23</v>
      </c>
      <c r="K559" s="4" t="str" cm="1">
        <f t="array" ref="K559">_xlfn.IFS(L559&gt;50,"Senior", L559&gt;=30,"Adult", L559&lt;30,"Young Adult")</f>
        <v>Senior</v>
      </c>
      <c r="L559" s="4">
        <v>51</v>
      </c>
      <c r="M559" s="4" t="s">
        <v>24</v>
      </c>
      <c r="N559" s="4">
        <v>2</v>
      </c>
      <c r="O559" s="5">
        <v>30</v>
      </c>
      <c r="P559">
        <f t="shared" si="78"/>
        <v>60</v>
      </c>
      <c r="Q559" s="14" t="e">
        <f>P559*#REF!</f>
        <v>#REF!</v>
      </c>
      <c r="R559" s="14" t="e">
        <f>P559*#REF!</f>
        <v>#REF!</v>
      </c>
    </row>
    <row r="560" spans="1:18" x14ac:dyDescent="0.35">
      <c r="A560" s="2">
        <v>549</v>
      </c>
      <c r="B560" s="4">
        <f t="shared" si="72"/>
        <v>4</v>
      </c>
      <c r="C560" s="4">
        <f t="shared" si="73"/>
        <v>8</v>
      </c>
      <c r="D560" s="4">
        <f t="shared" si="74"/>
        <v>2023</v>
      </c>
      <c r="E560" s="4" t="str">
        <f t="shared" si="75"/>
        <v>Friday</v>
      </c>
      <c r="F560" s="4" t="str">
        <f t="shared" si="76"/>
        <v>August</v>
      </c>
      <c r="G560" s="4" t="str">
        <f t="shared" si="77"/>
        <v>2023</v>
      </c>
      <c r="H560" s="3">
        <v>45142</v>
      </c>
      <c r="I560" s="4" t="s">
        <v>574</v>
      </c>
      <c r="J560" s="4" t="s">
        <v>23</v>
      </c>
      <c r="K560" s="4" t="str" cm="1">
        <f t="array" ref="K560">_xlfn.IFS(L560&gt;50,"Senior", L560&gt;=30,"Adult", L560&lt;30,"Young Adult")</f>
        <v>Adult</v>
      </c>
      <c r="L560" s="4">
        <v>50</v>
      </c>
      <c r="M560" s="4" t="s">
        <v>21</v>
      </c>
      <c r="N560" s="4">
        <v>2</v>
      </c>
      <c r="O560" s="5">
        <v>50</v>
      </c>
      <c r="P560">
        <f t="shared" si="78"/>
        <v>100</v>
      </c>
      <c r="Q560" s="14">
        <f>P560*$I$4</f>
        <v>1.5</v>
      </c>
      <c r="R560" s="14">
        <f>P560*$I$5</f>
        <v>2</v>
      </c>
    </row>
    <row r="561" spans="1:18" x14ac:dyDescent="0.35">
      <c r="A561" s="2">
        <v>550</v>
      </c>
      <c r="B561" s="4">
        <f t="shared" si="72"/>
        <v>7</v>
      </c>
      <c r="C561" s="4">
        <f t="shared" si="73"/>
        <v>12</v>
      </c>
      <c r="D561" s="4">
        <f t="shared" si="74"/>
        <v>2023</v>
      </c>
      <c r="E561" s="4" t="str">
        <f t="shared" si="75"/>
        <v>Thursday</v>
      </c>
      <c r="F561" s="4" t="str">
        <f t="shared" si="76"/>
        <v>December</v>
      </c>
      <c r="G561" s="4" t="str">
        <f t="shared" si="77"/>
        <v>2023</v>
      </c>
      <c r="H561" s="3">
        <v>45267</v>
      </c>
      <c r="I561" s="4" t="s">
        <v>575</v>
      </c>
      <c r="J561" s="4" t="s">
        <v>20</v>
      </c>
      <c r="K561" s="4" t="str" cm="1">
        <f t="array" ref="K561">_xlfn.IFS(L561&gt;50,"Senior", L561&gt;=30,"Adult", L561&lt;30,"Young Adult")</f>
        <v>Adult</v>
      </c>
      <c r="L561" s="4">
        <v>40</v>
      </c>
      <c r="M561" s="4" t="s">
        <v>24</v>
      </c>
      <c r="N561" s="4">
        <v>3</v>
      </c>
      <c r="O561" s="5">
        <v>300</v>
      </c>
      <c r="P561">
        <f t="shared" si="78"/>
        <v>900</v>
      </c>
      <c r="Q561" s="14" t="e">
        <f>P561*#REF!</f>
        <v>#REF!</v>
      </c>
      <c r="R561" s="14" t="e">
        <f>P561*#REF!</f>
        <v>#REF!</v>
      </c>
    </row>
    <row r="562" spans="1:18" x14ac:dyDescent="0.35">
      <c r="A562" s="2">
        <v>551</v>
      </c>
      <c r="B562" s="4">
        <f t="shared" si="72"/>
        <v>14</v>
      </c>
      <c r="C562" s="4">
        <f t="shared" si="73"/>
        <v>7</v>
      </c>
      <c r="D562" s="4">
        <f t="shared" si="74"/>
        <v>2023</v>
      </c>
      <c r="E562" s="4" t="str">
        <f t="shared" si="75"/>
        <v>Friday</v>
      </c>
      <c r="F562" s="4" t="str">
        <f t="shared" si="76"/>
        <v>July</v>
      </c>
      <c r="G562" s="4" t="str">
        <f t="shared" si="77"/>
        <v>2023</v>
      </c>
      <c r="H562" s="3">
        <v>45121</v>
      </c>
      <c r="I562" s="4" t="s">
        <v>576</v>
      </c>
      <c r="J562" s="4" t="s">
        <v>20</v>
      </c>
      <c r="K562" s="4" t="str" cm="1">
        <f t="array" ref="K562">_xlfn.IFS(L562&gt;50,"Senior", L562&gt;=30,"Adult", L562&lt;30,"Young Adult")</f>
        <v>Adult</v>
      </c>
      <c r="L562" s="4">
        <v>45</v>
      </c>
      <c r="M562" s="4" t="s">
        <v>26</v>
      </c>
      <c r="N562" s="4">
        <v>3</v>
      </c>
      <c r="O562" s="5">
        <v>300</v>
      </c>
      <c r="P562">
        <f t="shared" si="78"/>
        <v>900</v>
      </c>
      <c r="Q562" s="14" t="e">
        <f>P562*#REF!</f>
        <v>#REF!</v>
      </c>
      <c r="R562" s="14" t="e">
        <f>P562*#REF!</f>
        <v>#REF!</v>
      </c>
    </row>
    <row r="563" spans="1:18" x14ac:dyDescent="0.35">
      <c r="A563" s="2">
        <v>552</v>
      </c>
      <c r="B563" s="4">
        <f t="shared" si="72"/>
        <v>13</v>
      </c>
      <c r="C563" s="4">
        <f t="shared" si="73"/>
        <v>12</v>
      </c>
      <c r="D563" s="4">
        <f t="shared" si="74"/>
        <v>2023</v>
      </c>
      <c r="E563" s="4" t="str">
        <f t="shared" si="75"/>
        <v>Wednesday</v>
      </c>
      <c r="F563" s="4" t="str">
        <f t="shared" si="76"/>
        <v>December</v>
      </c>
      <c r="G563" s="4" t="str">
        <f t="shared" si="77"/>
        <v>2023</v>
      </c>
      <c r="H563" s="3">
        <v>45273</v>
      </c>
      <c r="I563" s="4" t="s">
        <v>577</v>
      </c>
      <c r="J563" s="4" t="s">
        <v>23</v>
      </c>
      <c r="K563" s="4" t="str" cm="1">
        <f t="array" ref="K563">_xlfn.IFS(L563&gt;50,"Senior", L563&gt;=30,"Adult", L563&lt;30,"Young Adult")</f>
        <v>Adult</v>
      </c>
      <c r="L563" s="4">
        <v>49</v>
      </c>
      <c r="M563" s="4" t="s">
        <v>26</v>
      </c>
      <c r="N563" s="4">
        <v>3</v>
      </c>
      <c r="O563" s="5">
        <v>25</v>
      </c>
      <c r="P563">
        <f t="shared" si="78"/>
        <v>75</v>
      </c>
      <c r="Q563" s="14" t="e">
        <f>P563*#REF!</f>
        <v>#REF!</v>
      </c>
      <c r="R563" s="14" t="e">
        <f>P563*#REF!</f>
        <v>#REF!</v>
      </c>
    </row>
    <row r="564" spans="1:18" x14ac:dyDescent="0.35">
      <c r="A564" s="2">
        <v>553</v>
      </c>
      <c r="B564" s="4">
        <f t="shared" si="72"/>
        <v>31</v>
      </c>
      <c r="C564" s="4">
        <f t="shared" si="73"/>
        <v>3</v>
      </c>
      <c r="D564" s="4">
        <f t="shared" si="74"/>
        <v>2023</v>
      </c>
      <c r="E564" s="4" t="str">
        <f t="shared" si="75"/>
        <v>Friday</v>
      </c>
      <c r="F564" s="4" t="str">
        <f t="shared" si="76"/>
        <v>March</v>
      </c>
      <c r="G564" s="4" t="str">
        <f t="shared" si="77"/>
        <v>2023</v>
      </c>
      <c r="H564" s="3">
        <v>45016</v>
      </c>
      <c r="I564" s="4" t="s">
        <v>578</v>
      </c>
      <c r="J564" s="4" t="s">
        <v>20</v>
      </c>
      <c r="K564" s="4" t="str" cm="1">
        <f t="array" ref="K564">_xlfn.IFS(L564&gt;50,"Senior", L564&gt;=30,"Adult", L564&lt;30,"Young Adult")</f>
        <v>Young Adult</v>
      </c>
      <c r="L564" s="4">
        <v>24</v>
      </c>
      <c r="M564" s="4" t="s">
        <v>24</v>
      </c>
      <c r="N564" s="4">
        <v>4</v>
      </c>
      <c r="O564" s="5">
        <v>300</v>
      </c>
      <c r="P564">
        <f t="shared" si="78"/>
        <v>1200</v>
      </c>
      <c r="Q564" s="14" t="e">
        <f>P564*#REF!</f>
        <v>#REF!</v>
      </c>
      <c r="R564" s="14" t="e">
        <f>P564*#REF!</f>
        <v>#REF!</v>
      </c>
    </row>
    <row r="565" spans="1:18" x14ac:dyDescent="0.35">
      <c r="A565" s="2">
        <v>554</v>
      </c>
      <c r="B565" s="4">
        <f t="shared" si="72"/>
        <v>12</v>
      </c>
      <c r="C565" s="4">
        <f t="shared" si="73"/>
        <v>11</v>
      </c>
      <c r="D565" s="4">
        <f t="shared" si="74"/>
        <v>2023</v>
      </c>
      <c r="E565" s="4" t="str">
        <f t="shared" si="75"/>
        <v>Sunday</v>
      </c>
      <c r="F565" s="4" t="str">
        <f t="shared" si="76"/>
        <v>November</v>
      </c>
      <c r="G565" s="4" t="str">
        <f t="shared" si="77"/>
        <v>2023</v>
      </c>
      <c r="H565" s="3">
        <v>45242</v>
      </c>
      <c r="I565" s="4" t="s">
        <v>579</v>
      </c>
      <c r="J565" s="4" t="s">
        <v>23</v>
      </c>
      <c r="K565" s="4" t="str" cm="1">
        <f t="array" ref="K565">_xlfn.IFS(L565&gt;50,"Senior", L565&gt;=30,"Adult", L565&lt;30,"Young Adult")</f>
        <v>Adult</v>
      </c>
      <c r="L565" s="4">
        <v>46</v>
      </c>
      <c r="M565" s="4" t="s">
        <v>21</v>
      </c>
      <c r="N565" s="4">
        <v>3</v>
      </c>
      <c r="O565" s="5">
        <v>50</v>
      </c>
      <c r="P565">
        <f t="shared" si="78"/>
        <v>150</v>
      </c>
      <c r="Q565" s="14">
        <f t="shared" ref="Q565:Q566" si="87">P565*$I$4</f>
        <v>2.25</v>
      </c>
      <c r="R565" s="14">
        <f t="shared" ref="R565:R566" si="88">P565*$I$5</f>
        <v>3</v>
      </c>
    </row>
    <row r="566" spans="1:18" x14ac:dyDescent="0.35">
      <c r="A566" s="2">
        <v>555</v>
      </c>
      <c r="B566" s="4">
        <f t="shared" si="72"/>
        <v>19</v>
      </c>
      <c r="C566" s="4">
        <f t="shared" si="73"/>
        <v>10</v>
      </c>
      <c r="D566" s="4">
        <f t="shared" si="74"/>
        <v>2023</v>
      </c>
      <c r="E566" s="4" t="str">
        <f t="shared" si="75"/>
        <v>Thursday</v>
      </c>
      <c r="F566" s="4" t="str">
        <f t="shared" si="76"/>
        <v>October</v>
      </c>
      <c r="G566" s="4" t="str">
        <f t="shared" si="77"/>
        <v>2023</v>
      </c>
      <c r="H566" s="3">
        <v>45218</v>
      </c>
      <c r="I566" s="4" t="s">
        <v>580</v>
      </c>
      <c r="J566" s="4" t="s">
        <v>20</v>
      </c>
      <c r="K566" s="4" t="str" cm="1">
        <f t="array" ref="K566">_xlfn.IFS(L566&gt;50,"Senior", L566&gt;=30,"Adult", L566&lt;30,"Young Adult")</f>
        <v>Young Adult</v>
      </c>
      <c r="L566" s="4">
        <v>25</v>
      </c>
      <c r="M566" s="4" t="s">
        <v>21</v>
      </c>
      <c r="N566" s="4">
        <v>1</v>
      </c>
      <c r="O566" s="5">
        <v>300</v>
      </c>
      <c r="P566">
        <f t="shared" si="78"/>
        <v>300</v>
      </c>
      <c r="Q566" s="14">
        <f t="shared" si="87"/>
        <v>4.5</v>
      </c>
      <c r="R566" s="14">
        <f t="shared" si="88"/>
        <v>6</v>
      </c>
    </row>
    <row r="567" spans="1:18" x14ac:dyDescent="0.35">
      <c r="A567" s="2">
        <v>556</v>
      </c>
      <c r="B567" s="4">
        <f t="shared" si="72"/>
        <v>4</v>
      </c>
      <c r="C567" s="4">
        <f t="shared" si="73"/>
        <v>6</v>
      </c>
      <c r="D567" s="4">
        <f t="shared" si="74"/>
        <v>2023</v>
      </c>
      <c r="E567" s="4" t="str">
        <f t="shared" si="75"/>
        <v>Sunday</v>
      </c>
      <c r="F567" s="4" t="str">
        <f t="shared" si="76"/>
        <v>June</v>
      </c>
      <c r="G567" s="4" t="str">
        <f t="shared" si="77"/>
        <v>2023</v>
      </c>
      <c r="H567" s="3">
        <v>45081</v>
      </c>
      <c r="I567" s="4" t="s">
        <v>581</v>
      </c>
      <c r="J567" s="4" t="s">
        <v>23</v>
      </c>
      <c r="K567" s="4" t="str" cm="1">
        <f t="array" ref="K567">_xlfn.IFS(L567&gt;50,"Senior", L567&gt;=30,"Adult", L567&lt;30,"Young Adult")</f>
        <v>Young Adult</v>
      </c>
      <c r="L567" s="4">
        <v>18</v>
      </c>
      <c r="M567" s="4" t="s">
        <v>26</v>
      </c>
      <c r="N567" s="4">
        <v>1</v>
      </c>
      <c r="O567" s="5">
        <v>50</v>
      </c>
      <c r="P567">
        <f t="shared" si="78"/>
        <v>50</v>
      </c>
      <c r="Q567" s="14" t="e">
        <f>P567*#REF!</f>
        <v>#REF!</v>
      </c>
      <c r="R567" s="14" t="e">
        <f>P567*#REF!</f>
        <v>#REF!</v>
      </c>
    </row>
    <row r="568" spans="1:18" x14ac:dyDescent="0.35">
      <c r="A568" s="2">
        <v>557</v>
      </c>
      <c r="B568" s="4">
        <f t="shared" si="72"/>
        <v>27</v>
      </c>
      <c r="C568" s="4">
        <f t="shared" si="73"/>
        <v>7</v>
      </c>
      <c r="D568" s="4">
        <f t="shared" si="74"/>
        <v>2023</v>
      </c>
      <c r="E568" s="4" t="str">
        <f t="shared" si="75"/>
        <v>Thursday</v>
      </c>
      <c r="F568" s="4" t="str">
        <f t="shared" si="76"/>
        <v>July</v>
      </c>
      <c r="G568" s="4" t="str">
        <f t="shared" si="77"/>
        <v>2023</v>
      </c>
      <c r="H568" s="3">
        <v>45134</v>
      </c>
      <c r="I568" s="4" t="s">
        <v>582</v>
      </c>
      <c r="J568" s="4" t="s">
        <v>23</v>
      </c>
      <c r="K568" s="4" t="str" cm="1">
        <f t="array" ref="K568">_xlfn.IFS(L568&gt;50,"Senior", L568&gt;=30,"Adult", L568&lt;30,"Young Adult")</f>
        <v>Young Adult</v>
      </c>
      <c r="L568" s="4">
        <v>20</v>
      </c>
      <c r="M568" s="4" t="s">
        <v>21</v>
      </c>
      <c r="N568" s="4">
        <v>3</v>
      </c>
      <c r="O568" s="5">
        <v>30</v>
      </c>
      <c r="P568">
        <f t="shared" si="78"/>
        <v>90</v>
      </c>
      <c r="Q568" s="14">
        <f>P568*$I$4</f>
        <v>1.3499999999999999</v>
      </c>
      <c r="R568" s="14">
        <f>P568*$I$5</f>
        <v>1.8</v>
      </c>
    </row>
    <row r="569" spans="1:18" x14ac:dyDescent="0.35">
      <c r="A569" s="2">
        <v>558</v>
      </c>
      <c r="B569" s="4">
        <f t="shared" si="72"/>
        <v>8</v>
      </c>
      <c r="C569" s="4">
        <f t="shared" si="73"/>
        <v>10</v>
      </c>
      <c r="D569" s="4">
        <f t="shared" si="74"/>
        <v>2023</v>
      </c>
      <c r="E569" s="4" t="str">
        <f t="shared" si="75"/>
        <v>Sunday</v>
      </c>
      <c r="F569" s="4" t="str">
        <f t="shared" si="76"/>
        <v>October</v>
      </c>
      <c r="G569" s="4" t="str">
        <f t="shared" si="77"/>
        <v>2023</v>
      </c>
      <c r="H569" s="3">
        <v>45207</v>
      </c>
      <c r="I569" s="4" t="s">
        <v>583</v>
      </c>
      <c r="J569" s="4" t="s">
        <v>23</v>
      </c>
      <c r="K569" s="4" t="str" cm="1">
        <f t="array" ref="K569">_xlfn.IFS(L569&gt;50,"Senior", L569&gt;=30,"Adult", L569&lt;30,"Young Adult")</f>
        <v>Adult</v>
      </c>
      <c r="L569" s="4">
        <v>41</v>
      </c>
      <c r="M569" s="4" t="s">
        <v>24</v>
      </c>
      <c r="N569" s="4">
        <v>1</v>
      </c>
      <c r="O569" s="5">
        <v>25</v>
      </c>
      <c r="P569">
        <f t="shared" si="78"/>
        <v>25</v>
      </c>
      <c r="Q569" s="14" t="e">
        <f>P569*#REF!</f>
        <v>#REF!</v>
      </c>
      <c r="R569" s="14" t="e">
        <f>P569*#REF!</f>
        <v>#REF!</v>
      </c>
    </row>
    <row r="570" spans="1:18" x14ac:dyDescent="0.35">
      <c r="A570" s="2">
        <v>559</v>
      </c>
      <c r="B570" s="4">
        <f t="shared" si="72"/>
        <v>1</v>
      </c>
      <c r="C570" s="4">
        <f t="shared" si="73"/>
        <v>1</v>
      </c>
      <c r="D570" s="4">
        <f t="shared" si="74"/>
        <v>2023</v>
      </c>
      <c r="E570" s="4" t="str">
        <f t="shared" si="75"/>
        <v>Sunday</v>
      </c>
      <c r="F570" s="4" t="str">
        <f t="shared" si="76"/>
        <v>January</v>
      </c>
      <c r="G570" s="4" t="str">
        <f t="shared" si="77"/>
        <v>2023</v>
      </c>
      <c r="H570" s="3">
        <v>44927</v>
      </c>
      <c r="I570" s="4" t="s">
        <v>584</v>
      </c>
      <c r="J570" s="4" t="s">
        <v>23</v>
      </c>
      <c r="K570" s="4" t="str" cm="1">
        <f t="array" ref="K570">_xlfn.IFS(L570&gt;50,"Senior", L570&gt;=30,"Adult", L570&lt;30,"Young Adult")</f>
        <v>Adult</v>
      </c>
      <c r="L570" s="4">
        <v>40</v>
      </c>
      <c r="M570" s="4" t="s">
        <v>24</v>
      </c>
      <c r="N570" s="4">
        <v>4</v>
      </c>
      <c r="O570" s="5">
        <v>300</v>
      </c>
      <c r="P570">
        <f t="shared" si="78"/>
        <v>1200</v>
      </c>
      <c r="Q570" s="14" t="e">
        <f>P570*#REF!</f>
        <v>#REF!</v>
      </c>
      <c r="R570" s="14" t="e">
        <f>P570*#REF!</f>
        <v>#REF!</v>
      </c>
    </row>
    <row r="571" spans="1:18" x14ac:dyDescent="0.35">
      <c r="A571" s="2">
        <v>560</v>
      </c>
      <c r="B571" s="4">
        <f t="shared" si="72"/>
        <v>5</v>
      </c>
      <c r="C571" s="4">
        <f t="shared" si="73"/>
        <v>6</v>
      </c>
      <c r="D571" s="4">
        <f t="shared" si="74"/>
        <v>2023</v>
      </c>
      <c r="E571" s="4" t="str">
        <f t="shared" si="75"/>
        <v>Monday</v>
      </c>
      <c r="F571" s="4" t="str">
        <f t="shared" si="76"/>
        <v>June</v>
      </c>
      <c r="G571" s="4" t="str">
        <f t="shared" si="77"/>
        <v>2023</v>
      </c>
      <c r="H571" s="3">
        <v>45082</v>
      </c>
      <c r="I571" s="4" t="s">
        <v>585</v>
      </c>
      <c r="J571" s="4" t="s">
        <v>23</v>
      </c>
      <c r="K571" s="4" t="str" cm="1">
        <f t="array" ref="K571">_xlfn.IFS(L571&gt;50,"Senior", L571&gt;=30,"Adult", L571&lt;30,"Young Adult")</f>
        <v>Young Adult</v>
      </c>
      <c r="L571" s="4">
        <v>25</v>
      </c>
      <c r="M571" s="4" t="s">
        <v>26</v>
      </c>
      <c r="N571" s="4">
        <v>1</v>
      </c>
      <c r="O571" s="5">
        <v>50</v>
      </c>
      <c r="P571">
        <f t="shared" si="78"/>
        <v>50</v>
      </c>
      <c r="Q571" s="14" t="e">
        <f>P571*#REF!</f>
        <v>#REF!</v>
      </c>
      <c r="R571" s="14" t="e">
        <f>P571*#REF!</f>
        <v>#REF!</v>
      </c>
    </row>
    <row r="572" spans="1:18" x14ac:dyDescent="0.35">
      <c r="A572" s="2">
        <v>561</v>
      </c>
      <c r="B572" s="4">
        <f t="shared" si="72"/>
        <v>27</v>
      </c>
      <c r="C572" s="4">
        <f t="shared" si="73"/>
        <v>5</v>
      </c>
      <c r="D572" s="4">
        <f t="shared" si="74"/>
        <v>2023</v>
      </c>
      <c r="E572" s="4" t="str">
        <f t="shared" si="75"/>
        <v>Saturday</v>
      </c>
      <c r="F572" s="4" t="str">
        <f t="shared" si="76"/>
        <v>May</v>
      </c>
      <c r="G572" s="4" t="str">
        <f t="shared" si="77"/>
        <v>2023</v>
      </c>
      <c r="H572" s="3">
        <v>45073</v>
      </c>
      <c r="I572" s="4" t="s">
        <v>586</v>
      </c>
      <c r="J572" s="4" t="s">
        <v>23</v>
      </c>
      <c r="K572" s="4" t="str" cm="1">
        <f t="array" ref="K572">_xlfn.IFS(L572&gt;50,"Senior", L572&gt;=30,"Adult", L572&lt;30,"Young Adult")</f>
        <v>Senior</v>
      </c>
      <c r="L572" s="4">
        <v>64</v>
      </c>
      <c r="M572" s="4" t="s">
        <v>24</v>
      </c>
      <c r="N572" s="4">
        <v>4</v>
      </c>
      <c r="O572" s="5">
        <v>500</v>
      </c>
      <c r="P572">
        <f t="shared" si="78"/>
        <v>2000</v>
      </c>
      <c r="Q572" s="14" t="e">
        <f>P572*#REF!</f>
        <v>#REF!</v>
      </c>
      <c r="R572" s="14" t="e">
        <f>P572*#REF!</f>
        <v>#REF!</v>
      </c>
    </row>
    <row r="573" spans="1:18" x14ac:dyDescent="0.35">
      <c r="A573" s="2">
        <v>562</v>
      </c>
      <c r="B573" s="4">
        <f t="shared" si="72"/>
        <v>18</v>
      </c>
      <c r="C573" s="4">
        <f t="shared" si="73"/>
        <v>4</v>
      </c>
      <c r="D573" s="4">
        <f t="shared" si="74"/>
        <v>2023</v>
      </c>
      <c r="E573" s="4" t="str">
        <f t="shared" si="75"/>
        <v>Tuesday</v>
      </c>
      <c r="F573" s="4" t="str">
        <f t="shared" si="76"/>
        <v>April</v>
      </c>
      <c r="G573" s="4" t="str">
        <f t="shared" si="77"/>
        <v>2023</v>
      </c>
      <c r="H573" s="3">
        <v>45034</v>
      </c>
      <c r="I573" s="4" t="s">
        <v>587</v>
      </c>
      <c r="J573" s="4" t="s">
        <v>20</v>
      </c>
      <c r="K573" s="4" t="str" cm="1">
        <f t="array" ref="K573">_xlfn.IFS(L573&gt;50,"Senior", L573&gt;=30,"Adult", L573&lt;30,"Young Adult")</f>
        <v>Senior</v>
      </c>
      <c r="L573" s="4">
        <v>54</v>
      </c>
      <c r="M573" s="4" t="s">
        <v>26</v>
      </c>
      <c r="N573" s="4">
        <v>2</v>
      </c>
      <c r="O573" s="5">
        <v>25</v>
      </c>
      <c r="P573">
        <f t="shared" si="78"/>
        <v>50</v>
      </c>
      <c r="Q573" s="14" t="e">
        <f>P573*#REF!</f>
        <v>#REF!</v>
      </c>
      <c r="R573" s="14" t="e">
        <f>P573*#REF!</f>
        <v>#REF!</v>
      </c>
    </row>
    <row r="574" spans="1:18" x14ac:dyDescent="0.35">
      <c r="A574" s="2">
        <v>563</v>
      </c>
      <c r="B574" s="4">
        <f t="shared" si="72"/>
        <v>9</v>
      </c>
      <c r="C574" s="4">
        <f t="shared" si="73"/>
        <v>8</v>
      </c>
      <c r="D574" s="4">
        <f t="shared" si="74"/>
        <v>2023</v>
      </c>
      <c r="E574" s="4" t="str">
        <f t="shared" si="75"/>
        <v>Wednesday</v>
      </c>
      <c r="F574" s="4" t="str">
        <f t="shared" si="76"/>
        <v>August</v>
      </c>
      <c r="G574" s="4" t="str">
        <f t="shared" si="77"/>
        <v>2023</v>
      </c>
      <c r="H574" s="3">
        <v>45147</v>
      </c>
      <c r="I574" s="4" t="s">
        <v>588</v>
      </c>
      <c r="J574" s="4" t="s">
        <v>20</v>
      </c>
      <c r="K574" s="4" t="str" cm="1">
        <f t="array" ref="K574">_xlfn.IFS(L574&gt;50,"Senior", L574&gt;=30,"Adult", L574&lt;30,"Young Adult")</f>
        <v>Young Adult</v>
      </c>
      <c r="L574" s="4">
        <v>20</v>
      </c>
      <c r="M574" s="4" t="s">
        <v>24</v>
      </c>
      <c r="N574" s="4">
        <v>2</v>
      </c>
      <c r="O574" s="5">
        <v>30</v>
      </c>
      <c r="P574">
        <f t="shared" si="78"/>
        <v>60</v>
      </c>
      <c r="Q574" s="14" t="e">
        <f>P574*#REF!</f>
        <v>#REF!</v>
      </c>
      <c r="R574" s="14" t="e">
        <f>P574*#REF!</f>
        <v>#REF!</v>
      </c>
    </row>
    <row r="575" spans="1:18" x14ac:dyDescent="0.35">
      <c r="A575" s="2">
        <v>564</v>
      </c>
      <c r="B575" s="4">
        <f t="shared" si="72"/>
        <v>24</v>
      </c>
      <c r="C575" s="4">
        <f t="shared" si="73"/>
        <v>10</v>
      </c>
      <c r="D575" s="4">
        <f t="shared" si="74"/>
        <v>2023</v>
      </c>
      <c r="E575" s="4" t="str">
        <f t="shared" si="75"/>
        <v>Tuesday</v>
      </c>
      <c r="F575" s="4" t="str">
        <f t="shared" si="76"/>
        <v>October</v>
      </c>
      <c r="G575" s="4" t="str">
        <f t="shared" si="77"/>
        <v>2023</v>
      </c>
      <c r="H575" s="3">
        <v>45223</v>
      </c>
      <c r="I575" s="4" t="s">
        <v>589</v>
      </c>
      <c r="J575" s="4" t="s">
        <v>20</v>
      </c>
      <c r="K575" s="4" t="str" cm="1">
        <f t="array" ref="K575">_xlfn.IFS(L575&gt;50,"Senior", L575&gt;=30,"Adult", L575&lt;30,"Young Adult")</f>
        <v>Adult</v>
      </c>
      <c r="L575" s="4">
        <v>50</v>
      </c>
      <c r="M575" s="4" t="s">
        <v>26</v>
      </c>
      <c r="N575" s="4">
        <v>2</v>
      </c>
      <c r="O575" s="5">
        <v>50</v>
      </c>
      <c r="P575">
        <f t="shared" si="78"/>
        <v>100</v>
      </c>
      <c r="Q575" s="14" t="e">
        <f>P575*#REF!</f>
        <v>#REF!</v>
      </c>
      <c r="R575" s="14" t="e">
        <f>P575*#REF!</f>
        <v>#REF!</v>
      </c>
    </row>
    <row r="576" spans="1:18" x14ac:dyDescent="0.35">
      <c r="A576" s="2">
        <v>565</v>
      </c>
      <c r="B576" s="4">
        <f t="shared" si="72"/>
        <v>7</v>
      </c>
      <c r="C576" s="4">
        <f t="shared" si="73"/>
        <v>11</v>
      </c>
      <c r="D576" s="4">
        <f t="shared" si="74"/>
        <v>2023</v>
      </c>
      <c r="E576" s="4" t="str">
        <f t="shared" si="75"/>
        <v>Tuesday</v>
      </c>
      <c r="F576" s="4" t="str">
        <f t="shared" si="76"/>
        <v>November</v>
      </c>
      <c r="G576" s="4" t="str">
        <f t="shared" si="77"/>
        <v>2023</v>
      </c>
      <c r="H576" s="3">
        <v>45237</v>
      </c>
      <c r="I576" s="4" t="s">
        <v>590</v>
      </c>
      <c r="J576" s="4" t="s">
        <v>23</v>
      </c>
      <c r="K576" s="4" t="str" cm="1">
        <f t="array" ref="K576">_xlfn.IFS(L576&gt;50,"Senior", L576&gt;=30,"Adult", L576&lt;30,"Young Adult")</f>
        <v>Adult</v>
      </c>
      <c r="L576" s="4">
        <v>45</v>
      </c>
      <c r="M576" s="4" t="s">
        <v>21</v>
      </c>
      <c r="N576" s="4">
        <v>2</v>
      </c>
      <c r="O576" s="5">
        <v>30</v>
      </c>
      <c r="P576">
        <f t="shared" si="78"/>
        <v>60</v>
      </c>
      <c r="Q576" s="14">
        <f>P576*$I$4</f>
        <v>0.89999999999999991</v>
      </c>
      <c r="R576" s="14">
        <f>P576*$I$5</f>
        <v>1.2</v>
      </c>
    </row>
    <row r="577" spans="1:18" x14ac:dyDescent="0.35">
      <c r="A577" s="2">
        <v>566</v>
      </c>
      <c r="B577" s="4">
        <f t="shared" si="72"/>
        <v>2</v>
      </c>
      <c r="C577" s="4">
        <f t="shared" si="73"/>
        <v>12</v>
      </c>
      <c r="D577" s="4">
        <f t="shared" si="74"/>
        <v>2023</v>
      </c>
      <c r="E577" s="4" t="str">
        <f t="shared" si="75"/>
        <v>Saturday</v>
      </c>
      <c r="F577" s="4" t="str">
        <f t="shared" si="76"/>
        <v>December</v>
      </c>
      <c r="G577" s="4" t="str">
        <f t="shared" si="77"/>
        <v>2023</v>
      </c>
      <c r="H577" s="3">
        <v>45262</v>
      </c>
      <c r="I577" s="4" t="s">
        <v>591</v>
      </c>
      <c r="J577" s="4" t="s">
        <v>23</v>
      </c>
      <c r="K577" s="4" t="str" cm="1">
        <f t="array" ref="K577">_xlfn.IFS(L577&gt;50,"Senior", L577&gt;=30,"Adult", L577&lt;30,"Young Adult")</f>
        <v>Senior</v>
      </c>
      <c r="L577" s="4">
        <v>64</v>
      </c>
      <c r="M577" s="4" t="s">
        <v>24</v>
      </c>
      <c r="N577" s="4">
        <v>1</v>
      </c>
      <c r="O577" s="5">
        <v>30</v>
      </c>
      <c r="P577">
        <f t="shared" si="78"/>
        <v>30</v>
      </c>
      <c r="Q577" s="14" t="e">
        <f>P577*#REF!</f>
        <v>#REF!</v>
      </c>
      <c r="R577" s="14" t="e">
        <f>P577*#REF!</f>
        <v>#REF!</v>
      </c>
    </row>
    <row r="578" spans="1:18" x14ac:dyDescent="0.35">
      <c r="A578" s="2">
        <v>567</v>
      </c>
      <c r="B578" s="4">
        <f t="shared" si="72"/>
        <v>14</v>
      </c>
      <c r="C578" s="4">
        <f t="shared" si="73"/>
        <v>6</v>
      </c>
      <c r="D578" s="4">
        <f t="shared" si="74"/>
        <v>2023</v>
      </c>
      <c r="E578" s="4" t="str">
        <f t="shared" si="75"/>
        <v>Wednesday</v>
      </c>
      <c r="F578" s="4" t="str">
        <f t="shared" si="76"/>
        <v>June</v>
      </c>
      <c r="G578" s="4" t="str">
        <f t="shared" si="77"/>
        <v>2023</v>
      </c>
      <c r="H578" s="3">
        <v>45091</v>
      </c>
      <c r="I578" s="4" t="s">
        <v>592</v>
      </c>
      <c r="J578" s="4" t="s">
        <v>23</v>
      </c>
      <c r="K578" s="4" t="str" cm="1">
        <f t="array" ref="K578">_xlfn.IFS(L578&gt;50,"Senior", L578&gt;=30,"Adult", L578&lt;30,"Young Adult")</f>
        <v>Young Adult</v>
      </c>
      <c r="L578" s="4">
        <v>25</v>
      </c>
      <c r="M578" s="4" t="s">
        <v>24</v>
      </c>
      <c r="N578" s="4">
        <v>3</v>
      </c>
      <c r="O578" s="5">
        <v>300</v>
      </c>
      <c r="P578">
        <f t="shared" si="78"/>
        <v>900</v>
      </c>
      <c r="Q578" s="14" t="e">
        <f>P578*#REF!</f>
        <v>#REF!</v>
      </c>
      <c r="R578" s="14" t="e">
        <f>P578*#REF!</f>
        <v>#REF!</v>
      </c>
    </row>
    <row r="579" spans="1:18" x14ac:dyDescent="0.35">
      <c r="A579" s="2">
        <v>568</v>
      </c>
      <c r="B579" s="4">
        <f t="shared" si="72"/>
        <v>27</v>
      </c>
      <c r="C579" s="4">
        <f t="shared" si="73"/>
        <v>8</v>
      </c>
      <c r="D579" s="4">
        <f t="shared" si="74"/>
        <v>2023</v>
      </c>
      <c r="E579" s="4" t="str">
        <f t="shared" si="75"/>
        <v>Sunday</v>
      </c>
      <c r="F579" s="4" t="str">
        <f t="shared" si="76"/>
        <v>August</v>
      </c>
      <c r="G579" s="4" t="str">
        <f t="shared" si="77"/>
        <v>2023</v>
      </c>
      <c r="H579" s="3">
        <v>45165</v>
      </c>
      <c r="I579" s="4" t="s">
        <v>593</v>
      </c>
      <c r="J579" s="4" t="s">
        <v>23</v>
      </c>
      <c r="K579" s="4" t="str" cm="1">
        <f t="array" ref="K579">_xlfn.IFS(L579&gt;50,"Senior", L579&gt;=30,"Adult", L579&lt;30,"Young Adult")</f>
        <v>Senior</v>
      </c>
      <c r="L579" s="4">
        <v>51</v>
      </c>
      <c r="M579" s="4" t="s">
        <v>26</v>
      </c>
      <c r="N579" s="4">
        <v>1</v>
      </c>
      <c r="O579" s="5">
        <v>300</v>
      </c>
      <c r="P579">
        <f t="shared" si="78"/>
        <v>300</v>
      </c>
      <c r="Q579" s="14" t="e">
        <f>P579*#REF!</f>
        <v>#REF!</v>
      </c>
      <c r="R579" s="14" t="e">
        <f>P579*#REF!</f>
        <v>#REF!</v>
      </c>
    </row>
    <row r="580" spans="1:18" x14ac:dyDescent="0.35">
      <c r="A580" s="2">
        <v>569</v>
      </c>
      <c r="B580" s="4">
        <f t="shared" si="72"/>
        <v>15</v>
      </c>
      <c r="C580" s="4">
        <f t="shared" si="73"/>
        <v>8</v>
      </c>
      <c r="D580" s="4">
        <f t="shared" si="74"/>
        <v>2023</v>
      </c>
      <c r="E580" s="4" t="str">
        <f t="shared" si="75"/>
        <v>Tuesday</v>
      </c>
      <c r="F580" s="4" t="str">
        <f t="shared" si="76"/>
        <v>August</v>
      </c>
      <c r="G580" s="4" t="str">
        <f t="shared" si="77"/>
        <v>2023</v>
      </c>
      <c r="H580" s="3">
        <v>45153</v>
      </c>
      <c r="I580" s="4" t="s">
        <v>594</v>
      </c>
      <c r="J580" s="4" t="s">
        <v>20</v>
      </c>
      <c r="K580" s="4" t="str" cm="1">
        <f t="array" ref="K580">_xlfn.IFS(L580&gt;50,"Senior", L580&gt;=30,"Adult", L580&lt;30,"Young Adult")</f>
        <v>Senior</v>
      </c>
      <c r="L580" s="4">
        <v>52</v>
      </c>
      <c r="M580" s="4" t="s">
        <v>26</v>
      </c>
      <c r="N580" s="4">
        <v>4</v>
      </c>
      <c r="O580" s="5">
        <v>50</v>
      </c>
      <c r="P580">
        <f t="shared" si="78"/>
        <v>200</v>
      </c>
      <c r="Q580" s="14" t="e">
        <f>P580*#REF!</f>
        <v>#REF!</v>
      </c>
      <c r="R580" s="14" t="e">
        <f>P580*#REF!</f>
        <v>#REF!</v>
      </c>
    </row>
    <row r="581" spans="1:18" x14ac:dyDescent="0.35">
      <c r="A581" s="2">
        <v>570</v>
      </c>
      <c r="B581" s="4">
        <f t="shared" si="72"/>
        <v>15</v>
      </c>
      <c r="C581" s="4">
        <f t="shared" si="73"/>
        <v>8</v>
      </c>
      <c r="D581" s="4">
        <f t="shared" si="74"/>
        <v>2023</v>
      </c>
      <c r="E581" s="4" t="str">
        <f t="shared" si="75"/>
        <v>Tuesday</v>
      </c>
      <c r="F581" s="4" t="str">
        <f t="shared" si="76"/>
        <v>August</v>
      </c>
      <c r="G581" s="4" t="str">
        <f t="shared" si="77"/>
        <v>2023</v>
      </c>
      <c r="H581" s="3">
        <v>45153</v>
      </c>
      <c r="I581" s="4" t="s">
        <v>595</v>
      </c>
      <c r="J581" s="4" t="s">
        <v>20</v>
      </c>
      <c r="K581" s="4" t="str" cm="1">
        <f t="array" ref="K581">_xlfn.IFS(L581&gt;50,"Senior", L581&gt;=30,"Adult", L581&lt;30,"Young Adult")</f>
        <v>Adult</v>
      </c>
      <c r="L581" s="4">
        <v>49</v>
      </c>
      <c r="M581" s="4" t="s">
        <v>24</v>
      </c>
      <c r="N581" s="4">
        <v>1</v>
      </c>
      <c r="O581" s="5">
        <v>500</v>
      </c>
      <c r="P581">
        <f t="shared" si="78"/>
        <v>500</v>
      </c>
      <c r="Q581" s="14" t="e">
        <f>P581*#REF!</f>
        <v>#REF!</v>
      </c>
      <c r="R581" s="14" t="e">
        <f>P581*#REF!</f>
        <v>#REF!</v>
      </c>
    </row>
    <row r="582" spans="1:18" x14ac:dyDescent="0.35">
      <c r="A582" s="2">
        <v>571</v>
      </c>
      <c r="B582" s="4">
        <f t="shared" si="72"/>
        <v>12</v>
      </c>
      <c r="C582" s="4">
        <f t="shared" si="73"/>
        <v>12</v>
      </c>
      <c r="D582" s="4">
        <f t="shared" si="74"/>
        <v>2023</v>
      </c>
      <c r="E582" s="4" t="str">
        <f t="shared" si="75"/>
        <v>Tuesday</v>
      </c>
      <c r="F582" s="4" t="str">
        <f t="shared" si="76"/>
        <v>December</v>
      </c>
      <c r="G582" s="4" t="str">
        <f t="shared" si="77"/>
        <v>2023</v>
      </c>
      <c r="H582" s="3">
        <v>45272</v>
      </c>
      <c r="I582" s="4" t="s">
        <v>596</v>
      </c>
      <c r="J582" s="4" t="s">
        <v>23</v>
      </c>
      <c r="K582" s="4" t="str" cm="1">
        <f t="array" ref="K582">_xlfn.IFS(L582&gt;50,"Senior", L582&gt;=30,"Adult", L582&lt;30,"Young Adult")</f>
        <v>Adult</v>
      </c>
      <c r="L582" s="4">
        <v>41</v>
      </c>
      <c r="M582" s="4" t="s">
        <v>26</v>
      </c>
      <c r="N582" s="4">
        <v>1</v>
      </c>
      <c r="O582" s="5">
        <v>50</v>
      </c>
      <c r="P582">
        <f t="shared" si="78"/>
        <v>50</v>
      </c>
      <c r="Q582" s="14" t="e">
        <f>P582*#REF!</f>
        <v>#REF!</v>
      </c>
      <c r="R582" s="14" t="e">
        <f>P582*#REF!</f>
        <v>#REF!</v>
      </c>
    </row>
    <row r="583" spans="1:18" x14ac:dyDescent="0.35">
      <c r="A583" s="2">
        <v>572</v>
      </c>
      <c r="B583" s="4">
        <f t="shared" si="72"/>
        <v>20</v>
      </c>
      <c r="C583" s="4">
        <f t="shared" si="73"/>
        <v>4</v>
      </c>
      <c r="D583" s="4">
        <f t="shared" si="74"/>
        <v>2023</v>
      </c>
      <c r="E583" s="4" t="str">
        <f t="shared" si="75"/>
        <v>Thursday</v>
      </c>
      <c r="F583" s="4" t="str">
        <f t="shared" si="76"/>
        <v>April</v>
      </c>
      <c r="G583" s="4" t="str">
        <f t="shared" si="77"/>
        <v>2023</v>
      </c>
      <c r="H583" s="3">
        <v>45036</v>
      </c>
      <c r="I583" s="4" t="s">
        <v>597</v>
      </c>
      <c r="J583" s="4" t="s">
        <v>20</v>
      </c>
      <c r="K583" s="4" t="str" cm="1">
        <f t="array" ref="K583">_xlfn.IFS(L583&gt;50,"Senior", L583&gt;=30,"Adult", L583&lt;30,"Young Adult")</f>
        <v>Adult</v>
      </c>
      <c r="L583" s="4">
        <v>31</v>
      </c>
      <c r="M583" s="4" t="s">
        <v>24</v>
      </c>
      <c r="N583" s="4">
        <v>4</v>
      </c>
      <c r="O583" s="5">
        <v>500</v>
      </c>
      <c r="P583">
        <f t="shared" si="78"/>
        <v>2000</v>
      </c>
      <c r="Q583" s="14" t="e">
        <f>P583*#REF!</f>
        <v>#REF!</v>
      </c>
      <c r="R583" s="14" t="e">
        <f>P583*#REF!</f>
        <v>#REF!</v>
      </c>
    </row>
    <row r="584" spans="1:18" x14ac:dyDescent="0.35">
      <c r="A584" s="2">
        <v>573</v>
      </c>
      <c r="B584" s="4">
        <f t="shared" si="72"/>
        <v>19</v>
      </c>
      <c r="C584" s="4">
        <f t="shared" si="73"/>
        <v>9</v>
      </c>
      <c r="D584" s="4">
        <f t="shared" si="74"/>
        <v>2023</v>
      </c>
      <c r="E584" s="4" t="str">
        <f t="shared" si="75"/>
        <v>Tuesday</v>
      </c>
      <c r="F584" s="4" t="str">
        <f t="shared" si="76"/>
        <v>September</v>
      </c>
      <c r="G584" s="4" t="str">
        <f t="shared" si="77"/>
        <v>2023</v>
      </c>
      <c r="H584" s="3">
        <v>45188</v>
      </c>
      <c r="I584" s="4" t="s">
        <v>598</v>
      </c>
      <c r="J584" s="4" t="s">
        <v>20</v>
      </c>
      <c r="K584" s="4" t="str" cm="1">
        <f t="array" ref="K584">_xlfn.IFS(L584&gt;50,"Senior", L584&gt;=30,"Adult", L584&lt;30,"Young Adult")</f>
        <v>Adult</v>
      </c>
      <c r="L584" s="4">
        <v>49</v>
      </c>
      <c r="M584" s="4" t="s">
        <v>21</v>
      </c>
      <c r="N584" s="4">
        <v>2</v>
      </c>
      <c r="O584" s="5">
        <v>30</v>
      </c>
      <c r="P584">
        <f t="shared" si="78"/>
        <v>60</v>
      </c>
      <c r="Q584" s="14">
        <f>P584*$I$4</f>
        <v>0.89999999999999991</v>
      </c>
      <c r="R584" s="14">
        <f>P584*$I$5</f>
        <v>1.2</v>
      </c>
    </row>
    <row r="585" spans="1:18" x14ac:dyDescent="0.35">
      <c r="A585" s="2">
        <v>574</v>
      </c>
      <c r="B585" s="4">
        <f t="shared" si="72"/>
        <v>31</v>
      </c>
      <c r="C585" s="4">
        <f t="shared" si="73"/>
        <v>8</v>
      </c>
      <c r="D585" s="4">
        <f t="shared" si="74"/>
        <v>2023</v>
      </c>
      <c r="E585" s="4" t="str">
        <f t="shared" si="75"/>
        <v>Thursday</v>
      </c>
      <c r="F585" s="4" t="str">
        <f t="shared" si="76"/>
        <v>August</v>
      </c>
      <c r="G585" s="4" t="str">
        <f t="shared" si="77"/>
        <v>2023</v>
      </c>
      <c r="H585" s="3">
        <v>45169</v>
      </c>
      <c r="I585" s="4" t="s">
        <v>599</v>
      </c>
      <c r="J585" s="4" t="s">
        <v>23</v>
      </c>
      <c r="K585" s="4" t="str" cm="1">
        <f t="array" ref="K585">_xlfn.IFS(L585&gt;50,"Senior", L585&gt;=30,"Adult", L585&lt;30,"Young Adult")</f>
        <v>Senior</v>
      </c>
      <c r="L585" s="4">
        <v>63</v>
      </c>
      <c r="M585" s="4" t="s">
        <v>26</v>
      </c>
      <c r="N585" s="4">
        <v>2</v>
      </c>
      <c r="O585" s="5">
        <v>25</v>
      </c>
      <c r="P585">
        <f t="shared" si="78"/>
        <v>50</v>
      </c>
      <c r="Q585" s="14" t="e">
        <f>P585*#REF!</f>
        <v>#REF!</v>
      </c>
      <c r="R585" s="14" t="e">
        <f>P585*#REF!</f>
        <v>#REF!</v>
      </c>
    </row>
    <row r="586" spans="1:18" x14ac:dyDescent="0.35">
      <c r="A586" s="2">
        <v>575</v>
      </c>
      <c r="B586" s="4">
        <f t="shared" si="72"/>
        <v>28</v>
      </c>
      <c r="C586" s="4">
        <f t="shared" si="73"/>
        <v>3</v>
      </c>
      <c r="D586" s="4">
        <f t="shared" si="74"/>
        <v>2023</v>
      </c>
      <c r="E586" s="4" t="str">
        <f t="shared" si="75"/>
        <v>Tuesday</v>
      </c>
      <c r="F586" s="4" t="str">
        <f t="shared" si="76"/>
        <v>March</v>
      </c>
      <c r="G586" s="4" t="str">
        <f t="shared" si="77"/>
        <v>2023</v>
      </c>
      <c r="H586" s="3">
        <v>45013</v>
      </c>
      <c r="I586" s="4" t="s">
        <v>600</v>
      </c>
      <c r="J586" s="4" t="s">
        <v>20</v>
      </c>
      <c r="K586" s="4" t="str" cm="1">
        <f t="array" ref="K586">_xlfn.IFS(L586&gt;50,"Senior", L586&gt;=30,"Adult", L586&lt;30,"Young Adult")</f>
        <v>Senior</v>
      </c>
      <c r="L586" s="4">
        <v>60</v>
      </c>
      <c r="M586" s="4" t="s">
        <v>24</v>
      </c>
      <c r="N586" s="4">
        <v>2</v>
      </c>
      <c r="O586" s="5">
        <v>50</v>
      </c>
      <c r="P586">
        <f t="shared" si="78"/>
        <v>100</v>
      </c>
      <c r="Q586" s="14" t="e">
        <f>P586*#REF!</f>
        <v>#REF!</v>
      </c>
      <c r="R586" s="14" t="e">
        <f>P586*#REF!</f>
        <v>#REF!</v>
      </c>
    </row>
    <row r="587" spans="1:18" x14ac:dyDescent="0.35">
      <c r="A587" s="2">
        <v>576</v>
      </c>
      <c r="B587" s="4">
        <f t="shared" si="72"/>
        <v>4</v>
      </c>
      <c r="C587" s="4">
        <f t="shared" si="73"/>
        <v>12</v>
      </c>
      <c r="D587" s="4">
        <f t="shared" si="74"/>
        <v>2023</v>
      </c>
      <c r="E587" s="4" t="str">
        <f t="shared" si="75"/>
        <v>Monday</v>
      </c>
      <c r="F587" s="4" t="str">
        <f t="shared" si="76"/>
        <v>December</v>
      </c>
      <c r="G587" s="4" t="str">
        <f t="shared" si="77"/>
        <v>2023</v>
      </c>
      <c r="H587" s="3">
        <v>45264</v>
      </c>
      <c r="I587" s="4" t="s">
        <v>601</v>
      </c>
      <c r="J587" s="4" t="s">
        <v>23</v>
      </c>
      <c r="K587" s="4" t="str" cm="1">
        <f t="array" ref="K587">_xlfn.IFS(L587&gt;50,"Senior", L587&gt;=30,"Adult", L587&lt;30,"Young Adult")</f>
        <v>Adult</v>
      </c>
      <c r="L587" s="4">
        <v>33</v>
      </c>
      <c r="M587" s="4" t="s">
        <v>21</v>
      </c>
      <c r="N587" s="4">
        <v>3</v>
      </c>
      <c r="O587" s="5">
        <v>50</v>
      </c>
      <c r="P587">
        <f t="shared" si="78"/>
        <v>150</v>
      </c>
      <c r="Q587" s="14">
        <f t="shared" ref="Q587:Q588" si="89">P587*$I$4</f>
        <v>2.25</v>
      </c>
      <c r="R587" s="14">
        <f t="shared" ref="R587:R588" si="90">P587*$I$5</f>
        <v>3</v>
      </c>
    </row>
    <row r="588" spans="1:18" x14ac:dyDescent="0.35">
      <c r="A588" s="2">
        <v>577</v>
      </c>
      <c r="B588" s="4">
        <f t="shared" ref="B588:B651" si="91">DAY(H588)</f>
        <v>13</v>
      </c>
      <c r="C588" s="4">
        <f t="shared" ref="C588:C651" si="92">MONTH(H588)</f>
        <v>2</v>
      </c>
      <c r="D588" s="4">
        <f t="shared" ref="D588:D651" si="93">YEAR(H588)</f>
        <v>2023</v>
      </c>
      <c r="E588" s="4" t="str">
        <f t="shared" ref="E588:E651" si="94">TEXT(H588,"DDDD")</f>
        <v>Monday</v>
      </c>
      <c r="F588" s="4" t="str">
        <f t="shared" ref="F588:F651" si="95">TEXT(H588,"MMMM")</f>
        <v>February</v>
      </c>
      <c r="G588" s="4" t="str">
        <f t="shared" ref="G588:G651" si="96">TEXT(H588,"YYYY")</f>
        <v>2023</v>
      </c>
      <c r="H588" s="3">
        <v>44970</v>
      </c>
      <c r="I588" s="4" t="s">
        <v>602</v>
      </c>
      <c r="J588" s="4" t="s">
        <v>20</v>
      </c>
      <c r="K588" s="4" t="str" cm="1">
        <f t="array" ref="K588">_xlfn.IFS(L588&gt;50,"Senior", L588&gt;=30,"Adult", L588&lt;30,"Young Adult")</f>
        <v>Young Adult</v>
      </c>
      <c r="L588" s="4">
        <v>21</v>
      </c>
      <c r="M588" s="4" t="s">
        <v>21</v>
      </c>
      <c r="N588" s="4">
        <v>4</v>
      </c>
      <c r="O588" s="5">
        <v>500</v>
      </c>
      <c r="P588">
        <f t="shared" ref="P588:P651" si="97">O588*N588</f>
        <v>2000</v>
      </c>
      <c r="Q588" s="14">
        <f t="shared" si="89"/>
        <v>30</v>
      </c>
      <c r="R588" s="14">
        <f t="shared" si="90"/>
        <v>40</v>
      </c>
    </row>
    <row r="589" spans="1:18" x14ac:dyDescent="0.35">
      <c r="A589" s="2">
        <v>578</v>
      </c>
      <c r="B589" s="4">
        <f t="shared" si="91"/>
        <v>26</v>
      </c>
      <c r="C589" s="4">
        <f t="shared" si="92"/>
        <v>5</v>
      </c>
      <c r="D589" s="4">
        <f t="shared" si="93"/>
        <v>2023</v>
      </c>
      <c r="E589" s="4" t="str">
        <f t="shared" si="94"/>
        <v>Friday</v>
      </c>
      <c r="F589" s="4" t="str">
        <f t="shared" si="95"/>
        <v>May</v>
      </c>
      <c r="G589" s="4" t="str">
        <f t="shared" si="96"/>
        <v>2023</v>
      </c>
      <c r="H589" s="3">
        <v>45072</v>
      </c>
      <c r="I589" s="4" t="s">
        <v>603</v>
      </c>
      <c r="J589" s="4" t="s">
        <v>23</v>
      </c>
      <c r="K589" s="4" t="str" cm="1">
        <f t="array" ref="K589">_xlfn.IFS(L589&gt;50,"Senior", L589&gt;=30,"Adult", L589&lt;30,"Young Adult")</f>
        <v>Senior</v>
      </c>
      <c r="L589" s="4">
        <v>54</v>
      </c>
      <c r="M589" s="4" t="s">
        <v>24</v>
      </c>
      <c r="N589" s="4">
        <v>4</v>
      </c>
      <c r="O589" s="5">
        <v>30</v>
      </c>
      <c r="P589">
        <f t="shared" si="97"/>
        <v>120</v>
      </c>
      <c r="Q589" s="14" t="e">
        <f>P589*#REF!</f>
        <v>#REF!</v>
      </c>
      <c r="R589" s="14" t="e">
        <f>P589*#REF!</f>
        <v>#REF!</v>
      </c>
    </row>
    <row r="590" spans="1:18" x14ac:dyDescent="0.35">
      <c r="A590" s="2">
        <v>579</v>
      </c>
      <c r="B590" s="4">
        <f t="shared" si="91"/>
        <v>21</v>
      </c>
      <c r="C590" s="4">
        <f t="shared" si="92"/>
        <v>9</v>
      </c>
      <c r="D590" s="4">
        <f t="shared" si="93"/>
        <v>2023</v>
      </c>
      <c r="E590" s="4" t="str">
        <f t="shared" si="94"/>
        <v>Thursday</v>
      </c>
      <c r="F590" s="4" t="str">
        <f t="shared" si="95"/>
        <v>September</v>
      </c>
      <c r="G590" s="4" t="str">
        <f t="shared" si="96"/>
        <v>2023</v>
      </c>
      <c r="H590" s="3">
        <v>45190</v>
      </c>
      <c r="I590" s="4" t="s">
        <v>604</v>
      </c>
      <c r="J590" s="4" t="s">
        <v>23</v>
      </c>
      <c r="K590" s="4" t="str" cm="1">
        <f t="array" ref="K590">_xlfn.IFS(L590&gt;50,"Senior", L590&gt;=30,"Adult", L590&lt;30,"Young Adult")</f>
        <v>Adult</v>
      </c>
      <c r="L590" s="4">
        <v>38</v>
      </c>
      <c r="M590" s="4" t="s">
        <v>26</v>
      </c>
      <c r="N590" s="4">
        <v>1</v>
      </c>
      <c r="O590" s="5">
        <v>30</v>
      </c>
      <c r="P590">
        <f t="shared" si="97"/>
        <v>30</v>
      </c>
      <c r="Q590" s="14" t="e">
        <f>P590*#REF!</f>
        <v>#REF!</v>
      </c>
      <c r="R590" s="14" t="e">
        <f>P590*#REF!</f>
        <v>#REF!</v>
      </c>
    </row>
    <row r="591" spans="1:18" x14ac:dyDescent="0.35">
      <c r="A591" s="2">
        <v>580</v>
      </c>
      <c r="B591" s="4">
        <f t="shared" si="91"/>
        <v>6</v>
      </c>
      <c r="C591" s="4">
        <f t="shared" si="92"/>
        <v>12</v>
      </c>
      <c r="D591" s="4">
        <f t="shared" si="93"/>
        <v>2023</v>
      </c>
      <c r="E591" s="4" t="str">
        <f t="shared" si="94"/>
        <v>Wednesday</v>
      </c>
      <c r="F591" s="4" t="str">
        <f t="shared" si="95"/>
        <v>December</v>
      </c>
      <c r="G591" s="4" t="str">
        <f t="shared" si="96"/>
        <v>2023</v>
      </c>
      <c r="H591" s="3">
        <v>45266</v>
      </c>
      <c r="I591" s="4" t="s">
        <v>605</v>
      </c>
      <c r="J591" s="4" t="s">
        <v>23</v>
      </c>
      <c r="K591" s="4" t="str" cm="1">
        <f t="array" ref="K591">_xlfn.IFS(L591&gt;50,"Senior", L591&gt;=30,"Adult", L591&lt;30,"Young Adult")</f>
        <v>Adult</v>
      </c>
      <c r="L591" s="4">
        <v>31</v>
      </c>
      <c r="M591" s="4" t="s">
        <v>24</v>
      </c>
      <c r="N591" s="4">
        <v>3</v>
      </c>
      <c r="O591" s="5">
        <v>500</v>
      </c>
      <c r="P591">
        <f t="shared" si="97"/>
        <v>1500</v>
      </c>
      <c r="Q591" s="14" t="e">
        <f>P591*#REF!</f>
        <v>#REF!</v>
      </c>
      <c r="R591" s="14" t="e">
        <f>P591*#REF!</f>
        <v>#REF!</v>
      </c>
    </row>
    <row r="592" spans="1:18" x14ac:dyDescent="0.35">
      <c r="A592" s="2">
        <v>581</v>
      </c>
      <c r="B592" s="4">
        <f t="shared" si="91"/>
        <v>21</v>
      </c>
      <c r="C592" s="4">
        <f t="shared" si="92"/>
        <v>11</v>
      </c>
      <c r="D592" s="4">
        <f t="shared" si="93"/>
        <v>2023</v>
      </c>
      <c r="E592" s="4" t="str">
        <f t="shared" si="94"/>
        <v>Tuesday</v>
      </c>
      <c r="F592" s="4" t="str">
        <f t="shared" si="95"/>
        <v>November</v>
      </c>
      <c r="G592" s="4" t="str">
        <f t="shared" si="96"/>
        <v>2023</v>
      </c>
      <c r="H592" s="3">
        <v>45251</v>
      </c>
      <c r="I592" s="4" t="s">
        <v>606</v>
      </c>
      <c r="J592" s="4" t="s">
        <v>23</v>
      </c>
      <c r="K592" s="4" t="str" cm="1">
        <f t="array" ref="K592">_xlfn.IFS(L592&gt;50,"Senior", L592&gt;=30,"Adult", L592&lt;30,"Young Adult")</f>
        <v>Adult</v>
      </c>
      <c r="L592" s="4">
        <v>48</v>
      </c>
      <c r="M592" s="4" t="s">
        <v>21</v>
      </c>
      <c r="N592" s="4">
        <v>2</v>
      </c>
      <c r="O592" s="5">
        <v>30</v>
      </c>
      <c r="P592">
        <f t="shared" si="97"/>
        <v>60</v>
      </c>
      <c r="Q592" s="14">
        <f>P592*$I$4</f>
        <v>0.89999999999999991</v>
      </c>
      <c r="R592" s="14">
        <f>P592*$I$5</f>
        <v>1.2</v>
      </c>
    </row>
    <row r="593" spans="1:18" x14ac:dyDescent="0.35">
      <c r="A593" s="2">
        <v>582</v>
      </c>
      <c r="B593" s="4">
        <f t="shared" si="91"/>
        <v>14</v>
      </c>
      <c r="C593" s="4">
        <f t="shared" si="92"/>
        <v>11</v>
      </c>
      <c r="D593" s="4">
        <f t="shared" si="93"/>
        <v>2023</v>
      </c>
      <c r="E593" s="4" t="str">
        <f t="shared" si="94"/>
        <v>Tuesday</v>
      </c>
      <c r="F593" s="4" t="str">
        <f t="shared" si="95"/>
        <v>November</v>
      </c>
      <c r="G593" s="4" t="str">
        <f t="shared" si="96"/>
        <v>2023</v>
      </c>
      <c r="H593" s="3">
        <v>45244</v>
      </c>
      <c r="I593" s="4" t="s">
        <v>607</v>
      </c>
      <c r="J593" s="4" t="s">
        <v>20</v>
      </c>
      <c r="K593" s="4" t="str" cm="1">
        <f t="array" ref="K593">_xlfn.IFS(L593&gt;50,"Senior", L593&gt;=30,"Adult", L593&lt;30,"Young Adult")</f>
        <v>Adult</v>
      </c>
      <c r="L593" s="4">
        <v>35</v>
      </c>
      <c r="M593" s="4" t="s">
        <v>24</v>
      </c>
      <c r="N593" s="4">
        <v>3</v>
      </c>
      <c r="O593" s="5">
        <v>300</v>
      </c>
      <c r="P593">
        <f t="shared" si="97"/>
        <v>900</v>
      </c>
      <c r="Q593" s="14" t="e">
        <f>P593*#REF!</f>
        <v>#REF!</v>
      </c>
      <c r="R593" s="14" t="e">
        <f>P593*#REF!</f>
        <v>#REF!</v>
      </c>
    </row>
    <row r="594" spans="1:18" x14ac:dyDescent="0.35">
      <c r="A594" s="2">
        <v>583</v>
      </c>
      <c r="B594" s="4">
        <f t="shared" si="91"/>
        <v>21</v>
      </c>
      <c r="C594" s="4">
        <f t="shared" si="92"/>
        <v>6</v>
      </c>
      <c r="D594" s="4">
        <f t="shared" si="93"/>
        <v>2023</v>
      </c>
      <c r="E594" s="4" t="str">
        <f t="shared" si="94"/>
        <v>Wednesday</v>
      </c>
      <c r="F594" s="4" t="str">
        <f t="shared" si="95"/>
        <v>June</v>
      </c>
      <c r="G594" s="4" t="str">
        <f t="shared" si="96"/>
        <v>2023</v>
      </c>
      <c r="H594" s="3">
        <v>45098</v>
      </c>
      <c r="I594" s="4" t="s">
        <v>608</v>
      </c>
      <c r="J594" s="4" t="s">
        <v>23</v>
      </c>
      <c r="K594" s="4" t="str" cm="1">
        <f t="array" ref="K594">_xlfn.IFS(L594&gt;50,"Senior", L594&gt;=30,"Adult", L594&lt;30,"Young Adult")</f>
        <v>Young Adult</v>
      </c>
      <c r="L594" s="4">
        <v>24</v>
      </c>
      <c r="M594" s="4" t="s">
        <v>26</v>
      </c>
      <c r="N594" s="4">
        <v>4</v>
      </c>
      <c r="O594" s="5">
        <v>25</v>
      </c>
      <c r="P594">
        <f t="shared" si="97"/>
        <v>100</v>
      </c>
      <c r="Q594" s="14" t="e">
        <f>P594*#REF!</f>
        <v>#REF!</v>
      </c>
      <c r="R594" s="14" t="e">
        <f>P594*#REF!</f>
        <v>#REF!</v>
      </c>
    </row>
    <row r="595" spans="1:18" x14ac:dyDescent="0.35">
      <c r="A595" s="2">
        <v>584</v>
      </c>
      <c r="B595" s="4">
        <f t="shared" si="91"/>
        <v>17</v>
      </c>
      <c r="C595" s="4">
        <f t="shared" si="92"/>
        <v>2</v>
      </c>
      <c r="D595" s="4">
        <f t="shared" si="93"/>
        <v>2023</v>
      </c>
      <c r="E595" s="4" t="str">
        <f t="shared" si="94"/>
        <v>Friday</v>
      </c>
      <c r="F595" s="4" t="str">
        <f t="shared" si="95"/>
        <v>February</v>
      </c>
      <c r="G595" s="4" t="str">
        <f t="shared" si="96"/>
        <v>2023</v>
      </c>
      <c r="H595" s="3">
        <v>44974</v>
      </c>
      <c r="I595" s="4" t="s">
        <v>609</v>
      </c>
      <c r="J595" s="4" t="s">
        <v>23</v>
      </c>
      <c r="K595" s="4" t="str" cm="1">
        <f t="array" ref="K595">_xlfn.IFS(L595&gt;50,"Senior", L595&gt;=30,"Adult", L595&lt;30,"Young Adult")</f>
        <v>Young Adult</v>
      </c>
      <c r="L595" s="4">
        <v>27</v>
      </c>
      <c r="M595" s="4" t="s">
        <v>21</v>
      </c>
      <c r="N595" s="4">
        <v>4</v>
      </c>
      <c r="O595" s="5">
        <v>50</v>
      </c>
      <c r="P595">
        <f t="shared" si="97"/>
        <v>200</v>
      </c>
      <c r="Q595" s="14">
        <f>P595*$I$4</f>
        <v>3</v>
      </c>
      <c r="R595" s="14">
        <f>P595*$I$5</f>
        <v>4</v>
      </c>
    </row>
    <row r="596" spans="1:18" x14ac:dyDescent="0.35">
      <c r="A596" s="2">
        <v>585</v>
      </c>
      <c r="B596" s="4">
        <f t="shared" si="91"/>
        <v>1</v>
      </c>
      <c r="C596" s="4">
        <f t="shared" si="92"/>
        <v>5</v>
      </c>
      <c r="D596" s="4">
        <f t="shared" si="93"/>
        <v>2023</v>
      </c>
      <c r="E596" s="4" t="str">
        <f t="shared" si="94"/>
        <v>Monday</v>
      </c>
      <c r="F596" s="4" t="str">
        <f t="shared" si="95"/>
        <v>May</v>
      </c>
      <c r="G596" s="4" t="str">
        <f t="shared" si="96"/>
        <v>2023</v>
      </c>
      <c r="H596" s="3">
        <v>45047</v>
      </c>
      <c r="I596" s="4" t="s">
        <v>610</v>
      </c>
      <c r="J596" s="4" t="s">
        <v>23</v>
      </c>
      <c r="K596" s="4" t="str" cm="1">
        <f t="array" ref="K596">_xlfn.IFS(L596&gt;50,"Senior", L596&gt;=30,"Adult", L596&lt;30,"Young Adult")</f>
        <v>Young Adult</v>
      </c>
      <c r="L596" s="4">
        <v>24</v>
      </c>
      <c r="M596" s="4" t="s">
        <v>24</v>
      </c>
      <c r="N596" s="4">
        <v>1</v>
      </c>
      <c r="O596" s="5">
        <v>25</v>
      </c>
      <c r="P596">
        <f t="shared" si="97"/>
        <v>25</v>
      </c>
      <c r="Q596" s="14" t="e">
        <f>P596*#REF!</f>
        <v>#REF!</v>
      </c>
      <c r="R596" s="14" t="e">
        <f>P596*#REF!</f>
        <v>#REF!</v>
      </c>
    </row>
    <row r="597" spans="1:18" x14ac:dyDescent="0.35">
      <c r="A597" s="2">
        <v>586</v>
      </c>
      <c r="B597" s="4">
        <f t="shared" si="91"/>
        <v>11</v>
      </c>
      <c r="C597" s="4">
        <f t="shared" si="92"/>
        <v>12</v>
      </c>
      <c r="D597" s="4">
        <f t="shared" si="93"/>
        <v>2023</v>
      </c>
      <c r="E597" s="4" t="str">
        <f t="shared" si="94"/>
        <v>Monday</v>
      </c>
      <c r="F597" s="4" t="str">
        <f t="shared" si="95"/>
        <v>December</v>
      </c>
      <c r="G597" s="4" t="str">
        <f t="shared" si="96"/>
        <v>2023</v>
      </c>
      <c r="H597" s="3">
        <v>45271</v>
      </c>
      <c r="I597" s="4" t="s">
        <v>611</v>
      </c>
      <c r="J597" s="4" t="s">
        <v>20</v>
      </c>
      <c r="K597" s="4" t="str" cm="1">
        <f t="array" ref="K597">_xlfn.IFS(L597&gt;50,"Senior", L597&gt;=30,"Adult", L597&lt;30,"Young Adult")</f>
        <v>Adult</v>
      </c>
      <c r="L597" s="4">
        <v>50</v>
      </c>
      <c r="M597" s="4" t="s">
        <v>26</v>
      </c>
      <c r="N597" s="4">
        <v>1</v>
      </c>
      <c r="O597" s="5">
        <v>50</v>
      </c>
      <c r="P597">
        <f t="shared" si="97"/>
        <v>50</v>
      </c>
      <c r="Q597" s="14" t="e">
        <f>P597*#REF!</f>
        <v>#REF!</v>
      </c>
      <c r="R597" s="14" t="e">
        <f>P597*#REF!</f>
        <v>#REF!</v>
      </c>
    </row>
    <row r="598" spans="1:18" x14ac:dyDescent="0.35">
      <c r="A598" s="2">
        <v>587</v>
      </c>
      <c r="B598" s="4">
        <f t="shared" si="91"/>
        <v>8</v>
      </c>
      <c r="C598" s="4">
        <f t="shared" si="92"/>
        <v>6</v>
      </c>
      <c r="D598" s="4">
        <f t="shared" si="93"/>
        <v>2023</v>
      </c>
      <c r="E598" s="4" t="str">
        <f t="shared" si="94"/>
        <v>Thursday</v>
      </c>
      <c r="F598" s="4" t="str">
        <f t="shared" si="95"/>
        <v>June</v>
      </c>
      <c r="G598" s="4" t="str">
        <f t="shared" si="96"/>
        <v>2023</v>
      </c>
      <c r="H598" s="3">
        <v>45085</v>
      </c>
      <c r="I598" s="4" t="s">
        <v>612</v>
      </c>
      <c r="J598" s="4" t="s">
        <v>23</v>
      </c>
      <c r="K598" s="4" t="str" cm="1">
        <f t="array" ref="K598">_xlfn.IFS(L598&gt;50,"Senior", L598&gt;=30,"Adult", L598&lt;30,"Young Adult")</f>
        <v>Adult</v>
      </c>
      <c r="L598" s="4">
        <v>40</v>
      </c>
      <c r="M598" s="4" t="s">
        <v>21</v>
      </c>
      <c r="N598" s="4">
        <v>4</v>
      </c>
      <c r="O598" s="5">
        <v>300</v>
      </c>
      <c r="P598">
        <f t="shared" si="97"/>
        <v>1200</v>
      </c>
      <c r="Q598" s="14">
        <f>P598*$I$4</f>
        <v>18</v>
      </c>
      <c r="R598" s="14">
        <f>P598*$I$5</f>
        <v>24</v>
      </c>
    </row>
    <row r="599" spans="1:18" x14ac:dyDescent="0.35">
      <c r="A599" s="2">
        <v>588</v>
      </c>
      <c r="B599" s="4">
        <f t="shared" si="91"/>
        <v>26</v>
      </c>
      <c r="C599" s="4">
        <f t="shared" si="92"/>
        <v>4</v>
      </c>
      <c r="D599" s="4">
        <f t="shared" si="93"/>
        <v>2023</v>
      </c>
      <c r="E599" s="4" t="str">
        <f t="shared" si="94"/>
        <v>Wednesday</v>
      </c>
      <c r="F599" s="4" t="str">
        <f t="shared" si="95"/>
        <v>April</v>
      </c>
      <c r="G599" s="4" t="str">
        <f t="shared" si="96"/>
        <v>2023</v>
      </c>
      <c r="H599" s="3">
        <v>45042</v>
      </c>
      <c r="I599" s="4" t="s">
        <v>613</v>
      </c>
      <c r="J599" s="4" t="s">
        <v>20</v>
      </c>
      <c r="K599" s="4" t="str" cm="1">
        <f t="array" ref="K599">_xlfn.IFS(L599&gt;50,"Senior", L599&gt;=30,"Adult", L599&lt;30,"Young Adult")</f>
        <v>Adult</v>
      </c>
      <c r="L599" s="4">
        <v>38</v>
      </c>
      <c r="M599" s="4" t="s">
        <v>26</v>
      </c>
      <c r="N599" s="4">
        <v>2</v>
      </c>
      <c r="O599" s="5">
        <v>30</v>
      </c>
      <c r="P599">
        <f t="shared" si="97"/>
        <v>60</v>
      </c>
      <c r="Q599" s="14" t="e">
        <f>P599*#REF!</f>
        <v>#REF!</v>
      </c>
      <c r="R599" s="14" t="e">
        <f>P599*#REF!</f>
        <v>#REF!</v>
      </c>
    </row>
    <row r="600" spans="1:18" x14ac:dyDescent="0.35">
      <c r="A600" s="2">
        <v>589</v>
      </c>
      <c r="B600" s="4">
        <f t="shared" si="91"/>
        <v>12</v>
      </c>
      <c r="C600" s="4">
        <f t="shared" si="92"/>
        <v>4</v>
      </c>
      <c r="D600" s="4">
        <f t="shared" si="93"/>
        <v>2023</v>
      </c>
      <c r="E600" s="4" t="str">
        <f t="shared" si="94"/>
        <v>Wednesday</v>
      </c>
      <c r="F600" s="4" t="str">
        <f t="shared" si="95"/>
        <v>April</v>
      </c>
      <c r="G600" s="4" t="str">
        <f t="shared" si="96"/>
        <v>2023</v>
      </c>
      <c r="H600" s="3">
        <v>45028</v>
      </c>
      <c r="I600" s="4" t="s">
        <v>614</v>
      </c>
      <c r="J600" s="4" t="s">
        <v>23</v>
      </c>
      <c r="K600" s="4" t="str" cm="1">
        <f t="array" ref="K600">_xlfn.IFS(L600&gt;50,"Senior", L600&gt;=30,"Adult", L600&lt;30,"Young Adult")</f>
        <v>Adult</v>
      </c>
      <c r="L600" s="4">
        <v>36</v>
      </c>
      <c r="M600" s="4" t="s">
        <v>21</v>
      </c>
      <c r="N600" s="4">
        <v>2</v>
      </c>
      <c r="O600" s="5">
        <v>500</v>
      </c>
      <c r="P600">
        <f t="shared" si="97"/>
        <v>1000</v>
      </c>
      <c r="Q600" s="14">
        <f>P600*$I$4</f>
        <v>15</v>
      </c>
      <c r="R600" s="14">
        <f>P600*$I$5</f>
        <v>20</v>
      </c>
    </row>
    <row r="601" spans="1:18" x14ac:dyDescent="0.35">
      <c r="A601" s="2">
        <v>590</v>
      </c>
      <c r="B601" s="4">
        <f t="shared" si="91"/>
        <v>17</v>
      </c>
      <c r="C601" s="4">
        <f t="shared" si="92"/>
        <v>3</v>
      </c>
      <c r="D601" s="4">
        <f t="shared" si="93"/>
        <v>2023</v>
      </c>
      <c r="E601" s="4" t="str">
        <f t="shared" si="94"/>
        <v>Friday</v>
      </c>
      <c r="F601" s="4" t="str">
        <f t="shared" si="95"/>
        <v>March</v>
      </c>
      <c r="G601" s="4" t="str">
        <f t="shared" si="96"/>
        <v>2023</v>
      </c>
      <c r="H601" s="3">
        <v>45002</v>
      </c>
      <c r="I601" s="4" t="s">
        <v>615</v>
      </c>
      <c r="J601" s="4" t="s">
        <v>20</v>
      </c>
      <c r="K601" s="4" t="str" cm="1">
        <f t="array" ref="K601">_xlfn.IFS(L601&gt;50,"Senior", L601&gt;=30,"Adult", L601&lt;30,"Young Adult")</f>
        <v>Adult</v>
      </c>
      <c r="L601" s="4">
        <v>36</v>
      </c>
      <c r="M601" s="4" t="s">
        <v>24</v>
      </c>
      <c r="N601" s="4">
        <v>3</v>
      </c>
      <c r="O601" s="5">
        <v>300</v>
      </c>
      <c r="P601">
        <f t="shared" si="97"/>
        <v>900</v>
      </c>
      <c r="Q601" s="14" t="e">
        <f>P601*#REF!</f>
        <v>#REF!</v>
      </c>
      <c r="R601" s="14" t="e">
        <f>P601*#REF!</f>
        <v>#REF!</v>
      </c>
    </row>
    <row r="602" spans="1:18" x14ac:dyDescent="0.35">
      <c r="A602" s="2">
        <v>591</v>
      </c>
      <c r="B602" s="4">
        <f t="shared" si="91"/>
        <v>13</v>
      </c>
      <c r="C602" s="4">
        <f t="shared" si="92"/>
        <v>1</v>
      </c>
      <c r="D602" s="4">
        <f t="shared" si="93"/>
        <v>2023</v>
      </c>
      <c r="E602" s="4" t="str">
        <f t="shared" si="94"/>
        <v>Friday</v>
      </c>
      <c r="F602" s="4" t="str">
        <f t="shared" si="95"/>
        <v>January</v>
      </c>
      <c r="G602" s="4" t="str">
        <f t="shared" si="96"/>
        <v>2023</v>
      </c>
      <c r="H602" s="3">
        <v>44939</v>
      </c>
      <c r="I602" s="4" t="s">
        <v>616</v>
      </c>
      <c r="J602" s="4" t="s">
        <v>20</v>
      </c>
      <c r="K602" s="4" t="str" cm="1">
        <f t="array" ref="K602">_xlfn.IFS(L602&gt;50,"Senior", L602&gt;=30,"Adult", L602&lt;30,"Young Adult")</f>
        <v>Senior</v>
      </c>
      <c r="L602" s="4">
        <v>53</v>
      </c>
      <c r="M602" s="4" t="s">
        <v>26</v>
      </c>
      <c r="N602" s="4">
        <v>4</v>
      </c>
      <c r="O602" s="5">
        <v>25</v>
      </c>
      <c r="P602">
        <f t="shared" si="97"/>
        <v>100</v>
      </c>
      <c r="Q602" s="14" t="e">
        <f>P602*#REF!</f>
        <v>#REF!</v>
      </c>
      <c r="R602" s="14" t="e">
        <f>P602*#REF!</f>
        <v>#REF!</v>
      </c>
    </row>
    <row r="603" spans="1:18" x14ac:dyDescent="0.35">
      <c r="A603" s="2">
        <v>592</v>
      </c>
      <c r="B603" s="4">
        <f t="shared" si="91"/>
        <v>24</v>
      </c>
      <c r="C603" s="4">
        <f t="shared" si="92"/>
        <v>1</v>
      </c>
      <c r="D603" s="4">
        <f t="shared" si="93"/>
        <v>2023</v>
      </c>
      <c r="E603" s="4" t="str">
        <f t="shared" si="94"/>
        <v>Tuesday</v>
      </c>
      <c r="F603" s="4" t="str">
        <f t="shared" si="95"/>
        <v>January</v>
      </c>
      <c r="G603" s="4" t="str">
        <f t="shared" si="96"/>
        <v>2023</v>
      </c>
      <c r="H603" s="3">
        <v>44950</v>
      </c>
      <c r="I603" s="4" t="s">
        <v>617</v>
      </c>
      <c r="J603" s="4" t="s">
        <v>23</v>
      </c>
      <c r="K603" s="4" t="str" cm="1">
        <f t="array" ref="K603">_xlfn.IFS(L603&gt;50,"Senior", L603&gt;=30,"Adult", L603&lt;30,"Young Adult")</f>
        <v>Adult</v>
      </c>
      <c r="L603" s="4">
        <v>46</v>
      </c>
      <c r="M603" s="4" t="s">
        <v>21</v>
      </c>
      <c r="N603" s="4">
        <v>4</v>
      </c>
      <c r="O603" s="5">
        <v>500</v>
      </c>
      <c r="P603">
        <f t="shared" si="97"/>
        <v>2000</v>
      </c>
      <c r="Q603" s="14">
        <f>P603*$I$4</f>
        <v>30</v>
      </c>
      <c r="R603" s="14">
        <f>P603*$I$5</f>
        <v>40</v>
      </c>
    </row>
    <row r="604" spans="1:18" x14ac:dyDescent="0.35">
      <c r="A604" s="2">
        <v>593</v>
      </c>
      <c r="B604" s="4">
        <f t="shared" si="91"/>
        <v>6</v>
      </c>
      <c r="C604" s="4">
        <f t="shared" si="92"/>
        <v>5</v>
      </c>
      <c r="D604" s="4">
        <f t="shared" si="93"/>
        <v>2023</v>
      </c>
      <c r="E604" s="4" t="str">
        <f t="shared" si="94"/>
        <v>Saturday</v>
      </c>
      <c r="F604" s="4" t="str">
        <f t="shared" si="95"/>
        <v>May</v>
      </c>
      <c r="G604" s="4" t="str">
        <f t="shared" si="96"/>
        <v>2023</v>
      </c>
      <c r="H604" s="3">
        <v>45052</v>
      </c>
      <c r="I604" s="4" t="s">
        <v>618</v>
      </c>
      <c r="J604" s="4" t="s">
        <v>20</v>
      </c>
      <c r="K604" s="4" t="str" cm="1">
        <f t="array" ref="K604">_xlfn.IFS(L604&gt;50,"Senior", L604&gt;=30,"Adult", L604&lt;30,"Young Adult")</f>
        <v>Adult</v>
      </c>
      <c r="L604" s="4">
        <v>35</v>
      </c>
      <c r="M604" s="4" t="s">
        <v>26</v>
      </c>
      <c r="N604" s="4">
        <v>2</v>
      </c>
      <c r="O604" s="5">
        <v>30</v>
      </c>
      <c r="P604">
        <f t="shared" si="97"/>
        <v>60</v>
      </c>
      <c r="Q604" s="14" t="e">
        <f>P604*#REF!</f>
        <v>#REF!</v>
      </c>
      <c r="R604" s="14" t="e">
        <f>P604*#REF!</f>
        <v>#REF!</v>
      </c>
    </row>
    <row r="605" spans="1:18" x14ac:dyDescent="0.35">
      <c r="A605" s="2">
        <v>594</v>
      </c>
      <c r="B605" s="4">
        <f t="shared" si="91"/>
        <v>1</v>
      </c>
      <c r="C605" s="4">
        <f t="shared" si="92"/>
        <v>9</v>
      </c>
      <c r="D605" s="4">
        <f t="shared" si="93"/>
        <v>2023</v>
      </c>
      <c r="E605" s="4" t="str">
        <f t="shared" si="94"/>
        <v>Friday</v>
      </c>
      <c r="F605" s="4" t="str">
        <f t="shared" si="95"/>
        <v>September</v>
      </c>
      <c r="G605" s="4" t="str">
        <f t="shared" si="96"/>
        <v>2023</v>
      </c>
      <c r="H605" s="3">
        <v>45170</v>
      </c>
      <c r="I605" s="4" t="s">
        <v>619</v>
      </c>
      <c r="J605" s="4" t="s">
        <v>23</v>
      </c>
      <c r="K605" s="4" t="str" cm="1">
        <f t="array" ref="K605">_xlfn.IFS(L605&gt;50,"Senior", L605&gt;=30,"Adult", L605&lt;30,"Young Adult")</f>
        <v>Young Adult</v>
      </c>
      <c r="L605" s="4">
        <v>19</v>
      </c>
      <c r="M605" s="4" t="s">
        <v>26</v>
      </c>
      <c r="N605" s="4">
        <v>2</v>
      </c>
      <c r="O605" s="5">
        <v>300</v>
      </c>
      <c r="P605">
        <f t="shared" si="97"/>
        <v>600</v>
      </c>
      <c r="Q605" s="14" t="e">
        <f>P605*#REF!</f>
        <v>#REF!</v>
      </c>
      <c r="R605" s="14" t="e">
        <f>P605*#REF!</f>
        <v>#REF!</v>
      </c>
    </row>
    <row r="606" spans="1:18" x14ac:dyDescent="0.35">
      <c r="A606" s="2">
        <v>595</v>
      </c>
      <c r="B606" s="4">
        <f t="shared" si="91"/>
        <v>9</v>
      </c>
      <c r="C606" s="4">
        <f t="shared" si="92"/>
        <v>11</v>
      </c>
      <c r="D606" s="4">
        <f t="shared" si="93"/>
        <v>2023</v>
      </c>
      <c r="E606" s="4" t="str">
        <f t="shared" si="94"/>
        <v>Thursday</v>
      </c>
      <c r="F606" s="4" t="str">
        <f t="shared" si="95"/>
        <v>November</v>
      </c>
      <c r="G606" s="4" t="str">
        <f t="shared" si="96"/>
        <v>2023</v>
      </c>
      <c r="H606" s="3">
        <v>45239</v>
      </c>
      <c r="I606" s="4" t="s">
        <v>620</v>
      </c>
      <c r="J606" s="4" t="s">
        <v>23</v>
      </c>
      <c r="K606" s="4" t="str" cm="1">
        <f t="array" ref="K606">_xlfn.IFS(L606&gt;50,"Senior", L606&gt;=30,"Adult", L606&lt;30,"Young Adult")</f>
        <v>Young Adult</v>
      </c>
      <c r="L606" s="4">
        <v>18</v>
      </c>
      <c r="M606" s="4" t="s">
        <v>24</v>
      </c>
      <c r="N606" s="4">
        <v>4</v>
      </c>
      <c r="O606" s="5">
        <v>500</v>
      </c>
      <c r="P606">
        <f t="shared" si="97"/>
        <v>2000</v>
      </c>
      <c r="Q606" s="14" t="e">
        <f>P606*#REF!</f>
        <v>#REF!</v>
      </c>
      <c r="R606" s="14" t="e">
        <f>P606*#REF!</f>
        <v>#REF!</v>
      </c>
    </row>
    <row r="607" spans="1:18" x14ac:dyDescent="0.35">
      <c r="A607" s="2">
        <v>596</v>
      </c>
      <c r="B607" s="4">
        <f t="shared" si="91"/>
        <v>7</v>
      </c>
      <c r="C607" s="4">
        <f t="shared" si="92"/>
        <v>2</v>
      </c>
      <c r="D607" s="4">
        <f t="shared" si="93"/>
        <v>2023</v>
      </c>
      <c r="E607" s="4" t="str">
        <f t="shared" si="94"/>
        <v>Tuesday</v>
      </c>
      <c r="F607" s="4" t="str">
        <f t="shared" si="95"/>
        <v>February</v>
      </c>
      <c r="G607" s="4" t="str">
        <f t="shared" si="96"/>
        <v>2023</v>
      </c>
      <c r="H607" s="3">
        <v>44964</v>
      </c>
      <c r="I607" s="4" t="s">
        <v>621</v>
      </c>
      <c r="J607" s="4" t="s">
        <v>23</v>
      </c>
      <c r="K607" s="4" t="str" cm="1">
        <f t="array" ref="K607">_xlfn.IFS(L607&gt;50,"Senior", L607&gt;=30,"Adult", L607&lt;30,"Young Adult")</f>
        <v>Senior</v>
      </c>
      <c r="L607" s="4">
        <v>64</v>
      </c>
      <c r="M607" s="4" t="s">
        <v>26</v>
      </c>
      <c r="N607" s="4">
        <v>1</v>
      </c>
      <c r="O607" s="5">
        <v>300</v>
      </c>
      <c r="P607">
        <f t="shared" si="97"/>
        <v>300</v>
      </c>
      <c r="Q607" s="14" t="e">
        <f>P607*#REF!</f>
        <v>#REF!</v>
      </c>
      <c r="R607" s="14" t="e">
        <f>P607*#REF!</f>
        <v>#REF!</v>
      </c>
    </row>
    <row r="608" spans="1:18" x14ac:dyDescent="0.35">
      <c r="A608" s="2">
        <v>597</v>
      </c>
      <c r="B608" s="4">
        <f t="shared" si="91"/>
        <v>22</v>
      </c>
      <c r="C608" s="4">
        <f t="shared" si="92"/>
        <v>8</v>
      </c>
      <c r="D608" s="4">
        <f t="shared" si="93"/>
        <v>2023</v>
      </c>
      <c r="E608" s="4" t="str">
        <f t="shared" si="94"/>
        <v>Tuesday</v>
      </c>
      <c r="F608" s="4" t="str">
        <f t="shared" si="95"/>
        <v>August</v>
      </c>
      <c r="G608" s="4" t="str">
        <f t="shared" si="96"/>
        <v>2023</v>
      </c>
      <c r="H608" s="3">
        <v>45160</v>
      </c>
      <c r="I608" s="4" t="s">
        <v>622</v>
      </c>
      <c r="J608" s="4" t="s">
        <v>20</v>
      </c>
      <c r="K608" s="4" t="str" cm="1">
        <f t="array" ref="K608">_xlfn.IFS(L608&gt;50,"Senior", L608&gt;=30,"Adult", L608&lt;30,"Young Adult")</f>
        <v>Young Adult</v>
      </c>
      <c r="L608" s="4">
        <v>22</v>
      </c>
      <c r="M608" s="4" t="s">
        <v>21</v>
      </c>
      <c r="N608" s="4">
        <v>4</v>
      </c>
      <c r="O608" s="5">
        <v>300</v>
      </c>
      <c r="P608">
        <f t="shared" si="97"/>
        <v>1200</v>
      </c>
      <c r="Q608" s="14">
        <f t="shared" ref="Q608:Q611" si="98">P608*$I$4</f>
        <v>18</v>
      </c>
      <c r="R608" s="14">
        <f t="shared" ref="R608:R611" si="99">P608*$I$5</f>
        <v>24</v>
      </c>
    </row>
    <row r="609" spans="1:18" x14ac:dyDescent="0.35">
      <c r="A609" s="2">
        <v>598</v>
      </c>
      <c r="B609" s="4">
        <f t="shared" si="91"/>
        <v>1</v>
      </c>
      <c r="C609" s="4">
        <f t="shared" si="92"/>
        <v>8</v>
      </c>
      <c r="D609" s="4">
        <f t="shared" si="93"/>
        <v>2023</v>
      </c>
      <c r="E609" s="4" t="str">
        <f t="shared" si="94"/>
        <v>Tuesday</v>
      </c>
      <c r="F609" s="4" t="str">
        <f t="shared" si="95"/>
        <v>August</v>
      </c>
      <c r="G609" s="4" t="str">
        <f t="shared" si="96"/>
        <v>2023</v>
      </c>
      <c r="H609" s="3">
        <v>45139</v>
      </c>
      <c r="I609" s="4" t="s">
        <v>623</v>
      </c>
      <c r="J609" s="4" t="s">
        <v>20</v>
      </c>
      <c r="K609" s="4" t="str" cm="1">
        <f t="array" ref="K609">_xlfn.IFS(L609&gt;50,"Senior", L609&gt;=30,"Adult", L609&lt;30,"Young Adult")</f>
        <v>Adult</v>
      </c>
      <c r="L609" s="4">
        <v>37</v>
      </c>
      <c r="M609" s="4" t="s">
        <v>21</v>
      </c>
      <c r="N609" s="4">
        <v>4</v>
      </c>
      <c r="O609" s="5">
        <v>30</v>
      </c>
      <c r="P609">
        <f t="shared" si="97"/>
        <v>120</v>
      </c>
      <c r="Q609" s="14">
        <f t="shared" si="98"/>
        <v>1.7999999999999998</v>
      </c>
      <c r="R609" s="14">
        <f t="shared" si="99"/>
        <v>2.4</v>
      </c>
    </row>
    <row r="610" spans="1:18" x14ac:dyDescent="0.35">
      <c r="A610" s="2">
        <v>599</v>
      </c>
      <c r="B610" s="4">
        <f t="shared" si="91"/>
        <v>19</v>
      </c>
      <c r="C610" s="4">
        <f t="shared" si="92"/>
        <v>11</v>
      </c>
      <c r="D610" s="4">
        <f t="shared" si="93"/>
        <v>2023</v>
      </c>
      <c r="E610" s="4" t="str">
        <f t="shared" si="94"/>
        <v>Sunday</v>
      </c>
      <c r="F610" s="4" t="str">
        <f t="shared" si="95"/>
        <v>November</v>
      </c>
      <c r="G610" s="4" t="str">
        <f t="shared" si="96"/>
        <v>2023</v>
      </c>
      <c r="H610" s="3">
        <v>45249</v>
      </c>
      <c r="I610" s="4" t="s">
        <v>624</v>
      </c>
      <c r="J610" s="4" t="s">
        <v>23</v>
      </c>
      <c r="K610" s="4" t="str" cm="1">
        <f t="array" ref="K610">_xlfn.IFS(L610&gt;50,"Senior", L610&gt;=30,"Adult", L610&lt;30,"Young Adult")</f>
        <v>Young Adult</v>
      </c>
      <c r="L610" s="4">
        <v>28</v>
      </c>
      <c r="M610" s="4" t="s">
        <v>21</v>
      </c>
      <c r="N610" s="4">
        <v>2</v>
      </c>
      <c r="O610" s="5">
        <v>50</v>
      </c>
      <c r="P610">
        <f t="shared" si="97"/>
        <v>100</v>
      </c>
      <c r="Q610" s="14">
        <f t="shared" si="98"/>
        <v>1.5</v>
      </c>
      <c r="R610" s="14">
        <f t="shared" si="99"/>
        <v>2</v>
      </c>
    </row>
    <row r="611" spans="1:18" x14ac:dyDescent="0.35">
      <c r="A611" s="2">
        <v>600</v>
      </c>
      <c r="B611" s="4">
        <f t="shared" si="91"/>
        <v>22</v>
      </c>
      <c r="C611" s="4">
        <f t="shared" si="92"/>
        <v>10</v>
      </c>
      <c r="D611" s="4">
        <f t="shared" si="93"/>
        <v>2023</v>
      </c>
      <c r="E611" s="4" t="str">
        <f t="shared" si="94"/>
        <v>Sunday</v>
      </c>
      <c r="F611" s="4" t="str">
        <f t="shared" si="95"/>
        <v>October</v>
      </c>
      <c r="G611" s="4" t="str">
        <f t="shared" si="96"/>
        <v>2023</v>
      </c>
      <c r="H611" s="3">
        <v>45221</v>
      </c>
      <c r="I611" s="4" t="s">
        <v>625</v>
      </c>
      <c r="J611" s="4" t="s">
        <v>23</v>
      </c>
      <c r="K611" s="4" t="str" cm="1">
        <f t="array" ref="K611">_xlfn.IFS(L611&gt;50,"Senior", L611&gt;=30,"Adult", L611&lt;30,"Young Adult")</f>
        <v>Senior</v>
      </c>
      <c r="L611" s="4">
        <v>59</v>
      </c>
      <c r="M611" s="4" t="s">
        <v>21</v>
      </c>
      <c r="N611" s="4">
        <v>2</v>
      </c>
      <c r="O611" s="5">
        <v>500</v>
      </c>
      <c r="P611">
        <f t="shared" si="97"/>
        <v>1000</v>
      </c>
      <c r="Q611" s="14">
        <f t="shared" si="98"/>
        <v>15</v>
      </c>
      <c r="R611" s="14">
        <f t="shared" si="99"/>
        <v>20</v>
      </c>
    </row>
    <row r="612" spans="1:18" x14ac:dyDescent="0.35">
      <c r="A612" s="2">
        <v>601</v>
      </c>
      <c r="B612" s="4">
        <f t="shared" si="91"/>
        <v>10</v>
      </c>
      <c r="C612" s="4">
        <f t="shared" si="92"/>
        <v>4</v>
      </c>
      <c r="D612" s="4">
        <f t="shared" si="93"/>
        <v>2023</v>
      </c>
      <c r="E612" s="4" t="str">
        <f t="shared" si="94"/>
        <v>Monday</v>
      </c>
      <c r="F612" s="4" t="str">
        <f t="shared" si="95"/>
        <v>April</v>
      </c>
      <c r="G612" s="4" t="str">
        <f t="shared" si="96"/>
        <v>2023</v>
      </c>
      <c r="H612" s="3">
        <v>45026</v>
      </c>
      <c r="I612" s="4" t="s">
        <v>626</v>
      </c>
      <c r="J612" s="4" t="s">
        <v>20</v>
      </c>
      <c r="K612" s="4" t="str" cm="1">
        <f t="array" ref="K612">_xlfn.IFS(L612&gt;50,"Senior", L612&gt;=30,"Adult", L612&lt;30,"Young Adult")</f>
        <v>Young Adult</v>
      </c>
      <c r="L612" s="4">
        <v>19</v>
      </c>
      <c r="M612" s="4" t="s">
        <v>24</v>
      </c>
      <c r="N612" s="4">
        <v>1</v>
      </c>
      <c r="O612" s="5">
        <v>30</v>
      </c>
      <c r="P612">
        <f t="shared" si="97"/>
        <v>30</v>
      </c>
      <c r="Q612" s="14" t="e">
        <f>P612*#REF!</f>
        <v>#REF!</v>
      </c>
      <c r="R612" s="14" t="e">
        <f>P612*#REF!</f>
        <v>#REF!</v>
      </c>
    </row>
    <row r="613" spans="1:18" x14ac:dyDescent="0.35">
      <c r="A613" s="2">
        <v>602</v>
      </c>
      <c r="B613" s="4">
        <f t="shared" si="91"/>
        <v>23</v>
      </c>
      <c r="C613" s="4">
        <f t="shared" si="92"/>
        <v>12</v>
      </c>
      <c r="D613" s="4">
        <f t="shared" si="93"/>
        <v>2023</v>
      </c>
      <c r="E613" s="4" t="str">
        <f t="shared" si="94"/>
        <v>Saturday</v>
      </c>
      <c r="F613" s="4" t="str">
        <f t="shared" si="95"/>
        <v>December</v>
      </c>
      <c r="G613" s="4" t="str">
        <f t="shared" si="96"/>
        <v>2023</v>
      </c>
      <c r="H613" s="3">
        <v>45283</v>
      </c>
      <c r="I613" s="4" t="s">
        <v>627</v>
      </c>
      <c r="J613" s="4" t="s">
        <v>23</v>
      </c>
      <c r="K613" s="4" t="str" cm="1">
        <f t="array" ref="K613">_xlfn.IFS(L613&gt;50,"Senior", L613&gt;=30,"Adult", L613&lt;30,"Young Adult")</f>
        <v>Young Adult</v>
      </c>
      <c r="L613" s="4">
        <v>20</v>
      </c>
      <c r="M613" s="4" t="s">
        <v>26</v>
      </c>
      <c r="N613" s="4">
        <v>1</v>
      </c>
      <c r="O613" s="5">
        <v>300</v>
      </c>
      <c r="P613">
        <f t="shared" si="97"/>
        <v>300</v>
      </c>
      <c r="Q613" s="14" t="e">
        <f>P613*#REF!</f>
        <v>#REF!</v>
      </c>
      <c r="R613" s="14" t="e">
        <f>P613*#REF!</f>
        <v>#REF!</v>
      </c>
    </row>
    <row r="614" spans="1:18" x14ac:dyDescent="0.35">
      <c r="A614" s="2">
        <v>603</v>
      </c>
      <c r="B614" s="4">
        <f t="shared" si="91"/>
        <v>16</v>
      </c>
      <c r="C614" s="4">
        <f t="shared" si="92"/>
        <v>7</v>
      </c>
      <c r="D614" s="4">
        <f t="shared" si="93"/>
        <v>2023</v>
      </c>
      <c r="E614" s="4" t="str">
        <f t="shared" si="94"/>
        <v>Sunday</v>
      </c>
      <c r="F614" s="4" t="str">
        <f t="shared" si="95"/>
        <v>July</v>
      </c>
      <c r="G614" s="4" t="str">
        <f t="shared" si="96"/>
        <v>2023</v>
      </c>
      <c r="H614" s="3">
        <v>45123</v>
      </c>
      <c r="I614" s="4" t="s">
        <v>628</v>
      </c>
      <c r="J614" s="4" t="s">
        <v>23</v>
      </c>
      <c r="K614" s="4" t="str" cm="1">
        <f t="array" ref="K614">_xlfn.IFS(L614&gt;50,"Senior", L614&gt;=30,"Adult", L614&lt;30,"Young Adult")</f>
        <v>Adult</v>
      </c>
      <c r="L614" s="4">
        <v>40</v>
      </c>
      <c r="M614" s="4" t="s">
        <v>24</v>
      </c>
      <c r="N614" s="4">
        <v>3</v>
      </c>
      <c r="O614" s="5">
        <v>30</v>
      </c>
      <c r="P614">
        <f t="shared" si="97"/>
        <v>90</v>
      </c>
      <c r="Q614" s="14" t="e">
        <f>P614*#REF!</f>
        <v>#REF!</v>
      </c>
      <c r="R614" s="14" t="e">
        <f>P614*#REF!</f>
        <v>#REF!</v>
      </c>
    </row>
    <row r="615" spans="1:18" x14ac:dyDescent="0.35">
      <c r="A615" s="2">
        <v>604</v>
      </c>
      <c r="B615" s="4">
        <f t="shared" si="91"/>
        <v>11</v>
      </c>
      <c r="C615" s="4">
        <f t="shared" si="92"/>
        <v>9</v>
      </c>
      <c r="D615" s="4">
        <f t="shared" si="93"/>
        <v>2023</v>
      </c>
      <c r="E615" s="4" t="str">
        <f t="shared" si="94"/>
        <v>Monday</v>
      </c>
      <c r="F615" s="4" t="str">
        <f t="shared" si="95"/>
        <v>September</v>
      </c>
      <c r="G615" s="4" t="str">
        <f t="shared" si="96"/>
        <v>2023</v>
      </c>
      <c r="H615" s="3">
        <v>45180</v>
      </c>
      <c r="I615" s="4" t="s">
        <v>629</v>
      </c>
      <c r="J615" s="4" t="s">
        <v>23</v>
      </c>
      <c r="K615" s="4" t="str" cm="1">
        <f t="array" ref="K615">_xlfn.IFS(L615&gt;50,"Senior", L615&gt;=30,"Adult", L615&lt;30,"Young Adult")</f>
        <v>Young Adult</v>
      </c>
      <c r="L615" s="4">
        <v>29</v>
      </c>
      <c r="M615" s="4" t="s">
        <v>26</v>
      </c>
      <c r="N615" s="4">
        <v>4</v>
      </c>
      <c r="O615" s="5">
        <v>50</v>
      </c>
      <c r="P615">
        <f t="shared" si="97"/>
        <v>200</v>
      </c>
      <c r="Q615" s="14" t="e">
        <f>P615*#REF!</f>
        <v>#REF!</v>
      </c>
      <c r="R615" s="14" t="e">
        <f>P615*#REF!</f>
        <v>#REF!</v>
      </c>
    </row>
    <row r="616" spans="1:18" x14ac:dyDescent="0.35">
      <c r="A616" s="2">
        <v>605</v>
      </c>
      <c r="B616" s="4">
        <f t="shared" si="91"/>
        <v>24</v>
      </c>
      <c r="C616" s="4">
        <f t="shared" si="92"/>
        <v>7</v>
      </c>
      <c r="D616" s="4">
        <f t="shared" si="93"/>
        <v>2023</v>
      </c>
      <c r="E616" s="4" t="str">
        <f t="shared" si="94"/>
        <v>Monday</v>
      </c>
      <c r="F616" s="4" t="str">
        <f t="shared" si="95"/>
        <v>July</v>
      </c>
      <c r="G616" s="4" t="str">
        <f t="shared" si="96"/>
        <v>2023</v>
      </c>
      <c r="H616" s="3">
        <v>45131</v>
      </c>
      <c r="I616" s="4" t="s">
        <v>630</v>
      </c>
      <c r="J616" s="4" t="s">
        <v>20</v>
      </c>
      <c r="K616" s="4" t="str" cm="1">
        <f t="array" ref="K616">_xlfn.IFS(L616&gt;50,"Senior", L616&gt;=30,"Adult", L616&lt;30,"Young Adult")</f>
        <v>Adult</v>
      </c>
      <c r="L616" s="4">
        <v>37</v>
      </c>
      <c r="M616" s="4" t="s">
        <v>26</v>
      </c>
      <c r="N616" s="4">
        <v>2</v>
      </c>
      <c r="O616" s="5">
        <v>500</v>
      </c>
      <c r="P616">
        <f t="shared" si="97"/>
        <v>1000</v>
      </c>
      <c r="Q616" s="14" t="e">
        <f>P616*#REF!</f>
        <v>#REF!</v>
      </c>
      <c r="R616" s="14" t="e">
        <f>P616*#REF!</f>
        <v>#REF!</v>
      </c>
    </row>
    <row r="617" spans="1:18" x14ac:dyDescent="0.35">
      <c r="A617" s="2">
        <v>606</v>
      </c>
      <c r="B617" s="4">
        <f t="shared" si="91"/>
        <v>5</v>
      </c>
      <c r="C617" s="4">
        <f t="shared" si="92"/>
        <v>5</v>
      </c>
      <c r="D617" s="4">
        <f t="shared" si="93"/>
        <v>2023</v>
      </c>
      <c r="E617" s="4" t="str">
        <f t="shared" si="94"/>
        <v>Friday</v>
      </c>
      <c r="F617" s="4" t="str">
        <f t="shared" si="95"/>
        <v>May</v>
      </c>
      <c r="G617" s="4" t="str">
        <f t="shared" si="96"/>
        <v>2023</v>
      </c>
      <c r="H617" s="3">
        <v>45051</v>
      </c>
      <c r="I617" s="4" t="s">
        <v>631</v>
      </c>
      <c r="J617" s="4" t="s">
        <v>20</v>
      </c>
      <c r="K617" s="4" t="str" cm="1">
        <f t="array" ref="K617">_xlfn.IFS(L617&gt;50,"Senior", L617&gt;=30,"Adult", L617&lt;30,"Young Adult")</f>
        <v>Young Adult</v>
      </c>
      <c r="L617" s="4">
        <v>22</v>
      </c>
      <c r="M617" s="4" t="s">
        <v>26</v>
      </c>
      <c r="N617" s="4">
        <v>1</v>
      </c>
      <c r="O617" s="5">
        <v>50</v>
      </c>
      <c r="P617">
        <f t="shared" si="97"/>
        <v>50</v>
      </c>
      <c r="Q617" s="14" t="e">
        <f>P617*#REF!</f>
        <v>#REF!</v>
      </c>
      <c r="R617" s="14" t="e">
        <f>P617*#REF!</f>
        <v>#REF!</v>
      </c>
    </row>
    <row r="618" spans="1:18" x14ac:dyDescent="0.35">
      <c r="A618" s="2">
        <v>607</v>
      </c>
      <c r="B618" s="4">
        <f t="shared" si="91"/>
        <v>17</v>
      </c>
      <c r="C618" s="4">
        <f t="shared" si="92"/>
        <v>3</v>
      </c>
      <c r="D618" s="4">
        <f t="shared" si="93"/>
        <v>2023</v>
      </c>
      <c r="E618" s="4" t="str">
        <f t="shared" si="94"/>
        <v>Friday</v>
      </c>
      <c r="F618" s="4" t="str">
        <f t="shared" si="95"/>
        <v>March</v>
      </c>
      <c r="G618" s="4" t="str">
        <f t="shared" si="96"/>
        <v>2023</v>
      </c>
      <c r="H618" s="3">
        <v>45002</v>
      </c>
      <c r="I618" s="4" t="s">
        <v>632</v>
      </c>
      <c r="J618" s="4" t="s">
        <v>20</v>
      </c>
      <c r="K618" s="4" t="str" cm="1">
        <f t="array" ref="K618">_xlfn.IFS(L618&gt;50,"Senior", L618&gt;=30,"Adult", L618&lt;30,"Young Adult")</f>
        <v>Senior</v>
      </c>
      <c r="L618" s="4">
        <v>54</v>
      </c>
      <c r="M618" s="4" t="s">
        <v>24</v>
      </c>
      <c r="N618" s="4">
        <v>3</v>
      </c>
      <c r="O618" s="5">
        <v>25</v>
      </c>
      <c r="P618">
        <f t="shared" si="97"/>
        <v>75</v>
      </c>
      <c r="Q618" s="14" t="e">
        <f>P618*#REF!</f>
        <v>#REF!</v>
      </c>
      <c r="R618" s="14" t="e">
        <f>P618*#REF!</f>
        <v>#REF!</v>
      </c>
    </row>
    <row r="619" spans="1:18" x14ac:dyDescent="0.35">
      <c r="A619" s="2">
        <v>608</v>
      </c>
      <c r="B619" s="4">
        <f t="shared" si="91"/>
        <v>2</v>
      </c>
      <c r="C619" s="4">
        <f t="shared" si="92"/>
        <v>12</v>
      </c>
      <c r="D619" s="4">
        <f t="shared" si="93"/>
        <v>2023</v>
      </c>
      <c r="E619" s="4" t="str">
        <f t="shared" si="94"/>
        <v>Saturday</v>
      </c>
      <c r="F619" s="4" t="str">
        <f t="shared" si="95"/>
        <v>December</v>
      </c>
      <c r="G619" s="4" t="str">
        <f t="shared" si="96"/>
        <v>2023</v>
      </c>
      <c r="H619" s="3">
        <v>45262</v>
      </c>
      <c r="I619" s="4" t="s">
        <v>633</v>
      </c>
      <c r="J619" s="4" t="s">
        <v>23</v>
      </c>
      <c r="K619" s="4" t="str" cm="1">
        <f t="array" ref="K619">_xlfn.IFS(L619&gt;50,"Senior", L619&gt;=30,"Adult", L619&lt;30,"Young Adult")</f>
        <v>Senior</v>
      </c>
      <c r="L619" s="4">
        <v>55</v>
      </c>
      <c r="M619" s="4" t="s">
        <v>26</v>
      </c>
      <c r="N619" s="4">
        <v>3</v>
      </c>
      <c r="O619" s="5">
        <v>500</v>
      </c>
      <c r="P619">
        <f t="shared" si="97"/>
        <v>1500</v>
      </c>
      <c r="Q619" s="14" t="e">
        <f>P619*#REF!</f>
        <v>#REF!</v>
      </c>
      <c r="R619" s="14" t="e">
        <f>P619*#REF!</f>
        <v>#REF!</v>
      </c>
    </row>
    <row r="620" spans="1:18" x14ac:dyDescent="0.35">
      <c r="A620" s="2">
        <v>609</v>
      </c>
      <c r="B620" s="4">
        <f t="shared" si="91"/>
        <v>19</v>
      </c>
      <c r="C620" s="4">
        <f t="shared" si="92"/>
        <v>12</v>
      </c>
      <c r="D620" s="4">
        <f t="shared" si="93"/>
        <v>2023</v>
      </c>
      <c r="E620" s="4" t="str">
        <f t="shared" si="94"/>
        <v>Tuesday</v>
      </c>
      <c r="F620" s="4" t="str">
        <f t="shared" si="95"/>
        <v>December</v>
      </c>
      <c r="G620" s="4" t="str">
        <f t="shared" si="96"/>
        <v>2023</v>
      </c>
      <c r="H620" s="3">
        <v>45279</v>
      </c>
      <c r="I620" s="4" t="s">
        <v>634</v>
      </c>
      <c r="J620" s="4" t="s">
        <v>23</v>
      </c>
      <c r="K620" s="4" t="str" cm="1">
        <f t="array" ref="K620">_xlfn.IFS(L620&gt;50,"Senior", L620&gt;=30,"Adult", L620&lt;30,"Young Adult")</f>
        <v>Adult</v>
      </c>
      <c r="L620" s="4">
        <v>47</v>
      </c>
      <c r="M620" s="4" t="s">
        <v>24</v>
      </c>
      <c r="N620" s="4">
        <v>2</v>
      </c>
      <c r="O620" s="5">
        <v>50</v>
      </c>
      <c r="P620">
        <f t="shared" si="97"/>
        <v>100</v>
      </c>
      <c r="Q620" s="14" t="e">
        <f>P620*#REF!</f>
        <v>#REF!</v>
      </c>
      <c r="R620" s="14" t="e">
        <f>P620*#REF!</f>
        <v>#REF!</v>
      </c>
    </row>
    <row r="621" spans="1:18" x14ac:dyDescent="0.35">
      <c r="A621" s="2">
        <v>610</v>
      </c>
      <c r="B621" s="4">
        <f t="shared" si="91"/>
        <v>3</v>
      </c>
      <c r="C621" s="4">
        <f t="shared" si="92"/>
        <v>1</v>
      </c>
      <c r="D621" s="4">
        <f t="shared" si="93"/>
        <v>2023</v>
      </c>
      <c r="E621" s="4" t="str">
        <f t="shared" si="94"/>
        <v>Tuesday</v>
      </c>
      <c r="F621" s="4" t="str">
        <f t="shared" si="95"/>
        <v>January</v>
      </c>
      <c r="G621" s="4" t="str">
        <f t="shared" si="96"/>
        <v>2023</v>
      </c>
      <c r="H621" s="3">
        <v>44929</v>
      </c>
      <c r="I621" s="4" t="s">
        <v>635</v>
      </c>
      <c r="J621" s="4" t="s">
        <v>23</v>
      </c>
      <c r="K621" s="4" t="str" cm="1">
        <f t="array" ref="K621">_xlfn.IFS(L621&gt;50,"Senior", L621&gt;=30,"Adult", L621&lt;30,"Young Adult")</f>
        <v>Young Adult</v>
      </c>
      <c r="L621" s="4">
        <v>26</v>
      </c>
      <c r="M621" s="4" t="s">
        <v>21</v>
      </c>
      <c r="N621" s="4">
        <v>2</v>
      </c>
      <c r="O621" s="5">
        <v>300</v>
      </c>
      <c r="P621">
        <f t="shared" si="97"/>
        <v>600</v>
      </c>
      <c r="Q621" s="14">
        <f t="shared" ref="Q621:Q622" si="100">P621*$I$4</f>
        <v>9</v>
      </c>
      <c r="R621" s="14">
        <f t="shared" ref="R621:R622" si="101">P621*$I$5</f>
        <v>12</v>
      </c>
    </row>
    <row r="622" spans="1:18" x14ac:dyDescent="0.35">
      <c r="A622" s="2">
        <v>611</v>
      </c>
      <c r="B622" s="4">
        <f t="shared" si="91"/>
        <v>24</v>
      </c>
      <c r="C622" s="4">
        <f t="shared" si="92"/>
        <v>2</v>
      </c>
      <c r="D622" s="4">
        <f t="shared" si="93"/>
        <v>2023</v>
      </c>
      <c r="E622" s="4" t="str">
        <f t="shared" si="94"/>
        <v>Friday</v>
      </c>
      <c r="F622" s="4" t="str">
        <f t="shared" si="95"/>
        <v>February</v>
      </c>
      <c r="G622" s="4" t="str">
        <f t="shared" si="96"/>
        <v>2023</v>
      </c>
      <c r="H622" s="3">
        <v>44981</v>
      </c>
      <c r="I622" s="4" t="s">
        <v>636</v>
      </c>
      <c r="J622" s="4" t="s">
        <v>20</v>
      </c>
      <c r="K622" s="4" t="str" cm="1">
        <f t="array" ref="K622">_xlfn.IFS(L622&gt;50,"Senior", L622&gt;=30,"Adult", L622&lt;30,"Young Adult")</f>
        <v>Senior</v>
      </c>
      <c r="L622" s="4">
        <v>51</v>
      </c>
      <c r="M622" s="4" t="s">
        <v>21</v>
      </c>
      <c r="N622" s="4">
        <v>3</v>
      </c>
      <c r="O622" s="5">
        <v>500</v>
      </c>
      <c r="P622">
        <f t="shared" si="97"/>
        <v>1500</v>
      </c>
      <c r="Q622" s="14">
        <f t="shared" si="100"/>
        <v>22.5</v>
      </c>
      <c r="R622" s="14">
        <f t="shared" si="101"/>
        <v>30</v>
      </c>
    </row>
    <row r="623" spans="1:18" x14ac:dyDescent="0.35">
      <c r="A623" s="2">
        <v>612</v>
      </c>
      <c r="B623" s="4">
        <f t="shared" si="91"/>
        <v>6</v>
      </c>
      <c r="C623" s="4">
        <f t="shared" si="92"/>
        <v>8</v>
      </c>
      <c r="D623" s="4">
        <f t="shared" si="93"/>
        <v>2023</v>
      </c>
      <c r="E623" s="4" t="str">
        <f t="shared" si="94"/>
        <v>Sunday</v>
      </c>
      <c r="F623" s="4" t="str">
        <f t="shared" si="95"/>
        <v>August</v>
      </c>
      <c r="G623" s="4" t="str">
        <f t="shared" si="96"/>
        <v>2023</v>
      </c>
      <c r="H623" s="3">
        <v>45144</v>
      </c>
      <c r="I623" s="4" t="s">
        <v>637</v>
      </c>
      <c r="J623" s="4" t="s">
        <v>23</v>
      </c>
      <c r="K623" s="4" t="str" cm="1">
        <f t="array" ref="K623">_xlfn.IFS(L623&gt;50,"Senior", L623&gt;=30,"Adult", L623&lt;30,"Young Adult")</f>
        <v>Senior</v>
      </c>
      <c r="L623" s="4">
        <v>61</v>
      </c>
      <c r="M623" s="4" t="s">
        <v>26</v>
      </c>
      <c r="N623" s="4">
        <v>1</v>
      </c>
      <c r="O623" s="5">
        <v>500</v>
      </c>
      <c r="P623">
        <f t="shared" si="97"/>
        <v>500</v>
      </c>
      <c r="Q623" s="14" t="e">
        <f>P623*#REF!</f>
        <v>#REF!</v>
      </c>
      <c r="R623" s="14" t="e">
        <f>P623*#REF!</f>
        <v>#REF!</v>
      </c>
    </row>
    <row r="624" spans="1:18" x14ac:dyDescent="0.35">
      <c r="A624" s="2">
        <v>613</v>
      </c>
      <c r="B624" s="4">
        <f t="shared" si="91"/>
        <v>23</v>
      </c>
      <c r="C624" s="4">
        <f t="shared" si="92"/>
        <v>4</v>
      </c>
      <c r="D624" s="4">
        <f t="shared" si="93"/>
        <v>2023</v>
      </c>
      <c r="E624" s="4" t="str">
        <f t="shared" si="94"/>
        <v>Sunday</v>
      </c>
      <c r="F624" s="4" t="str">
        <f t="shared" si="95"/>
        <v>April</v>
      </c>
      <c r="G624" s="4" t="str">
        <f t="shared" si="96"/>
        <v>2023</v>
      </c>
      <c r="H624" s="3">
        <v>45039</v>
      </c>
      <c r="I624" s="4" t="s">
        <v>638</v>
      </c>
      <c r="J624" s="4" t="s">
        <v>23</v>
      </c>
      <c r="K624" s="4" t="str" cm="1">
        <f t="array" ref="K624">_xlfn.IFS(L624&gt;50,"Senior", L624&gt;=30,"Adult", L624&lt;30,"Young Adult")</f>
        <v>Senior</v>
      </c>
      <c r="L624" s="4">
        <v>52</v>
      </c>
      <c r="M624" s="4" t="s">
        <v>24</v>
      </c>
      <c r="N624" s="4">
        <v>3</v>
      </c>
      <c r="O624" s="5">
        <v>30</v>
      </c>
      <c r="P624">
        <f t="shared" si="97"/>
        <v>90</v>
      </c>
      <c r="Q624" s="14" t="e">
        <f>P624*#REF!</f>
        <v>#REF!</v>
      </c>
      <c r="R624" s="14" t="e">
        <f>P624*#REF!</f>
        <v>#REF!</v>
      </c>
    </row>
    <row r="625" spans="1:18" x14ac:dyDescent="0.35">
      <c r="A625" s="2">
        <v>614</v>
      </c>
      <c r="B625" s="4">
        <f t="shared" si="91"/>
        <v>1</v>
      </c>
      <c r="C625" s="4">
        <f t="shared" si="92"/>
        <v>4</v>
      </c>
      <c r="D625" s="4">
        <f t="shared" si="93"/>
        <v>2023</v>
      </c>
      <c r="E625" s="4" t="str">
        <f t="shared" si="94"/>
        <v>Saturday</v>
      </c>
      <c r="F625" s="4" t="str">
        <f t="shared" si="95"/>
        <v>April</v>
      </c>
      <c r="G625" s="4" t="str">
        <f t="shared" si="96"/>
        <v>2023</v>
      </c>
      <c r="H625" s="3">
        <v>45017</v>
      </c>
      <c r="I625" s="4" t="s">
        <v>639</v>
      </c>
      <c r="J625" s="4" t="s">
        <v>23</v>
      </c>
      <c r="K625" s="4" t="str" cm="1">
        <f t="array" ref="K625">_xlfn.IFS(L625&gt;50,"Senior", L625&gt;=30,"Adult", L625&lt;30,"Young Adult")</f>
        <v>Adult</v>
      </c>
      <c r="L625" s="4">
        <v>39</v>
      </c>
      <c r="M625" s="4" t="s">
        <v>21</v>
      </c>
      <c r="N625" s="4">
        <v>4</v>
      </c>
      <c r="O625" s="5">
        <v>300</v>
      </c>
      <c r="P625">
        <f t="shared" si="97"/>
        <v>1200</v>
      </c>
      <c r="Q625" s="14">
        <f>P625*$I$4</f>
        <v>18</v>
      </c>
      <c r="R625" s="14">
        <f>P625*$I$5</f>
        <v>24</v>
      </c>
    </row>
    <row r="626" spans="1:18" x14ac:dyDescent="0.35">
      <c r="A626" s="2">
        <v>615</v>
      </c>
      <c r="B626" s="4">
        <f t="shared" si="91"/>
        <v>23</v>
      </c>
      <c r="C626" s="4">
        <f t="shared" si="92"/>
        <v>12</v>
      </c>
      <c r="D626" s="4">
        <f t="shared" si="93"/>
        <v>2023</v>
      </c>
      <c r="E626" s="4" t="str">
        <f t="shared" si="94"/>
        <v>Saturday</v>
      </c>
      <c r="F626" s="4" t="str">
        <f t="shared" si="95"/>
        <v>December</v>
      </c>
      <c r="G626" s="4" t="str">
        <f t="shared" si="96"/>
        <v>2023</v>
      </c>
      <c r="H626" s="3">
        <v>45283</v>
      </c>
      <c r="I626" s="4" t="s">
        <v>640</v>
      </c>
      <c r="J626" s="4" t="s">
        <v>23</v>
      </c>
      <c r="K626" s="4" t="str" cm="1">
        <f t="array" ref="K626">_xlfn.IFS(L626&gt;50,"Senior", L626&gt;=30,"Adult", L626&lt;30,"Young Adult")</f>
        <v>Senior</v>
      </c>
      <c r="L626" s="4">
        <v>61</v>
      </c>
      <c r="M626" s="4" t="s">
        <v>24</v>
      </c>
      <c r="N626" s="4">
        <v>4</v>
      </c>
      <c r="O626" s="5">
        <v>25</v>
      </c>
      <c r="P626">
        <f t="shared" si="97"/>
        <v>100</v>
      </c>
      <c r="Q626" s="14" t="e">
        <f>P626*#REF!</f>
        <v>#REF!</v>
      </c>
      <c r="R626" s="14" t="e">
        <f>P626*#REF!</f>
        <v>#REF!</v>
      </c>
    </row>
    <row r="627" spans="1:18" x14ac:dyDescent="0.35">
      <c r="A627" s="2">
        <v>616</v>
      </c>
      <c r="B627" s="4">
        <f t="shared" si="91"/>
        <v>23</v>
      </c>
      <c r="C627" s="4">
        <f t="shared" si="92"/>
        <v>9</v>
      </c>
      <c r="D627" s="4">
        <f t="shared" si="93"/>
        <v>2023</v>
      </c>
      <c r="E627" s="4" t="str">
        <f t="shared" si="94"/>
        <v>Saturday</v>
      </c>
      <c r="F627" s="4" t="str">
        <f t="shared" si="95"/>
        <v>September</v>
      </c>
      <c r="G627" s="4" t="str">
        <f t="shared" si="96"/>
        <v>2023</v>
      </c>
      <c r="H627" s="3">
        <v>45192</v>
      </c>
      <c r="I627" s="4" t="s">
        <v>641</v>
      </c>
      <c r="J627" s="4" t="s">
        <v>20</v>
      </c>
      <c r="K627" s="4" t="str" cm="1">
        <f t="array" ref="K627">_xlfn.IFS(L627&gt;50,"Senior", L627&gt;=30,"Adult", L627&lt;30,"Young Adult")</f>
        <v>Adult</v>
      </c>
      <c r="L627" s="4">
        <v>41</v>
      </c>
      <c r="M627" s="4" t="s">
        <v>24</v>
      </c>
      <c r="N627" s="4">
        <v>2</v>
      </c>
      <c r="O627" s="5">
        <v>50</v>
      </c>
      <c r="P627">
        <f t="shared" si="97"/>
        <v>100</v>
      </c>
      <c r="Q627" s="14" t="e">
        <f>P627*#REF!</f>
        <v>#REF!</v>
      </c>
      <c r="R627" s="14" t="e">
        <f>P627*#REF!</f>
        <v>#REF!</v>
      </c>
    </row>
    <row r="628" spans="1:18" x14ac:dyDescent="0.35">
      <c r="A628" s="2">
        <v>617</v>
      </c>
      <c r="B628" s="4">
        <f t="shared" si="91"/>
        <v>26</v>
      </c>
      <c r="C628" s="4">
        <f t="shared" si="92"/>
        <v>8</v>
      </c>
      <c r="D628" s="4">
        <f t="shared" si="93"/>
        <v>2023</v>
      </c>
      <c r="E628" s="4" t="str">
        <f t="shared" si="94"/>
        <v>Saturday</v>
      </c>
      <c r="F628" s="4" t="str">
        <f t="shared" si="95"/>
        <v>August</v>
      </c>
      <c r="G628" s="4" t="str">
        <f t="shared" si="96"/>
        <v>2023</v>
      </c>
      <c r="H628" s="3">
        <v>45164</v>
      </c>
      <c r="I628" s="4" t="s">
        <v>642</v>
      </c>
      <c r="J628" s="4" t="s">
        <v>20</v>
      </c>
      <c r="K628" s="4" t="str" cm="1">
        <f t="array" ref="K628">_xlfn.IFS(L628&gt;50,"Senior", L628&gt;=30,"Adult", L628&lt;30,"Young Adult")</f>
        <v>Adult</v>
      </c>
      <c r="L628" s="4">
        <v>34</v>
      </c>
      <c r="M628" s="4" t="s">
        <v>26</v>
      </c>
      <c r="N628" s="4">
        <v>1</v>
      </c>
      <c r="O628" s="5">
        <v>30</v>
      </c>
      <c r="P628">
        <f t="shared" si="97"/>
        <v>30</v>
      </c>
      <c r="Q628" s="14" t="e">
        <f>P628*#REF!</f>
        <v>#REF!</v>
      </c>
      <c r="R628" s="14" t="e">
        <f>P628*#REF!</f>
        <v>#REF!</v>
      </c>
    </row>
    <row r="629" spans="1:18" x14ac:dyDescent="0.35">
      <c r="A629" s="2">
        <v>618</v>
      </c>
      <c r="B629" s="4">
        <f t="shared" si="91"/>
        <v>26</v>
      </c>
      <c r="C629" s="4">
        <f t="shared" si="92"/>
        <v>1</v>
      </c>
      <c r="D629" s="4">
        <f t="shared" si="93"/>
        <v>2023</v>
      </c>
      <c r="E629" s="4" t="str">
        <f t="shared" si="94"/>
        <v>Thursday</v>
      </c>
      <c r="F629" s="4" t="str">
        <f t="shared" si="95"/>
        <v>January</v>
      </c>
      <c r="G629" s="4" t="str">
        <f t="shared" si="96"/>
        <v>2023</v>
      </c>
      <c r="H629" s="3">
        <v>44952</v>
      </c>
      <c r="I629" s="4" t="s">
        <v>643</v>
      </c>
      <c r="J629" s="4" t="s">
        <v>23</v>
      </c>
      <c r="K629" s="4" t="str" cm="1">
        <f t="array" ref="K629">_xlfn.IFS(L629&gt;50,"Senior", L629&gt;=30,"Adult", L629&lt;30,"Young Adult")</f>
        <v>Young Adult</v>
      </c>
      <c r="L629" s="4">
        <v>27</v>
      </c>
      <c r="M629" s="4" t="s">
        <v>21</v>
      </c>
      <c r="N629" s="4">
        <v>1</v>
      </c>
      <c r="O629" s="5">
        <v>50</v>
      </c>
      <c r="P629">
        <f t="shared" si="97"/>
        <v>50</v>
      </c>
      <c r="Q629" s="14">
        <f>P629*$I$4</f>
        <v>0.75</v>
      </c>
      <c r="R629" s="14">
        <f>P629*$I$5</f>
        <v>1</v>
      </c>
    </row>
    <row r="630" spans="1:18" x14ac:dyDescent="0.35">
      <c r="A630" s="2">
        <v>619</v>
      </c>
      <c r="B630" s="4">
        <f t="shared" si="91"/>
        <v>13</v>
      </c>
      <c r="C630" s="4">
        <f t="shared" si="92"/>
        <v>10</v>
      </c>
      <c r="D630" s="4">
        <f t="shared" si="93"/>
        <v>2023</v>
      </c>
      <c r="E630" s="4" t="str">
        <f t="shared" si="94"/>
        <v>Friday</v>
      </c>
      <c r="F630" s="4" t="str">
        <f t="shared" si="95"/>
        <v>October</v>
      </c>
      <c r="G630" s="4" t="str">
        <f t="shared" si="96"/>
        <v>2023</v>
      </c>
      <c r="H630" s="3">
        <v>45212</v>
      </c>
      <c r="I630" s="4" t="s">
        <v>644</v>
      </c>
      <c r="J630" s="4" t="s">
        <v>20</v>
      </c>
      <c r="K630" s="4" t="str" cm="1">
        <f t="array" ref="K630">_xlfn.IFS(L630&gt;50,"Senior", L630&gt;=30,"Adult", L630&lt;30,"Young Adult")</f>
        <v>Adult</v>
      </c>
      <c r="L630" s="4">
        <v>47</v>
      </c>
      <c r="M630" s="4" t="s">
        <v>26</v>
      </c>
      <c r="N630" s="4">
        <v>4</v>
      </c>
      <c r="O630" s="5">
        <v>25</v>
      </c>
      <c r="P630">
        <f t="shared" si="97"/>
        <v>100</v>
      </c>
      <c r="Q630" s="14" t="e">
        <f>P630*#REF!</f>
        <v>#REF!</v>
      </c>
      <c r="R630" s="14" t="e">
        <f>P630*#REF!</f>
        <v>#REF!</v>
      </c>
    </row>
    <row r="631" spans="1:18" x14ac:dyDescent="0.35">
      <c r="A631" s="2">
        <v>620</v>
      </c>
      <c r="B631" s="4">
        <f t="shared" si="91"/>
        <v>8</v>
      </c>
      <c r="C631" s="4">
        <f t="shared" si="92"/>
        <v>5</v>
      </c>
      <c r="D631" s="4">
        <f t="shared" si="93"/>
        <v>2023</v>
      </c>
      <c r="E631" s="4" t="str">
        <f t="shared" si="94"/>
        <v>Monday</v>
      </c>
      <c r="F631" s="4" t="str">
        <f t="shared" si="95"/>
        <v>May</v>
      </c>
      <c r="G631" s="4" t="str">
        <f t="shared" si="96"/>
        <v>2023</v>
      </c>
      <c r="H631" s="3">
        <v>45054</v>
      </c>
      <c r="I631" s="4" t="s">
        <v>645</v>
      </c>
      <c r="J631" s="4" t="s">
        <v>20</v>
      </c>
      <c r="K631" s="4" t="str" cm="1">
        <f t="array" ref="K631">_xlfn.IFS(L631&gt;50,"Senior", L631&gt;=30,"Adult", L631&lt;30,"Young Adult")</f>
        <v>Senior</v>
      </c>
      <c r="L631" s="4">
        <v>63</v>
      </c>
      <c r="M631" s="4" t="s">
        <v>26</v>
      </c>
      <c r="N631" s="4">
        <v>3</v>
      </c>
      <c r="O631" s="5">
        <v>25</v>
      </c>
      <c r="P631">
        <f t="shared" si="97"/>
        <v>75</v>
      </c>
      <c r="Q631" s="14" t="e">
        <f>P631*#REF!</f>
        <v>#REF!</v>
      </c>
      <c r="R631" s="14" t="e">
        <f>P631*#REF!</f>
        <v>#REF!</v>
      </c>
    </row>
    <row r="632" spans="1:18" x14ac:dyDescent="0.35">
      <c r="A632" s="2">
        <v>621</v>
      </c>
      <c r="B632" s="4">
        <f t="shared" si="91"/>
        <v>4</v>
      </c>
      <c r="C632" s="4">
        <f t="shared" si="92"/>
        <v>3</v>
      </c>
      <c r="D632" s="4">
        <f t="shared" si="93"/>
        <v>2023</v>
      </c>
      <c r="E632" s="4" t="str">
        <f t="shared" si="94"/>
        <v>Saturday</v>
      </c>
      <c r="F632" s="4" t="str">
        <f t="shared" si="95"/>
        <v>March</v>
      </c>
      <c r="G632" s="4" t="str">
        <f t="shared" si="96"/>
        <v>2023</v>
      </c>
      <c r="H632" s="3">
        <v>44989</v>
      </c>
      <c r="I632" s="4" t="s">
        <v>646</v>
      </c>
      <c r="J632" s="4" t="s">
        <v>23</v>
      </c>
      <c r="K632" s="4" t="str" cm="1">
        <f t="array" ref="K632">_xlfn.IFS(L632&gt;50,"Senior", L632&gt;=30,"Adult", L632&lt;30,"Young Adult")</f>
        <v>Adult</v>
      </c>
      <c r="L632" s="4">
        <v>40</v>
      </c>
      <c r="M632" s="4" t="s">
        <v>21</v>
      </c>
      <c r="N632" s="4">
        <v>2</v>
      </c>
      <c r="O632" s="5">
        <v>500</v>
      </c>
      <c r="P632">
        <f t="shared" si="97"/>
        <v>1000</v>
      </c>
      <c r="Q632" s="14">
        <f t="shared" ref="Q632:Q633" si="102">P632*$I$4</f>
        <v>15</v>
      </c>
      <c r="R632" s="14">
        <f t="shared" ref="R632:R633" si="103">P632*$I$5</f>
        <v>20</v>
      </c>
    </row>
    <row r="633" spans="1:18" x14ac:dyDescent="0.35">
      <c r="A633" s="2">
        <v>622</v>
      </c>
      <c r="B633" s="4">
        <f t="shared" si="91"/>
        <v>22</v>
      </c>
      <c r="C633" s="4">
        <f t="shared" si="92"/>
        <v>8</v>
      </c>
      <c r="D633" s="4">
        <f t="shared" si="93"/>
        <v>2023</v>
      </c>
      <c r="E633" s="4" t="str">
        <f t="shared" si="94"/>
        <v>Tuesday</v>
      </c>
      <c r="F633" s="4" t="str">
        <f t="shared" si="95"/>
        <v>August</v>
      </c>
      <c r="G633" s="4" t="str">
        <f t="shared" si="96"/>
        <v>2023</v>
      </c>
      <c r="H633" s="3">
        <v>45160</v>
      </c>
      <c r="I633" s="4" t="s">
        <v>647</v>
      </c>
      <c r="J633" s="4" t="s">
        <v>23</v>
      </c>
      <c r="K633" s="4" t="str" cm="1">
        <f t="array" ref="K633">_xlfn.IFS(L633&gt;50,"Senior", L633&gt;=30,"Adult", L633&lt;30,"Young Adult")</f>
        <v>Adult</v>
      </c>
      <c r="L633" s="4">
        <v>49</v>
      </c>
      <c r="M633" s="4" t="s">
        <v>21</v>
      </c>
      <c r="N633" s="4">
        <v>3</v>
      </c>
      <c r="O633" s="5">
        <v>25</v>
      </c>
      <c r="P633">
        <f t="shared" si="97"/>
        <v>75</v>
      </c>
      <c r="Q633" s="14">
        <f t="shared" si="102"/>
        <v>1.125</v>
      </c>
      <c r="R633" s="14">
        <f t="shared" si="103"/>
        <v>1.5</v>
      </c>
    </row>
    <row r="634" spans="1:18" x14ac:dyDescent="0.35">
      <c r="A634" s="2">
        <v>623</v>
      </c>
      <c r="B634" s="4">
        <f t="shared" si="91"/>
        <v>10</v>
      </c>
      <c r="C634" s="4">
        <f t="shared" si="92"/>
        <v>3</v>
      </c>
      <c r="D634" s="4">
        <f t="shared" si="93"/>
        <v>2023</v>
      </c>
      <c r="E634" s="4" t="str">
        <f t="shared" si="94"/>
        <v>Friday</v>
      </c>
      <c r="F634" s="4" t="str">
        <f t="shared" si="95"/>
        <v>March</v>
      </c>
      <c r="G634" s="4" t="str">
        <f t="shared" si="96"/>
        <v>2023</v>
      </c>
      <c r="H634" s="3">
        <v>44995</v>
      </c>
      <c r="I634" s="4" t="s">
        <v>648</v>
      </c>
      <c r="J634" s="4" t="s">
        <v>20</v>
      </c>
      <c r="K634" s="4" t="str" cm="1">
        <f t="array" ref="K634">_xlfn.IFS(L634&gt;50,"Senior", L634&gt;=30,"Adult", L634&lt;30,"Young Adult")</f>
        <v>Adult</v>
      </c>
      <c r="L634" s="4">
        <v>34</v>
      </c>
      <c r="M634" s="4" t="s">
        <v>24</v>
      </c>
      <c r="N634" s="4">
        <v>3</v>
      </c>
      <c r="O634" s="5">
        <v>50</v>
      </c>
      <c r="P634">
        <f t="shared" si="97"/>
        <v>150</v>
      </c>
      <c r="Q634" s="14" t="e">
        <f>P634*#REF!</f>
        <v>#REF!</v>
      </c>
      <c r="R634" s="14" t="e">
        <f>P634*#REF!</f>
        <v>#REF!</v>
      </c>
    </row>
    <row r="635" spans="1:18" x14ac:dyDescent="0.35">
      <c r="A635" s="2">
        <v>624</v>
      </c>
      <c r="B635" s="4">
        <f t="shared" si="91"/>
        <v>26</v>
      </c>
      <c r="C635" s="4">
        <f t="shared" si="92"/>
        <v>8</v>
      </c>
      <c r="D635" s="4">
        <f t="shared" si="93"/>
        <v>2023</v>
      </c>
      <c r="E635" s="4" t="str">
        <f t="shared" si="94"/>
        <v>Saturday</v>
      </c>
      <c r="F635" s="4" t="str">
        <f t="shared" si="95"/>
        <v>August</v>
      </c>
      <c r="G635" s="4" t="str">
        <f t="shared" si="96"/>
        <v>2023</v>
      </c>
      <c r="H635" s="3">
        <v>45164</v>
      </c>
      <c r="I635" s="4" t="s">
        <v>649</v>
      </c>
      <c r="J635" s="4" t="s">
        <v>23</v>
      </c>
      <c r="K635" s="4" t="str" cm="1">
        <f t="array" ref="K635">_xlfn.IFS(L635&gt;50,"Senior", L635&gt;=30,"Adult", L635&lt;30,"Young Adult")</f>
        <v>Adult</v>
      </c>
      <c r="L635" s="4">
        <v>34</v>
      </c>
      <c r="M635" s="4" t="s">
        <v>21</v>
      </c>
      <c r="N635" s="4">
        <v>3</v>
      </c>
      <c r="O635" s="5">
        <v>300</v>
      </c>
      <c r="P635">
        <f t="shared" si="97"/>
        <v>900</v>
      </c>
      <c r="Q635" s="14">
        <f>P635*$I$4</f>
        <v>13.5</v>
      </c>
      <c r="R635" s="14">
        <f>P635*$I$5</f>
        <v>18</v>
      </c>
    </row>
    <row r="636" spans="1:18" x14ac:dyDescent="0.35">
      <c r="A636" s="2">
        <v>625</v>
      </c>
      <c r="B636" s="4">
        <f t="shared" si="91"/>
        <v>8</v>
      </c>
      <c r="C636" s="4">
        <f t="shared" si="92"/>
        <v>12</v>
      </c>
      <c r="D636" s="4">
        <f t="shared" si="93"/>
        <v>2023</v>
      </c>
      <c r="E636" s="4" t="str">
        <f t="shared" si="94"/>
        <v>Friday</v>
      </c>
      <c r="F636" s="4" t="str">
        <f t="shared" si="95"/>
        <v>December</v>
      </c>
      <c r="G636" s="4" t="str">
        <f t="shared" si="96"/>
        <v>2023</v>
      </c>
      <c r="H636" s="3">
        <v>45268</v>
      </c>
      <c r="I636" s="4" t="s">
        <v>650</v>
      </c>
      <c r="J636" s="4" t="s">
        <v>20</v>
      </c>
      <c r="K636" s="4" t="str" cm="1">
        <f t="array" ref="K636">_xlfn.IFS(L636&gt;50,"Senior", L636&gt;=30,"Adult", L636&lt;30,"Young Adult")</f>
        <v>Adult</v>
      </c>
      <c r="L636" s="4">
        <v>31</v>
      </c>
      <c r="M636" s="4" t="s">
        <v>24</v>
      </c>
      <c r="N636" s="4">
        <v>1</v>
      </c>
      <c r="O636" s="5">
        <v>300</v>
      </c>
      <c r="P636">
        <f t="shared" si="97"/>
        <v>300</v>
      </c>
      <c r="Q636" s="14" t="e">
        <f>P636*#REF!</f>
        <v>#REF!</v>
      </c>
      <c r="R636" s="14" t="e">
        <f>P636*#REF!</f>
        <v>#REF!</v>
      </c>
    </row>
    <row r="637" spans="1:18" x14ac:dyDescent="0.35">
      <c r="A637" s="2">
        <v>626</v>
      </c>
      <c r="B637" s="4">
        <f t="shared" si="91"/>
        <v>29</v>
      </c>
      <c r="C637" s="4">
        <f t="shared" si="92"/>
        <v>9</v>
      </c>
      <c r="D637" s="4">
        <f t="shared" si="93"/>
        <v>2023</v>
      </c>
      <c r="E637" s="4" t="str">
        <f t="shared" si="94"/>
        <v>Friday</v>
      </c>
      <c r="F637" s="4" t="str">
        <f t="shared" si="95"/>
        <v>September</v>
      </c>
      <c r="G637" s="4" t="str">
        <f t="shared" si="96"/>
        <v>2023</v>
      </c>
      <c r="H637" s="3">
        <v>45198</v>
      </c>
      <c r="I637" s="4" t="s">
        <v>651</v>
      </c>
      <c r="J637" s="4" t="s">
        <v>23</v>
      </c>
      <c r="K637" s="4" t="str" cm="1">
        <f t="array" ref="K637">_xlfn.IFS(L637&gt;50,"Senior", L637&gt;=30,"Adult", L637&lt;30,"Young Adult")</f>
        <v>Young Adult</v>
      </c>
      <c r="L637" s="4">
        <v>26</v>
      </c>
      <c r="M637" s="4" t="s">
        <v>24</v>
      </c>
      <c r="N637" s="4">
        <v>4</v>
      </c>
      <c r="O637" s="5">
        <v>500</v>
      </c>
      <c r="P637">
        <f t="shared" si="97"/>
        <v>2000</v>
      </c>
      <c r="Q637" s="14" t="e">
        <f>P637*#REF!</f>
        <v>#REF!</v>
      </c>
      <c r="R637" s="14" t="e">
        <f>P637*#REF!</f>
        <v>#REF!</v>
      </c>
    </row>
    <row r="638" spans="1:18" x14ac:dyDescent="0.35">
      <c r="A638" s="2">
        <v>627</v>
      </c>
      <c r="B638" s="4">
        <f t="shared" si="91"/>
        <v>14</v>
      </c>
      <c r="C638" s="4">
        <f t="shared" si="92"/>
        <v>10</v>
      </c>
      <c r="D638" s="4">
        <f t="shared" si="93"/>
        <v>2023</v>
      </c>
      <c r="E638" s="4" t="str">
        <f t="shared" si="94"/>
        <v>Saturday</v>
      </c>
      <c r="F638" s="4" t="str">
        <f t="shared" si="95"/>
        <v>October</v>
      </c>
      <c r="G638" s="4" t="str">
        <f t="shared" si="96"/>
        <v>2023</v>
      </c>
      <c r="H638" s="3">
        <v>45213</v>
      </c>
      <c r="I638" s="4" t="s">
        <v>652</v>
      </c>
      <c r="J638" s="4" t="s">
        <v>20</v>
      </c>
      <c r="K638" s="4" t="str" cm="1">
        <f t="array" ref="K638">_xlfn.IFS(L638&gt;50,"Senior", L638&gt;=30,"Adult", L638&lt;30,"Young Adult")</f>
        <v>Senior</v>
      </c>
      <c r="L638" s="4">
        <v>57</v>
      </c>
      <c r="M638" s="4" t="s">
        <v>24</v>
      </c>
      <c r="N638" s="4">
        <v>1</v>
      </c>
      <c r="O638" s="5">
        <v>50</v>
      </c>
      <c r="P638">
        <f t="shared" si="97"/>
        <v>50</v>
      </c>
      <c r="Q638" s="14" t="e">
        <f>P638*#REF!</f>
        <v>#REF!</v>
      </c>
      <c r="R638" s="14" t="e">
        <f>P638*#REF!</f>
        <v>#REF!</v>
      </c>
    </row>
    <row r="639" spans="1:18" x14ac:dyDescent="0.35">
      <c r="A639" s="2">
        <v>628</v>
      </c>
      <c r="B639" s="4">
        <f t="shared" si="91"/>
        <v>1</v>
      </c>
      <c r="C639" s="4">
        <f t="shared" si="92"/>
        <v>11</v>
      </c>
      <c r="D639" s="4">
        <f t="shared" si="93"/>
        <v>2023</v>
      </c>
      <c r="E639" s="4" t="str">
        <f t="shared" si="94"/>
        <v>Wednesday</v>
      </c>
      <c r="F639" s="4" t="str">
        <f t="shared" si="95"/>
        <v>November</v>
      </c>
      <c r="G639" s="4" t="str">
        <f t="shared" si="96"/>
        <v>2023</v>
      </c>
      <c r="H639" s="3">
        <v>45231</v>
      </c>
      <c r="I639" s="4" t="s">
        <v>653</v>
      </c>
      <c r="J639" s="4" t="s">
        <v>23</v>
      </c>
      <c r="K639" s="4" t="str" cm="1">
        <f t="array" ref="K639">_xlfn.IFS(L639&gt;50,"Senior", L639&gt;=30,"Adult", L639&lt;30,"Young Adult")</f>
        <v>Young Adult</v>
      </c>
      <c r="L639" s="4">
        <v>19</v>
      </c>
      <c r="M639" s="4" t="s">
        <v>21</v>
      </c>
      <c r="N639" s="4">
        <v>4</v>
      </c>
      <c r="O639" s="5">
        <v>50</v>
      </c>
      <c r="P639">
        <f t="shared" si="97"/>
        <v>200</v>
      </c>
      <c r="Q639" s="14">
        <f>P639*$I$4</f>
        <v>3</v>
      </c>
      <c r="R639" s="14">
        <f>P639*$I$5</f>
        <v>4</v>
      </c>
    </row>
    <row r="640" spans="1:18" x14ac:dyDescent="0.35">
      <c r="A640" s="2">
        <v>629</v>
      </c>
      <c r="B640" s="4">
        <f t="shared" si="91"/>
        <v>12</v>
      </c>
      <c r="C640" s="4">
        <f t="shared" si="92"/>
        <v>6</v>
      </c>
      <c r="D640" s="4">
        <f t="shared" si="93"/>
        <v>2023</v>
      </c>
      <c r="E640" s="4" t="str">
        <f t="shared" si="94"/>
        <v>Monday</v>
      </c>
      <c r="F640" s="4" t="str">
        <f t="shared" si="95"/>
        <v>June</v>
      </c>
      <c r="G640" s="4" t="str">
        <f t="shared" si="96"/>
        <v>2023</v>
      </c>
      <c r="H640" s="3">
        <v>45089</v>
      </c>
      <c r="I640" s="4" t="s">
        <v>654</v>
      </c>
      <c r="J640" s="4" t="s">
        <v>20</v>
      </c>
      <c r="K640" s="4" t="str" cm="1">
        <f t="array" ref="K640">_xlfn.IFS(L640&gt;50,"Senior", L640&gt;=30,"Adult", L640&lt;30,"Young Adult")</f>
        <v>Senior</v>
      </c>
      <c r="L640" s="4">
        <v>62</v>
      </c>
      <c r="M640" s="4" t="s">
        <v>26</v>
      </c>
      <c r="N640" s="4">
        <v>2</v>
      </c>
      <c r="O640" s="5">
        <v>25</v>
      </c>
      <c r="P640">
        <f t="shared" si="97"/>
        <v>50</v>
      </c>
      <c r="Q640" s="14" t="e">
        <f>P640*#REF!</f>
        <v>#REF!</v>
      </c>
      <c r="R640" s="14" t="e">
        <f>P640*#REF!</f>
        <v>#REF!</v>
      </c>
    </row>
    <row r="641" spans="1:18" x14ac:dyDescent="0.35">
      <c r="A641" s="2">
        <v>630</v>
      </c>
      <c r="B641" s="4">
        <f t="shared" si="91"/>
        <v>15</v>
      </c>
      <c r="C641" s="4">
        <f t="shared" si="92"/>
        <v>8</v>
      </c>
      <c r="D641" s="4">
        <f t="shared" si="93"/>
        <v>2023</v>
      </c>
      <c r="E641" s="4" t="str">
        <f t="shared" si="94"/>
        <v>Tuesday</v>
      </c>
      <c r="F641" s="4" t="str">
        <f t="shared" si="95"/>
        <v>August</v>
      </c>
      <c r="G641" s="4" t="str">
        <f t="shared" si="96"/>
        <v>2023</v>
      </c>
      <c r="H641" s="3">
        <v>45153</v>
      </c>
      <c r="I641" s="4" t="s">
        <v>655</v>
      </c>
      <c r="J641" s="4" t="s">
        <v>20</v>
      </c>
      <c r="K641" s="4" t="str" cm="1">
        <f t="array" ref="K641">_xlfn.IFS(L641&gt;50,"Senior", L641&gt;=30,"Adult", L641&lt;30,"Young Adult")</f>
        <v>Adult</v>
      </c>
      <c r="L641" s="4">
        <v>42</v>
      </c>
      <c r="M641" s="4" t="s">
        <v>24</v>
      </c>
      <c r="N641" s="4">
        <v>2</v>
      </c>
      <c r="O641" s="5">
        <v>50</v>
      </c>
      <c r="P641">
        <f t="shared" si="97"/>
        <v>100</v>
      </c>
      <c r="Q641" s="14" t="e">
        <f>P641*#REF!</f>
        <v>#REF!</v>
      </c>
      <c r="R641" s="14" t="e">
        <f>P641*#REF!</f>
        <v>#REF!</v>
      </c>
    </row>
    <row r="642" spans="1:18" x14ac:dyDescent="0.35">
      <c r="A642" s="2">
        <v>631</v>
      </c>
      <c r="B642" s="4">
        <f t="shared" si="91"/>
        <v>10</v>
      </c>
      <c r="C642" s="4">
        <f t="shared" si="92"/>
        <v>11</v>
      </c>
      <c r="D642" s="4">
        <f t="shared" si="93"/>
        <v>2023</v>
      </c>
      <c r="E642" s="4" t="str">
        <f t="shared" si="94"/>
        <v>Friday</v>
      </c>
      <c r="F642" s="4" t="str">
        <f t="shared" si="95"/>
        <v>November</v>
      </c>
      <c r="G642" s="4" t="str">
        <f t="shared" si="96"/>
        <v>2023</v>
      </c>
      <c r="H642" s="3">
        <v>45240</v>
      </c>
      <c r="I642" s="4" t="s">
        <v>656</v>
      </c>
      <c r="J642" s="4" t="s">
        <v>20</v>
      </c>
      <c r="K642" s="4" t="str" cm="1">
        <f t="array" ref="K642">_xlfn.IFS(L642&gt;50,"Senior", L642&gt;=30,"Adult", L642&lt;30,"Young Adult")</f>
        <v>Senior</v>
      </c>
      <c r="L642" s="4">
        <v>56</v>
      </c>
      <c r="M642" s="4" t="s">
        <v>26</v>
      </c>
      <c r="N642" s="4">
        <v>3</v>
      </c>
      <c r="O642" s="5">
        <v>30</v>
      </c>
      <c r="P642">
        <f t="shared" si="97"/>
        <v>90</v>
      </c>
      <c r="Q642" s="14" t="e">
        <f>P642*#REF!</f>
        <v>#REF!</v>
      </c>
      <c r="R642" s="14" t="e">
        <f>P642*#REF!</f>
        <v>#REF!</v>
      </c>
    </row>
    <row r="643" spans="1:18" x14ac:dyDescent="0.35">
      <c r="A643" s="2">
        <v>632</v>
      </c>
      <c r="B643" s="4">
        <f t="shared" si="91"/>
        <v>16</v>
      </c>
      <c r="C643" s="4">
        <f t="shared" si="92"/>
        <v>9</v>
      </c>
      <c r="D643" s="4">
        <f t="shared" si="93"/>
        <v>2023</v>
      </c>
      <c r="E643" s="4" t="str">
        <f t="shared" si="94"/>
        <v>Saturday</v>
      </c>
      <c r="F643" s="4" t="str">
        <f t="shared" si="95"/>
        <v>September</v>
      </c>
      <c r="G643" s="4" t="str">
        <f t="shared" si="96"/>
        <v>2023</v>
      </c>
      <c r="H643" s="3">
        <v>45185</v>
      </c>
      <c r="I643" s="4" t="s">
        <v>657</v>
      </c>
      <c r="J643" s="4" t="s">
        <v>23</v>
      </c>
      <c r="K643" s="4" t="str" cm="1">
        <f t="array" ref="K643">_xlfn.IFS(L643&gt;50,"Senior", L643&gt;=30,"Adult", L643&lt;30,"Young Adult")</f>
        <v>Young Adult</v>
      </c>
      <c r="L643" s="4">
        <v>26</v>
      </c>
      <c r="M643" s="4" t="s">
        <v>26</v>
      </c>
      <c r="N643" s="4">
        <v>4</v>
      </c>
      <c r="O643" s="5">
        <v>25</v>
      </c>
      <c r="P643">
        <f t="shared" si="97"/>
        <v>100</v>
      </c>
      <c r="Q643" s="14" t="e">
        <f>P643*#REF!</f>
        <v>#REF!</v>
      </c>
      <c r="R643" s="14" t="e">
        <f>P643*#REF!</f>
        <v>#REF!</v>
      </c>
    </row>
    <row r="644" spans="1:18" x14ac:dyDescent="0.35">
      <c r="A644" s="2">
        <v>633</v>
      </c>
      <c r="B644" s="4">
        <f t="shared" si="91"/>
        <v>7</v>
      </c>
      <c r="C644" s="4">
        <f t="shared" si="92"/>
        <v>8</v>
      </c>
      <c r="D644" s="4">
        <f t="shared" si="93"/>
        <v>2023</v>
      </c>
      <c r="E644" s="4" t="str">
        <f t="shared" si="94"/>
        <v>Monday</v>
      </c>
      <c r="F644" s="4" t="str">
        <f t="shared" si="95"/>
        <v>August</v>
      </c>
      <c r="G644" s="4" t="str">
        <f t="shared" si="96"/>
        <v>2023</v>
      </c>
      <c r="H644" s="3">
        <v>45145</v>
      </c>
      <c r="I644" s="4" t="s">
        <v>658</v>
      </c>
      <c r="J644" s="4" t="s">
        <v>20</v>
      </c>
      <c r="K644" s="4" t="str" cm="1">
        <f t="array" ref="K644">_xlfn.IFS(L644&gt;50,"Senior", L644&gt;=30,"Adult", L644&lt;30,"Young Adult")</f>
        <v>Adult</v>
      </c>
      <c r="L644" s="4">
        <v>39</v>
      </c>
      <c r="M644" s="4" t="s">
        <v>21</v>
      </c>
      <c r="N644" s="4">
        <v>4</v>
      </c>
      <c r="O644" s="5">
        <v>30</v>
      </c>
      <c r="P644">
        <f t="shared" si="97"/>
        <v>120</v>
      </c>
      <c r="Q644" s="14">
        <f>P644*$I$4</f>
        <v>1.7999999999999998</v>
      </c>
      <c r="R644" s="14">
        <f>P644*$I$5</f>
        <v>2.4</v>
      </c>
    </row>
    <row r="645" spans="1:18" x14ac:dyDescent="0.35">
      <c r="A645" s="2">
        <v>634</v>
      </c>
      <c r="B645" s="4">
        <f t="shared" si="91"/>
        <v>8</v>
      </c>
      <c r="C645" s="4">
        <f t="shared" si="92"/>
        <v>10</v>
      </c>
      <c r="D645" s="4">
        <f t="shared" si="93"/>
        <v>2023</v>
      </c>
      <c r="E645" s="4" t="str">
        <f t="shared" si="94"/>
        <v>Sunday</v>
      </c>
      <c r="F645" s="4" t="str">
        <f t="shared" si="95"/>
        <v>October</v>
      </c>
      <c r="G645" s="4" t="str">
        <f t="shared" si="96"/>
        <v>2023</v>
      </c>
      <c r="H645" s="3">
        <v>45207</v>
      </c>
      <c r="I645" s="4" t="s">
        <v>659</v>
      </c>
      <c r="J645" s="4" t="s">
        <v>20</v>
      </c>
      <c r="K645" s="4" t="str" cm="1">
        <f t="array" ref="K645">_xlfn.IFS(L645&gt;50,"Senior", L645&gt;=30,"Adult", L645&lt;30,"Young Adult")</f>
        <v>Senior</v>
      </c>
      <c r="L645" s="4">
        <v>60</v>
      </c>
      <c r="M645" s="4" t="s">
        <v>26</v>
      </c>
      <c r="N645" s="4">
        <v>4</v>
      </c>
      <c r="O645" s="5">
        <v>500</v>
      </c>
      <c r="P645">
        <f t="shared" si="97"/>
        <v>2000</v>
      </c>
      <c r="Q645" s="14" t="e">
        <f>P645*#REF!</f>
        <v>#REF!</v>
      </c>
      <c r="R645" s="14" t="e">
        <f>P645*#REF!</f>
        <v>#REF!</v>
      </c>
    </row>
    <row r="646" spans="1:18" x14ac:dyDescent="0.35">
      <c r="A646" s="2">
        <v>635</v>
      </c>
      <c r="B646" s="4">
        <f t="shared" si="91"/>
        <v>17</v>
      </c>
      <c r="C646" s="4">
        <f t="shared" si="92"/>
        <v>8</v>
      </c>
      <c r="D646" s="4">
        <f t="shared" si="93"/>
        <v>2023</v>
      </c>
      <c r="E646" s="4" t="str">
        <f t="shared" si="94"/>
        <v>Thursday</v>
      </c>
      <c r="F646" s="4" t="str">
        <f t="shared" si="95"/>
        <v>August</v>
      </c>
      <c r="G646" s="4" t="str">
        <f t="shared" si="96"/>
        <v>2023</v>
      </c>
      <c r="H646" s="3">
        <v>45155</v>
      </c>
      <c r="I646" s="4" t="s">
        <v>660</v>
      </c>
      <c r="J646" s="4" t="s">
        <v>23</v>
      </c>
      <c r="K646" s="4" t="str" cm="1">
        <f t="array" ref="K646">_xlfn.IFS(L646&gt;50,"Senior", L646&gt;=30,"Adult", L646&lt;30,"Young Adult")</f>
        <v>Senior</v>
      </c>
      <c r="L646" s="4">
        <v>63</v>
      </c>
      <c r="M646" s="4" t="s">
        <v>26</v>
      </c>
      <c r="N646" s="4">
        <v>3</v>
      </c>
      <c r="O646" s="5">
        <v>300</v>
      </c>
      <c r="P646">
        <f t="shared" si="97"/>
        <v>900</v>
      </c>
      <c r="Q646" s="14" t="e">
        <f>P646*#REF!</f>
        <v>#REF!</v>
      </c>
      <c r="R646" s="14" t="e">
        <f>P646*#REF!</f>
        <v>#REF!</v>
      </c>
    </row>
    <row r="647" spans="1:18" x14ac:dyDescent="0.35">
      <c r="A647" s="2">
        <v>636</v>
      </c>
      <c r="B647" s="4">
        <f t="shared" si="91"/>
        <v>23</v>
      </c>
      <c r="C647" s="4">
        <f t="shared" si="92"/>
        <v>3</v>
      </c>
      <c r="D647" s="4">
        <f t="shared" si="93"/>
        <v>2023</v>
      </c>
      <c r="E647" s="4" t="str">
        <f t="shared" si="94"/>
        <v>Thursday</v>
      </c>
      <c r="F647" s="4" t="str">
        <f t="shared" si="95"/>
        <v>March</v>
      </c>
      <c r="G647" s="4" t="str">
        <f t="shared" si="96"/>
        <v>2023</v>
      </c>
      <c r="H647" s="3">
        <v>45008</v>
      </c>
      <c r="I647" s="4" t="s">
        <v>661</v>
      </c>
      <c r="J647" s="4" t="s">
        <v>23</v>
      </c>
      <c r="K647" s="4" t="str" cm="1">
        <f t="array" ref="K647">_xlfn.IFS(L647&gt;50,"Senior", L647&gt;=30,"Adult", L647&lt;30,"Young Adult")</f>
        <v>Young Adult</v>
      </c>
      <c r="L647" s="4">
        <v>21</v>
      </c>
      <c r="M647" s="4" t="s">
        <v>21</v>
      </c>
      <c r="N647" s="4">
        <v>3</v>
      </c>
      <c r="O647" s="5">
        <v>500</v>
      </c>
      <c r="P647">
        <f t="shared" si="97"/>
        <v>1500</v>
      </c>
      <c r="Q647" s="14">
        <f>P647*$I$4</f>
        <v>22.5</v>
      </c>
      <c r="R647" s="14">
        <f>P647*$I$5</f>
        <v>30</v>
      </c>
    </row>
    <row r="648" spans="1:18" x14ac:dyDescent="0.35">
      <c r="A648" s="2">
        <v>637</v>
      </c>
      <c r="B648" s="4">
        <f t="shared" si="91"/>
        <v>1</v>
      </c>
      <c r="C648" s="4">
        <f t="shared" si="92"/>
        <v>9</v>
      </c>
      <c r="D648" s="4">
        <f t="shared" si="93"/>
        <v>2023</v>
      </c>
      <c r="E648" s="4" t="str">
        <f t="shared" si="94"/>
        <v>Friday</v>
      </c>
      <c r="F648" s="4" t="str">
        <f t="shared" si="95"/>
        <v>September</v>
      </c>
      <c r="G648" s="4" t="str">
        <f t="shared" si="96"/>
        <v>2023</v>
      </c>
      <c r="H648" s="3">
        <v>45170</v>
      </c>
      <c r="I648" s="4" t="s">
        <v>662</v>
      </c>
      <c r="J648" s="4" t="s">
        <v>20</v>
      </c>
      <c r="K648" s="4" t="str" cm="1">
        <f t="array" ref="K648">_xlfn.IFS(L648&gt;50,"Senior", L648&gt;=30,"Adult", L648&lt;30,"Young Adult")</f>
        <v>Adult</v>
      </c>
      <c r="L648" s="4">
        <v>43</v>
      </c>
      <c r="M648" s="4" t="s">
        <v>24</v>
      </c>
      <c r="N648" s="4">
        <v>2</v>
      </c>
      <c r="O648" s="5">
        <v>300</v>
      </c>
      <c r="P648">
        <f t="shared" si="97"/>
        <v>600</v>
      </c>
      <c r="Q648" s="14" t="e">
        <f>P648*#REF!</f>
        <v>#REF!</v>
      </c>
      <c r="R648" s="14" t="e">
        <f>P648*#REF!</f>
        <v>#REF!</v>
      </c>
    </row>
    <row r="649" spans="1:18" x14ac:dyDescent="0.35">
      <c r="A649" s="2">
        <v>638</v>
      </c>
      <c r="B649" s="4">
        <f t="shared" si="91"/>
        <v>19</v>
      </c>
      <c r="C649" s="4">
        <f t="shared" si="92"/>
        <v>8</v>
      </c>
      <c r="D649" s="4">
        <f t="shared" si="93"/>
        <v>2023</v>
      </c>
      <c r="E649" s="4" t="str">
        <f t="shared" si="94"/>
        <v>Saturday</v>
      </c>
      <c r="F649" s="4" t="str">
        <f t="shared" si="95"/>
        <v>August</v>
      </c>
      <c r="G649" s="4" t="str">
        <f t="shared" si="96"/>
        <v>2023</v>
      </c>
      <c r="H649" s="3">
        <v>45157</v>
      </c>
      <c r="I649" s="4" t="s">
        <v>663</v>
      </c>
      <c r="J649" s="4" t="s">
        <v>20</v>
      </c>
      <c r="K649" s="4" t="str" cm="1">
        <f t="array" ref="K649">_xlfn.IFS(L649&gt;50,"Senior", L649&gt;=30,"Adult", L649&lt;30,"Young Adult")</f>
        <v>Adult</v>
      </c>
      <c r="L649" s="4">
        <v>46</v>
      </c>
      <c r="M649" s="4" t="s">
        <v>26</v>
      </c>
      <c r="N649" s="4">
        <v>1</v>
      </c>
      <c r="O649" s="5">
        <v>500</v>
      </c>
      <c r="P649">
        <f t="shared" si="97"/>
        <v>500</v>
      </c>
      <c r="Q649" s="14" t="e">
        <f>P649*#REF!</f>
        <v>#REF!</v>
      </c>
      <c r="R649" s="14" t="e">
        <f>P649*#REF!</f>
        <v>#REF!</v>
      </c>
    </row>
    <row r="650" spans="1:18" x14ac:dyDescent="0.35">
      <c r="A650" s="2">
        <v>639</v>
      </c>
      <c r="B650" s="4">
        <f t="shared" si="91"/>
        <v>13</v>
      </c>
      <c r="C650" s="4">
        <f t="shared" si="92"/>
        <v>5</v>
      </c>
      <c r="D650" s="4">
        <f t="shared" si="93"/>
        <v>2023</v>
      </c>
      <c r="E650" s="4" t="str">
        <f t="shared" si="94"/>
        <v>Saturday</v>
      </c>
      <c r="F650" s="4" t="str">
        <f t="shared" si="95"/>
        <v>May</v>
      </c>
      <c r="G650" s="4" t="str">
        <f t="shared" si="96"/>
        <v>2023</v>
      </c>
      <c r="H650" s="3">
        <v>45059</v>
      </c>
      <c r="I650" s="4" t="s">
        <v>664</v>
      </c>
      <c r="J650" s="4" t="s">
        <v>23</v>
      </c>
      <c r="K650" s="4" t="str" cm="1">
        <f t="array" ref="K650">_xlfn.IFS(L650&gt;50,"Senior", L650&gt;=30,"Adult", L650&lt;30,"Young Adult")</f>
        <v>Senior</v>
      </c>
      <c r="L650" s="4">
        <v>62</v>
      </c>
      <c r="M650" s="4" t="s">
        <v>21</v>
      </c>
      <c r="N650" s="4">
        <v>4</v>
      </c>
      <c r="O650" s="5">
        <v>50</v>
      </c>
      <c r="P650">
        <f t="shared" si="97"/>
        <v>200</v>
      </c>
      <c r="Q650" s="14">
        <f>P650*$I$4</f>
        <v>3</v>
      </c>
      <c r="R650" s="14">
        <f>P650*$I$5</f>
        <v>4</v>
      </c>
    </row>
    <row r="651" spans="1:18" x14ac:dyDescent="0.35">
      <c r="A651" s="2">
        <v>640</v>
      </c>
      <c r="B651" s="4">
        <f t="shared" si="91"/>
        <v>7</v>
      </c>
      <c r="C651" s="4">
        <f t="shared" si="92"/>
        <v>5</v>
      </c>
      <c r="D651" s="4">
        <f t="shared" si="93"/>
        <v>2023</v>
      </c>
      <c r="E651" s="4" t="str">
        <f t="shared" si="94"/>
        <v>Sunday</v>
      </c>
      <c r="F651" s="4" t="str">
        <f t="shared" si="95"/>
        <v>May</v>
      </c>
      <c r="G651" s="4" t="str">
        <f t="shared" si="96"/>
        <v>2023</v>
      </c>
      <c r="H651" s="3">
        <v>45053</v>
      </c>
      <c r="I651" s="4" t="s">
        <v>665</v>
      </c>
      <c r="J651" s="4" t="s">
        <v>23</v>
      </c>
      <c r="K651" s="4" t="str" cm="1">
        <f t="array" ref="K651">_xlfn.IFS(L651&gt;50,"Senior", L651&gt;=30,"Adult", L651&lt;30,"Young Adult")</f>
        <v>Senior</v>
      </c>
      <c r="L651" s="4">
        <v>51</v>
      </c>
      <c r="M651" s="4" t="s">
        <v>26</v>
      </c>
      <c r="N651" s="4">
        <v>4</v>
      </c>
      <c r="O651" s="5">
        <v>30</v>
      </c>
      <c r="P651">
        <f t="shared" si="97"/>
        <v>120</v>
      </c>
      <c r="Q651" s="14" t="e">
        <f>P651*#REF!</f>
        <v>#REF!</v>
      </c>
      <c r="R651" s="14" t="e">
        <f>P651*#REF!</f>
        <v>#REF!</v>
      </c>
    </row>
    <row r="652" spans="1:18" x14ac:dyDescent="0.35">
      <c r="A652" s="2">
        <v>641</v>
      </c>
      <c r="B652" s="4">
        <f t="shared" ref="B652:B715" si="104">DAY(H652)</f>
        <v>23</v>
      </c>
      <c r="C652" s="4">
        <f t="shared" ref="C652:C715" si="105">MONTH(H652)</f>
        <v>11</v>
      </c>
      <c r="D652" s="4">
        <f t="shared" ref="D652:D715" si="106">YEAR(H652)</f>
        <v>2023</v>
      </c>
      <c r="E652" s="4" t="str">
        <f t="shared" ref="E652:E715" si="107">TEXT(H652,"DDDD")</f>
        <v>Thursday</v>
      </c>
      <c r="F652" s="4" t="str">
        <f t="shared" ref="F652:F715" si="108">TEXT(H652,"MMMM")</f>
        <v>November</v>
      </c>
      <c r="G652" s="4" t="str">
        <f t="shared" ref="G652:G715" si="109">TEXT(H652,"YYYY")</f>
        <v>2023</v>
      </c>
      <c r="H652" s="3">
        <v>45253</v>
      </c>
      <c r="I652" s="4" t="s">
        <v>666</v>
      </c>
      <c r="J652" s="4" t="s">
        <v>23</v>
      </c>
      <c r="K652" s="4" t="str" cm="1">
        <f t="array" ref="K652">_xlfn.IFS(L652&gt;50,"Senior", L652&gt;=30,"Adult", L652&lt;30,"Young Adult")</f>
        <v>Adult</v>
      </c>
      <c r="L652" s="4">
        <v>40</v>
      </c>
      <c r="M652" s="4" t="s">
        <v>26</v>
      </c>
      <c r="N652" s="4">
        <v>1</v>
      </c>
      <c r="O652" s="5">
        <v>300</v>
      </c>
      <c r="P652">
        <f t="shared" ref="P652:P715" si="110">O652*N652</f>
        <v>300</v>
      </c>
      <c r="Q652" s="14" t="e">
        <f>P652*#REF!</f>
        <v>#REF!</v>
      </c>
      <c r="R652" s="14" t="e">
        <f>P652*#REF!</f>
        <v>#REF!</v>
      </c>
    </row>
    <row r="653" spans="1:18" x14ac:dyDescent="0.35">
      <c r="A653" s="2">
        <v>642</v>
      </c>
      <c r="B653" s="4">
        <f t="shared" si="104"/>
        <v>22</v>
      </c>
      <c r="C653" s="4">
        <f t="shared" si="105"/>
        <v>5</v>
      </c>
      <c r="D653" s="4">
        <f t="shared" si="106"/>
        <v>2023</v>
      </c>
      <c r="E653" s="4" t="str">
        <f t="shared" si="107"/>
        <v>Monday</v>
      </c>
      <c r="F653" s="4" t="str">
        <f t="shared" si="108"/>
        <v>May</v>
      </c>
      <c r="G653" s="4" t="str">
        <f t="shared" si="109"/>
        <v>2023</v>
      </c>
      <c r="H653" s="3">
        <v>45068</v>
      </c>
      <c r="I653" s="4" t="s">
        <v>667</v>
      </c>
      <c r="J653" s="4" t="s">
        <v>23</v>
      </c>
      <c r="K653" s="4" t="str" cm="1">
        <f t="array" ref="K653">_xlfn.IFS(L653&gt;50,"Senior", L653&gt;=30,"Adult", L653&lt;30,"Young Adult")</f>
        <v>Senior</v>
      </c>
      <c r="L653" s="4">
        <v>54</v>
      </c>
      <c r="M653" s="4" t="s">
        <v>24</v>
      </c>
      <c r="N653" s="4">
        <v>4</v>
      </c>
      <c r="O653" s="5">
        <v>25</v>
      </c>
      <c r="P653">
        <f t="shared" si="110"/>
        <v>100</v>
      </c>
      <c r="Q653" s="14" t="e">
        <f>P653*#REF!</f>
        <v>#REF!</v>
      </c>
      <c r="R653" s="14" t="e">
        <f>P653*#REF!</f>
        <v>#REF!</v>
      </c>
    </row>
    <row r="654" spans="1:18" x14ac:dyDescent="0.35">
      <c r="A654" s="2">
        <v>643</v>
      </c>
      <c r="B654" s="4">
        <f t="shared" si="104"/>
        <v>24</v>
      </c>
      <c r="C654" s="4">
        <f t="shared" si="105"/>
        <v>9</v>
      </c>
      <c r="D654" s="4">
        <f t="shared" si="106"/>
        <v>2023</v>
      </c>
      <c r="E654" s="4" t="str">
        <f t="shared" si="107"/>
        <v>Sunday</v>
      </c>
      <c r="F654" s="4" t="str">
        <f t="shared" si="108"/>
        <v>September</v>
      </c>
      <c r="G654" s="4" t="str">
        <f t="shared" si="109"/>
        <v>2023</v>
      </c>
      <c r="H654" s="3">
        <v>45193</v>
      </c>
      <c r="I654" s="4" t="s">
        <v>668</v>
      </c>
      <c r="J654" s="4" t="s">
        <v>23</v>
      </c>
      <c r="K654" s="4" t="str" cm="1">
        <f t="array" ref="K654">_xlfn.IFS(L654&gt;50,"Senior", L654&gt;=30,"Adult", L654&lt;30,"Young Adult")</f>
        <v>Young Adult</v>
      </c>
      <c r="L654" s="4">
        <v>28</v>
      </c>
      <c r="M654" s="4" t="s">
        <v>26</v>
      </c>
      <c r="N654" s="4">
        <v>3</v>
      </c>
      <c r="O654" s="5">
        <v>30</v>
      </c>
      <c r="P654">
        <f t="shared" si="110"/>
        <v>90</v>
      </c>
      <c r="Q654" s="14" t="e">
        <f>P654*#REF!</f>
        <v>#REF!</v>
      </c>
      <c r="R654" s="14" t="e">
        <f>P654*#REF!</f>
        <v>#REF!</v>
      </c>
    </row>
    <row r="655" spans="1:18" x14ac:dyDescent="0.35">
      <c r="A655" s="2">
        <v>644</v>
      </c>
      <c r="B655" s="4">
        <f t="shared" si="104"/>
        <v>6</v>
      </c>
      <c r="C655" s="4">
        <f t="shared" si="105"/>
        <v>9</v>
      </c>
      <c r="D655" s="4">
        <f t="shared" si="106"/>
        <v>2023</v>
      </c>
      <c r="E655" s="4" t="str">
        <f t="shared" si="107"/>
        <v>Wednesday</v>
      </c>
      <c r="F655" s="4" t="str">
        <f t="shared" si="108"/>
        <v>September</v>
      </c>
      <c r="G655" s="4" t="str">
        <f t="shared" si="109"/>
        <v>2023</v>
      </c>
      <c r="H655" s="3">
        <v>45175</v>
      </c>
      <c r="I655" s="4" t="s">
        <v>669</v>
      </c>
      <c r="J655" s="4" t="s">
        <v>20</v>
      </c>
      <c r="K655" s="4" t="str" cm="1">
        <f t="array" ref="K655">_xlfn.IFS(L655&gt;50,"Senior", L655&gt;=30,"Adult", L655&lt;30,"Young Adult")</f>
        <v>Young Adult</v>
      </c>
      <c r="L655" s="4">
        <v>23</v>
      </c>
      <c r="M655" s="4" t="s">
        <v>21</v>
      </c>
      <c r="N655" s="4">
        <v>3</v>
      </c>
      <c r="O655" s="5">
        <v>25</v>
      </c>
      <c r="P655">
        <f t="shared" si="110"/>
        <v>75</v>
      </c>
      <c r="Q655" s="14">
        <f>P655*$I$4</f>
        <v>1.125</v>
      </c>
      <c r="R655" s="14">
        <f>P655*$I$5</f>
        <v>1.5</v>
      </c>
    </row>
    <row r="656" spans="1:18" x14ac:dyDescent="0.35">
      <c r="A656" s="2">
        <v>645</v>
      </c>
      <c r="B656" s="4">
        <f t="shared" si="104"/>
        <v>17</v>
      </c>
      <c r="C656" s="4">
        <f t="shared" si="105"/>
        <v>11</v>
      </c>
      <c r="D656" s="4">
        <f t="shared" si="106"/>
        <v>2023</v>
      </c>
      <c r="E656" s="4" t="str">
        <f t="shared" si="107"/>
        <v>Friday</v>
      </c>
      <c r="F656" s="4" t="str">
        <f t="shared" si="108"/>
        <v>November</v>
      </c>
      <c r="G656" s="4" t="str">
        <f t="shared" si="109"/>
        <v>2023</v>
      </c>
      <c r="H656" s="3">
        <v>45247</v>
      </c>
      <c r="I656" s="4" t="s">
        <v>670</v>
      </c>
      <c r="J656" s="4" t="s">
        <v>23</v>
      </c>
      <c r="K656" s="4" t="str" cm="1">
        <f t="array" ref="K656">_xlfn.IFS(L656&gt;50,"Senior", L656&gt;=30,"Adult", L656&lt;30,"Young Adult")</f>
        <v>Adult</v>
      </c>
      <c r="L656" s="4">
        <v>35</v>
      </c>
      <c r="M656" s="4" t="s">
        <v>26</v>
      </c>
      <c r="N656" s="4">
        <v>4</v>
      </c>
      <c r="O656" s="5">
        <v>30</v>
      </c>
      <c r="P656">
        <f t="shared" si="110"/>
        <v>120</v>
      </c>
      <c r="Q656" s="14" t="e">
        <f>P656*#REF!</f>
        <v>#REF!</v>
      </c>
      <c r="R656" s="14" t="e">
        <f>P656*#REF!</f>
        <v>#REF!</v>
      </c>
    </row>
    <row r="657" spans="1:18" x14ac:dyDescent="0.35">
      <c r="A657" s="2">
        <v>646</v>
      </c>
      <c r="B657" s="4">
        <f t="shared" si="104"/>
        <v>3</v>
      </c>
      <c r="C657" s="4">
        <f t="shared" si="105"/>
        <v>5</v>
      </c>
      <c r="D657" s="4">
        <f t="shared" si="106"/>
        <v>2023</v>
      </c>
      <c r="E657" s="4" t="str">
        <f t="shared" si="107"/>
        <v>Wednesday</v>
      </c>
      <c r="F657" s="4" t="str">
        <f t="shared" si="108"/>
        <v>May</v>
      </c>
      <c r="G657" s="4" t="str">
        <f t="shared" si="109"/>
        <v>2023</v>
      </c>
      <c r="H657" s="3">
        <v>45049</v>
      </c>
      <c r="I657" s="4" t="s">
        <v>671</v>
      </c>
      <c r="J657" s="4" t="s">
        <v>20</v>
      </c>
      <c r="K657" s="4" t="str" cm="1">
        <f t="array" ref="K657">_xlfn.IFS(L657&gt;50,"Senior", L657&gt;=30,"Adult", L657&lt;30,"Young Adult")</f>
        <v>Adult</v>
      </c>
      <c r="L657" s="4">
        <v>38</v>
      </c>
      <c r="M657" s="4" t="s">
        <v>24</v>
      </c>
      <c r="N657" s="4">
        <v>3</v>
      </c>
      <c r="O657" s="5">
        <v>30</v>
      </c>
      <c r="P657">
        <f t="shared" si="110"/>
        <v>90</v>
      </c>
      <c r="Q657" s="14" t="e">
        <f>P657*#REF!</f>
        <v>#REF!</v>
      </c>
      <c r="R657" s="14" t="e">
        <f>P657*#REF!</f>
        <v>#REF!</v>
      </c>
    </row>
    <row r="658" spans="1:18" x14ac:dyDescent="0.35">
      <c r="A658" s="2">
        <v>647</v>
      </c>
      <c r="B658" s="4">
        <f t="shared" si="104"/>
        <v>21</v>
      </c>
      <c r="C658" s="4">
        <f t="shared" si="105"/>
        <v>5</v>
      </c>
      <c r="D658" s="4">
        <f t="shared" si="106"/>
        <v>2023</v>
      </c>
      <c r="E658" s="4" t="str">
        <f t="shared" si="107"/>
        <v>Sunday</v>
      </c>
      <c r="F658" s="4" t="str">
        <f t="shared" si="108"/>
        <v>May</v>
      </c>
      <c r="G658" s="4" t="str">
        <f t="shared" si="109"/>
        <v>2023</v>
      </c>
      <c r="H658" s="3">
        <v>45067</v>
      </c>
      <c r="I658" s="4" t="s">
        <v>672</v>
      </c>
      <c r="J658" s="4" t="s">
        <v>20</v>
      </c>
      <c r="K658" s="4" t="str" cm="1">
        <f t="array" ref="K658">_xlfn.IFS(L658&gt;50,"Senior", L658&gt;=30,"Adult", L658&lt;30,"Young Adult")</f>
        <v>Senior</v>
      </c>
      <c r="L658" s="4">
        <v>59</v>
      </c>
      <c r="M658" s="4" t="s">
        <v>24</v>
      </c>
      <c r="N658" s="4">
        <v>3</v>
      </c>
      <c r="O658" s="5">
        <v>500</v>
      </c>
      <c r="P658">
        <f t="shared" si="110"/>
        <v>1500</v>
      </c>
      <c r="Q658" s="14" t="e">
        <f>P658*#REF!</f>
        <v>#REF!</v>
      </c>
      <c r="R658" s="14" t="e">
        <f>P658*#REF!</f>
        <v>#REF!</v>
      </c>
    </row>
    <row r="659" spans="1:18" x14ac:dyDescent="0.35">
      <c r="A659" s="2">
        <v>648</v>
      </c>
      <c r="B659" s="4">
        <f t="shared" si="104"/>
        <v>14</v>
      </c>
      <c r="C659" s="4">
        <f t="shared" si="105"/>
        <v>8</v>
      </c>
      <c r="D659" s="4">
        <f t="shared" si="106"/>
        <v>2023</v>
      </c>
      <c r="E659" s="4" t="str">
        <f t="shared" si="107"/>
        <v>Monday</v>
      </c>
      <c r="F659" s="4" t="str">
        <f t="shared" si="108"/>
        <v>August</v>
      </c>
      <c r="G659" s="4" t="str">
        <f t="shared" si="109"/>
        <v>2023</v>
      </c>
      <c r="H659" s="3">
        <v>45152</v>
      </c>
      <c r="I659" s="4" t="s">
        <v>673</v>
      </c>
      <c r="J659" s="4" t="s">
        <v>20</v>
      </c>
      <c r="K659" s="4" t="str" cm="1">
        <f t="array" ref="K659">_xlfn.IFS(L659&gt;50,"Senior", L659&gt;=30,"Adult", L659&lt;30,"Young Adult")</f>
        <v>Senior</v>
      </c>
      <c r="L659" s="4">
        <v>53</v>
      </c>
      <c r="M659" s="4" t="s">
        <v>21</v>
      </c>
      <c r="N659" s="4">
        <v>4</v>
      </c>
      <c r="O659" s="5">
        <v>300</v>
      </c>
      <c r="P659">
        <f t="shared" si="110"/>
        <v>1200</v>
      </c>
      <c r="Q659" s="14">
        <f>P659*$I$4</f>
        <v>18</v>
      </c>
      <c r="R659" s="14">
        <f>P659*$I$5</f>
        <v>24</v>
      </c>
    </row>
    <row r="660" spans="1:18" x14ac:dyDescent="0.35">
      <c r="A660" s="2">
        <v>649</v>
      </c>
      <c r="B660" s="4">
        <f t="shared" si="104"/>
        <v>9</v>
      </c>
      <c r="C660" s="4">
        <f t="shared" si="105"/>
        <v>2</v>
      </c>
      <c r="D660" s="4">
        <f t="shared" si="106"/>
        <v>2023</v>
      </c>
      <c r="E660" s="4" t="str">
        <f t="shared" si="107"/>
        <v>Thursday</v>
      </c>
      <c r="F660" s="4" t="str">
        <f t="shared" si="108"/>
        <v>February</v>
      </c>
      <c r="G660" s="4" t="str">
        <f t="shared" si="109"/>
        <v>2023</v>
      </c>
      <c r="H660" s="3">
        <v>44966</v>
      </c>
      <c r="I660" s="4" t="s">
        <v>674</v>
      </c>
      <c r="J660" s="4" t="s">
        <v>23</v>
      </c>
      <c r="K660" s="4" t="str" cm="1">
        <f t="array" ref="K660">_xlfn.IFS(L660&gt;50,"Senior", L660&gt;=30,"Adult", L660&lt;30,"Young Adult")</f>
        <v>Senior</v>
      </c>
      <c r="L660" s="4">
        <v>58</v>
      </c>
      <c r="M660" s="4" t="s">
        <v>24</v>
      </c>
      <c r="N660" s="4">
        <v>2</v>
      </c>
      <c r="O660" s="5">
        <v>300</v>
      </c>
      <c r="P660">
        <f t="shared" si="110"/>
        <v>600</v>
      </c>
      <c r="Q660" s="14" t="e">
        <f>P660*#REF!</f>
        <v>#REF!</v>
      </c>
      <c r="R660" s="14" t="e">
        <f>P660*#REF!</f>
        <v>#REF!</v>
      </c>
    </row>
    <row r="661" spans="1:18" x14ac:dyDescent="0.35">
      <c r="A661" s="2">
        <v>650</v>
      </c>
      <c r="B661" s="4">
        <f t="shared" si="104"/>
        <v>1</v>
      </c>
      <c r="C661" s="4">
        <f t="shared" si="105"/>
        <v>1</v>
      </c>
      <c r="D661" s="4">
        <f t="shared" si="106"/>
        <v>2024</v>
      </c>
      <c r="E661" s="4" t="str">
        <f t="shared" si="107"/>
        <v>Monday</v>
      </c>
      <c r="F661" s="4" t="str">
        <f t="shared" si="108"/>
        <v>January</v>
      </c>
      <c r="G661" s="4" t="str">
        <f t="shared" si="109"/>
        <v>2024</v>
      </c>
      <c r="H661" s="3">
        <v>45292</v>
      </c>
      <c r="I661" s="4" t="s">
        <v>675</v>
      </c>
      <c r="J661" s="4" t="s">
        <v>20</v>
      </c>
      <c r="K661" s="4" t="str" cm="1">
        <f t="array" ref="K661">_xlfn.IFS(L661&gt;50,"Senior", L661&gt;=30,"Adult", L661&lt;30,"Young Adult")</f>
        <v>Senior</v>
      </c>
      <c r="L661" s="4">
        <v>55</v>
      </c>
      <c r="M661" s="4" t="s">
        <v>26</v>
      </c>
      <c r="N661" s="4">
        <v>1</v>
      </c>
      <c r="O661" s="5">
        <v>30</v>
      </c>
      <c r="P661">
        <f t="shared" si="110"/>
        <v>30</v>
      </c>
      <c r="Q661" s="14" t="e">
        <f>P661*#REF!</f>
        <v>#REF!</v>
      </c>
      <c r="R661" s="14" t="e">
        <f>P661*#REF!</f>
        <v>#REF!</v>
      </c>
    </row>
    <row r="662" spans="1:18" x14ac:dyDescent="0.35">
      <c r="A662" s="2">
        <v>651</v>
      </c>
      <c r="B662" s="4">
        <f t="shared" si="104"/>
        <v>27</v>
      </c>
      <c r="C662" s="4">
        <f t="shared" si="105"/>
        <v>5</v>
      </c>
      <c r="D662" s="4">
        <f t="shared" si="106"/>
        <v>2023</v>
      </c>
      <c r="E662" s="4" t="str">
        <f t="shared" si="107"/>
        <v>Saturday</v>
      </c>
      <c r="F662" s="4" t="str">
        <f t="shared" si="108"/>
        <v>May</v>
      </c>
      <c r="G662" s="4" t="str">
        <f t="shared" si="109"/>
        <v>2023</v>
      </c>
      <c r="H662" s="3">
        <v>45073</v>
      </c>
      <c r="I662" s="4" t="s">
        <v>676</v>
      </c>
      <c r="J662" s="4" t="s">
        <v>20</v>
      </c>
      <c r="K662" s="4" t="str" cm="1">
        <f t="array" ref="K662">_xlfn.IFS(L662&gt;50,"Senior", L662&gt;=30,"Adult", L662&lt;30,"Young Adult")</f>
        <v>Senior</v>
      </c>
      <c r="L662" s="4">
        <v>51</v>
      </c>
      <c r="M662" s="4" t="s">
        <v>24</v>
      </c>
      <c r="N662" s="4">
        <v>3</v>
      </c>
      <c r="O662" s="5">
        <v>50</v>
      </c>
      <c r="P662">
        <f t="shared" si="110"/>
        <v>150</v>
      </c>
      <c r="Q662" s="14" t="e">
        <f>P662*#REF!</f>
        <v>#REF!</v>
      </c>
      <c r="R662" s="14" t="e">
        <f>P662*#REF!</f>
        <v>#REF!</v>
      </c>
    </row>
    <row r="663" spans="1:18" x14ac:dyDescent="0.35">
      <c r="A663" s="2">
        <v>652</v>
      </c>
      <c r="B663" s="4">
        <f t="shared" si="104"/>
        <v>1</v>
      </c>
      <c r="C663" s="4">
        <f t="shared" si="105"/>
        <v>5</v>
      </c>
      <c r="D663" s="4">
        <f t="shared" si="106"/>
        <v>2023</v>
      </c>
      <c r="E663" s="4" t="str">
        <f t="shared" si="107"/>
        <v>Monday</v>
      </c>
      <c r="F663" s="4" t="str">
        <f t="shared" si="108"/>
        <v>May</v>
      </c>
      <c r="G663" s="4" t="str">
        <f t="shared" si="109"/>
        <v>2023</v>
      </c>
      <c r="H663" s="3">
        <v>45047</v>
      </c>
      <c r="I663" s="4" t="s">
        <v>677</v>
      </c>
      <c r="J663" s="4" t="s">
        <v>23</v>
      </c>
      <c r="K663" s="4" t="str" cm="1">
        <f t="array" ref="K663">_xlfn.IFS(L663&gt;50,"Senior", L663&gt;=30,"Adult", L663&lt;30,"Young Adult")</f>
        <v>Adult</v>
      </c>
      <c r="L663" s="4">
        <v>34</v>
      </c>
      <c r="M663" s="4" t="s">
        <v>21</v>
      </c>
      <c r="N663" s="4">
        <v>2</v>
      </c>
      <c r="O663" s="5">
        <v>50</v>
      </c>
      <c r="P663">
        <f t="shared" si="110"/>
        <v>100</v>
      </c>
      <c r="Q663" s="14">
        <f>P663*$I$4</f>
        <v>1.5</v>
      </c>
      <c r="R663" s="14">
        <f>P663*$I$5</f>
        <v>2</v>
      </c>
    </row>
    <row r="664" spans="1:18" x14ac:dyDescent="0.35">
      <c r="A664" s="2">
        <v>653</v>
      </c>
      <c r="B664" s="4">
        <f t="shared" si="104"/>
        <v>20</v>
      </c>
      <c r="C664" s="4">
        <f t="shared" si="105"/>
        <v>5</v>
      </c>
      <c r="D664" s="4">
        <f t="shared" si="106"/>
        <v>2023</v>
      </c>
      <c r="E664" s="4" t="str">
        <f t="shared" si="107"/>
        <v>Saturday</v>
      </c>
      <c r="F664" s="4" t="str">
        <f t="shared" si="108"/>
        <v>May</v>
      </c>
      <c r="G664" s="4" t="str">
        <f t="shared" si="109"/>
        <v>2023</v>
      </c>
      <c r="H664" s="3">
        <v>45066</v>
      </c>
      <c r="I664" s="4" t="s">
        <v>678</v>
      </c>
      <c r="J664" s="4" t="s">
        <v>20</v>
      </c>
      <c r="K664" s="4" t="str" cm="1">
        <f t="array" ref="K664">_xlfn.IFS(L664&gt;50,"Senior", L664&gt;=30,"Adult", L664&lt;30,"Young Adult")</f>
        <v>Senior</v>
      </c>
      <c r="L664" s="4">
        <v>54</v>
      </c>
      <c r="M664" s="4" t="s">
        <v>24</v>
      </c>
      <c r="N664" s="4">
        <v>3</v>
      </c>
      <c r="O664" s="5">
        <v>25</v>
      </c>
      <c r="P664">
        <f t="shared" si="110"/>
        <v>75</v>
      </c>
      <c r="Q664" s="14" t="e">
        <f>P664*#REF!</f>
        <v>#REF!</v>
      </c>
      <c r="R664" s="14" t="e">
        <f>P664*#REF!</f>
        <v>#REF!</v>
      </c>
    </row>
    <row r="665" spans="1:18" x14ac:dyDescent="0.35">
      <c r="A665" s="2">
        <v>654</v>
      </c>
      <c r="B665" s="4">
        <f t="shared" si="104"/>
        <v>21</v>
      </c>
      <c r="C665" s="4">
        <f t="shared" si="105"/>
        <v>6</v>
      </c>
      <c r="D665" s="4">
        <f t="shared" si="106"/>
        <v>2023</v>
      </c>
      <c r="E665" s="4" t="str">
        <f t="shared" si="107"/>
        <v>Wednesday</v>
      </c>
      <c r="F665" s="4" t="str">
        <f t="shared" si="108"/>
        <v>June</v>
      </c>
      <c r="G665" s="4" t="str">
        <f t="shared" si="109"/>
        <v>2023</v>
      </c>
      <c r="H665" s="3">
        <v>45098</v>
      </c>
      <c r="I665" s="4" t="s">
        <v>679</v>
      </c>
      <c r="J665" s="4" t="s">
        <v>20</v>
      </c>
      <c r="K665" s="4" t="str" cm="1">
        <f t="array" ref="K665">_xlfn.IFS(L665&gt;50,"Senior", L665&gt;=30,"Adult", L665&lt;30,"Young Adult")</f>
        <v>Adult</v>
      </c>
      <c r="L665" s="4">
        <v>42</v>
      </c>
      <c r="M665" s="4" t="s">
        <v>24</v>
      </c>
      <c r="N665" s="4">
        <v>3</v>
      </c>
      <c r="O665" s="5">
        <v>25</v>
      </c>
      <c r="P665">
        <f t="shared" si="110"/>
        <v>75</v>
      </c>
      <c r="Q665" s="14" t="e">
        <f>P665*#REF!</f>
        <v>#REF!</v>
      </c>
      <c r="R665" s="14" t="e">
        <f>P665*#REF!</f>
        <v>#REF!</v>
      </c>
    </row>
    <row r="666" spans="1:18" x14ac:dyDescent="0.35">
      <c r="A666" s="2">
        <v>655</v>
      </c>
      <c r="B666" s="4">
        <f t="shared" si="104"/>
        <v>13</v>
      </c>
      <c r="C666" s="4">
        <f t="shared" si="105"/>
        <v>6</v>
      </c>
      <c r="D666" s="4">
        <f t="shared" si="106"/>
        <v>2023</v>
      </c>
      <c r="E666" s="4" t="str">
        <f t="shared" si="107"/>
        <v>Tuesday</v>
      </c>
      <c r="F666" s="4" t="str">
        <f t="shared" si="108"/>
        <v>June</v>
      </c>
      <c r="G666" s="4" t="str">
        <f t="shared" si="109"/>
        <v>2023</v>
      </c>
      <c r="H666" s="3">
        <v>45090</v>
      </c>
      <c r="I666" s="4" t="s">
        <v>680</v>
      </c>
      <c r="J666" s="4" t="s">
        <v>23</v>
      </c>
      <c r="K666" s="4" t="str" cm="1">
        <f t="array" ref="K666">_xlfn.IFS(L666&gt;50,"Senior", L666&gt;=30,"Adult", L666&lt;30,"Young Adult")</f>
        <v>Senior</v>
      </c>
      <c r="L666" s="4">
        <v>55</v>
      </c>
      <c r="M666" s="4" t="s">
        <v>24</v>
      </c>
      <c r="N666" s="4">
        <v>1</v>
      </c>
      <c r="O666" s="5">
        <v>500</v>
      </c>
      <c r="P666">
        <f t="shared" si="110"/>
        <v>500</v>
      </c>
      <c r="Q666" s="14" t="e">
        <f>P666*#REF!</f>
        <v>#REF!</v>
      </c>
      <c r="R666" s="14" t="e">
        <f>P666*#REF!</f>
        <v>#REF!</v>
      </c>
    </row>
    <row r="667" spans="1:18" x14ac:dyDescent="0.35">
      <c r="A667" s="2">
        <v>656</v>
      </c>
      <c r="B667" s="4">
        <f t="shared" si="104"/>
        <v>4</v>
      </c>
      <c r="C667" s="4">
        <f t="shared" si="105"/>
        <v>10</v>
      </c>
      <c r="D667" s="4">
        <f t="shared" si="106"/>
        <v>2023</v>
      </c>
      <c r="E667" s="4" t="str">
        <f t="shared" si="107"/>
        <v>Wednesday</v>
      </c>
      <c r="F667" s="4" t="str">
        <f t="shared" si="108"/>
        <v>October</v>
      </c>
      <c r="G667" s="4" t="str">
        <f t="shared" si="109"/>
        <v>2023</v>
      </c>
      <c r="H667" s="3">
        <v>45203</v>
      </c>
      <c r="I667" s="4" t="s">
        <v>681</v>
      </c>
      <c r="J667" s="4" t="s">
        <v>20</v>
      </c>
      <c r="K667" s="4" t="str" cm="1">
        <f t="array" ref="K667">_xlfn.IFS(L667&gt;50,"Senior", L667&gt;=30,"Adult", L667&lt;30,"Young Adult")</f>
        <v>Young Adult</v>
      </c>
      <c r="L667" s="4">
        <v>29</v>
      </c>
      <c r="M667" s="4" t="s">
        <v>21</v>
      </c>
      <c r="N667" s="4">
        <v>3</v>
      </c>
      <c r="O667" s="5">
        <v>30</v>
      </c>
      <c r="P667">
        <f t="shared" si="110"/>
        <v>90</v>
      </c>
      <c r="Q667" s="14">
        <f>P667*$I$4</f>
        <v>1.3499999999999999</v>
      </c>
      <c r="R667" s="14">
        <f>P667*$I$5</f>
        <v>1.8</v>
      </c>
    </row>
    <row r="668" spans="1:18" x14ac:dyDescent="0.35">
      <c r="A668" s="2">
        <v>657</v>
      </c>
      <c r="B668" s="4">
        <f t="shared" si="104"/>
        <v>11</v>
      </c>
      <c r="C668" s="4">
        <f t="shared" si="105"/>
        <v>2</v>
      </c>
      <c r="D668" s="4">
        <f t="shared" si="106"/>
        <v>2023</v>
      </c>
      <c r="E668" s="4" t="str">
        <f t="shared" si="107"/>
        <v>Saturday</v>
      </c>
      <c r="F668" s="4" t="str">
        <f t="shared" si="108"/>
        <v>February</v>
      </c>
      <c r="G668" s="4" t="str">
        <f t="shared" si="109"/>
        <v>2023</v>
      </c>
      <c r="H668" s="3">
        <v>44968</v>
      </c>
      <c r="I668" s="4" t="s">
        <v>682</v>
      </c>
      <c r="J668" s="4" t="s">
        <v>20</v>
      </c>
      <c r="K668" s="4" t="str" cm="1">
        <f t="array" ref="K668">_xlfn.IFS(L668&gt;50,"Senior", L668&gt;=30,"Adult", L668&lt;30,"Young Adult")</f>
        <v>Adult</v>
      </c>
      <c r="L668" s="4">
        <v>40</v>
      </c>
      <c r="M668" s="4" t="s">
        <v>24</v>
      </c>
      <c r="N668" s="4">
        <v>1</v>
      </c>
      <c r="O668" s="5">
        <v>25</v>
      </c>
      <c r="P668">
        <f t="shared" si="110"/>
        <v>25</v>
      </c>
      <c r="Q668" s="14" t="e">
        <f>P668*#REF!</f>
        <v>#REF!</v>
      </c>
      <c r="R668" s="14" t="e">
        <f>P668*#REF!</f>
        <v>#REF!</v>
      </c>
    </row>
    <row r="669" spans="1:18" x14ac:dyDescent="0.35">
      <c r="A669" s="2">
        <v>658</v>
      </c>
      <c r="B669" s="4">
        <f t="shared" si="104"/>
        <v>12</v>
      </c>
      <c r="C669" s="4">
        <f t="shared" si="105"/>
        <v>3</v>
      </c>
      <c r="D669" s="4">
        <f t="shared" si="106"/>
        <v>2023</v>
      </c>
      <c r="E669" s="4" t="str">
        <f t="shared" si="107"/>
        <v>Sunday</v>
      </c>
      <c r="F669" s="4" t="str">
        <f t="shared" si="108"/>
        <v>March</v>
      </c>
      <c r="G669" s="4" t="str">
        <f t="shared" si="109"/>
        <v>2023</v>
      </c>
      <c r="H669" s="3">
        <v>44997</v>
      </c>
      <c r="I669" s="4" t="s">
        <v>683</v>
      </c>
      <c r="J669" s="4" t="s">
        <v>20</v>
      </c>
      <c r="K669" s="4" t="str" cm="1">
        <f t="array" ref="K669">_xlfn.IFS(L669&gt;50,"Senior", L669&gt;=30,"Adult", L669&lt;30,"Young Adult")</f>
        <v>Senior</v>
      </c>
      <c r="L669" s="4">
        <v>59</v>
      </c>
      <c r="M669" s="4" t="s">
        <v>24</v>
      </c>
      <c r="N669" s="4">
        <v>1</v>
      </c>
      <c r="O669" s="5">
        <v>25</v>
      </c>
      <c r="P669">
        <f t="shared" si="110"/>
        <v>25</v>
      </c>
      <c r="Q669" s="14" t="e">
        <f>P669*#REF!</f>
        <v>#REF!</v>
      </c>
      <c r="R669" s="14" t="e">
        <f>P669*#REF!</f>
        <v>#REF!</v>
      </c>
    </row>
    <row r="670" spans="1:18" x14ac:dyDescent="0.35">
      <c r="A670" s="2">
        <v>659</v>
      </c>
      <c r="B670" s="4">
        <f t="shared" si="104"/>
        <v>19</v>
      </c>
      <c r="C670" s="4">
        <f t="shared" si="105"/>
        <v>3</v>
      </c>
      <c r="D670" s="4">
        <f t="shared" si="106"/>
        <v>2023</v>
      </c>
      <c r="E670" s="4" t="str">
        <f t="shared" si="107"/>
        <v>Sunday</v>
      </c>
      <c r="F670" s="4" t="str">
        <f t="shared" si="108"/>
        <v>March</v>
      </c>
      <c r="G670" s="4" t="str">
        <f t="shared" si="109"/>
        <v>2023</v>
      </c>
      <c r="H670" s="3">
        <v>45004</v>
      </c>
      <c r="I670" s="4" t="s">
        <v>684</v>
      </c>
      <c r="J670" s="4" t="s">
        <v>23</v>
      </c>
      <c r="K670" s="4" t="str" cm="1">
        <f t="array" ref="K670">_xlfn.IFS(L670&gt;50,"Senior", L670&gt;=30,"Adult", L670&lt;30,"Young Adult")</f>
        <v>Adult</v>
      </c>
      <c r="L670" s="4">
        <v>39</v>
      </c>
      <c r="M670" s="4" t="s">
        <v>26</v>
      </c>
      <c r="N670" s="4">
        <v>1</v>
      </c>
      <c r="O670" s="5">
        <v>30</v>
      </c>
      <c r="P670">
        <f t="shared" si="110"/>
        <v>30</v>
      </c>
      <c r="Q670" s="14" t="e">
        <f>P670*#REF!</f>
        <v>#REF!</v>
      </c>
      <c r="R670" s="14" t="e">
        <f>P670*#REF!</f>
        <v>#REF!</v>
      </c>
    </row>
    <row r="671" spans="1:18" x14ac:dyDescent="0.35">
      <c r="A671" s="2">
        <v>660</v>
      </c>
      <c r="B671" s="4">
        <f t="shared" si="104"/>
        <v>29</v>
      </c>
      <c r="C671" s="4">
        <f t="shared" si="105"/>
        <v>4</v>
      </c>
      <c r="D671" s="4">
        <f t="shared" si="106"/>
        <v>2023</v>
      </c>
      <c r="E671" s="4" t="str">
        <f t="shared" si="107"/>
        <v>Saturday</v>
      </c>
      <c r="F671" s="4" t="str">
        <f t="shared" si="108"/>
        <v>April</v>
      </c>
      <c r="G671" s="4" t="str">
        <f t="shared" si="109"/>
        <v>2023</v>
      </c>
      <c r="H671" s="3">
        <v>45045</v>
      </c>
      <c r="I671" s="4" t="s">
        <v>685</v>
      </c>
      <c r="J671" s="4" t="s">
        <v>23</v>
      </c>
      <c r="K671" s="4" t="str" cm="1">
        <f t="array" ref="K671">_xlfn.IFS(L671&gt;50,"Senior", L671&gt;=30,"Adult", L671&lt;30,"Young Adult")</f>
        <v>Adult</v>
      </c>
      <c r="L671" s="4">
        <v>38</v>
      </c>
      <c r="M671" s="4" t="s">
        <v>21</v>
      </c>
      <c r="N671" s="4">
        <v>2</v>
      </c>
      <c r="O671" s="5">
        <v>500</v>
      </c>
      <c r="P671">
        <f t="shared" si="110"/>
        <v>1000</v>
      </c>
      <c r="Q671" s="14">
        <f>P671*$I$4</f>
        <v>15</v>
      </c>
      <c r="R671" s="14">
        <f>P671*$I$5</f>
        <v>20</v>
      </c>
    </row>
    <row r="672" spans="1:18" x14ac:dyDescent="0.35">
      <c r="A672" s="2">
        <v>661</v>
      </c>
      <c r="B672" s="4">
        <f t="shared" si="104"/>
        <v>16</v>
      </c>
      <c r="C672" s="4">
        <f t="shared" si="105"/>
        <v>7</v>
      </c>
      <c r="D672" s="4">
        <f t="shared" si="106"/>
        <v>2023</v>
      </c>
      <c r="E672" s="4" t="str">
        <f t="shared" si="107"/>
        <v>Sunday</v>
      </c>
      <c r="F672" s="4" t="str">
        <f t="shared" si="108"/>
        <v>July</v>
      </c>
      <c r="G672" s="4" t="str">
        <f t="shared" si="109"/>
        <v>2023</v>
      </c>
      <c r="H672" s="3">
        <v>45123</v>
      </c>
      <c r="I672" s="4" t="s">
        <v>686</v>
      </c>
      <c r="J672" s="4" t="s">
        <v>23</v>
      </c>
      <c r="K672" s="4" t="str" cm="1">
        <f t="array" ref="K672">_xlfn.IFS(L672&gt;50,"Senior", L672&gt;=30,"Adult", L672&lt;30,"Young Adult")</f>
        <v>Adult</v>
      </c>
      <c r="L672" s="4">
        <v>44</v>
      </c>
      <c r="M672" s="4" t="s">
        <v>24</v>
      </c>
      <c r="N672" s="4">
        <v>4</v>
      </c>
      <c r="O672" s="5">
        <v>25</v>
      </c>
      <c r="P672">
        <f t="shared" si="110"/>
        <v>100</v>
      </c>
      <c r="Q672" s="14" t="e">
        <f>P672*#REF!</f>
        <v>#REF!</v>
      </c>
      <c r="R672" s="14" t="e">
        <f>P672*#REF!</f>
        <v>#REF!</v>
      </c>
    </row>
    <row r="673" spans="1:18" x14ac:dyDescent="0.35">
      <c r="A673" s="2">
        <v>662</v>
      </c>
      <c r="B673" s="4">
        <f t="shared" si="104"/>
        <v>22</v>
      </c>
      <c r="C673" s="4">
        <f t="shared" si="105"/>
        <v>12</v>
      </c>
      <c r="D673" s="4">
        <f t="shared" si="106"/>
        <v>2023</v>
      </c>
      <c r="E673" s="4" t="str">
        <f t="shared" si="107"/>
        <v>Friday</v>
      </c>
      <c r="F673" s="4" t="str">
        <f t="shared" si="108"/>
        <v>December</v>
      </c>
      <c r="G673" s="4" t="str">
        <f t="shared" si="109"/>
        <v>2023</v>
      </c>
      <c r="H673" s="3">
        <v>45282</v>
      </c>
      <c r="I673" s="4" t="s">
        <v>687</v>
      </c>
      <c r="J673" s="4" t="s">
        <v>20</v>
      </c>
      <c r="K673" s="4" t="str" cm="1">
        <f t="array" ref="K673">_xlfn.IFS(L673&gt;50,"Senior", L673&gt;=30,"Adult", L673&lt;30,"Young Adult")</f>
        <v>Adult</v>
      </c>
      <c r="L673" s="4">
        <v>48</v>
      </c>
      <c r="M673" s="4" t="s">
        <v>21</v>
      </c>
      <c r="N673" s="4">
        <v>2</v>
      </c>
      <c r="O673" s="5">
        <v>500</v>
      </c>
      <c r="P673">
        <f t="shared" si="110"/>
        <v>1000</v>
      </c>
      <c r="Q673" s="14">
        <f>P673*$I$4</f>
        <v>15</v>
      </c>
      <c r="R673" s="14">
        <f>P673*$I$5</f>
        <v>20</v>
      </c>
    </row>
    <row r="674" spans="1:18" x14ac:dyDescent="0.35">
      <c r="A674" s="2">
        <v>663</v>
      </c>
      <c r="B674" s="4">
        <f t="shared" si="104"/>
        <v>20</v>
      </c>
      <c r="C674" s="4">
        <f t="shared" si="105"/>
        <v>3</v>
      </c>
      <c r="D674" s="4">
        <f t="shared" si="106"/>
        <v>2023</v>
      </c>
      <c r="E674" s="4" t="str">
        <f t="shared" si="107"/>
        <v>Monday</v>
      </c>
      <c r="F674" s="4" t="str">
        <f t="shared" si="108"/>
        <v>March</v>
      </c>
      <c r="G674" s="4" t="str">
        <f t="shared" si="109"/>
        <v>2023</v>
      </c>
      <c r="H674" s="3">
        <v>45005</v>
      </c>
      <c r="I674" s="4" t="s">
        <v>688</v>
      </c>
      <c r="J674" s="4" t="s">
        <v>20</v>
      </c>
      <c r="K674" s="4" t="str" cm="1">
        <f t="array" ref="K674">_xlfn.IFS(L674&gt;50,"Senior", L674&gt;=30,"Adult", L674&lt;30,"Young Adult")</f>
        <v>Young Adult</v>
      </c>
      <c r="L674" s="4">
        <v>23</v>
      </c>
      <c r="M674" s="4" t="s">
        <v>24</v>
      </c>
      <c r="N674" s="4">
        <v>4</v>
      </c>
      <c r="O674" s="5">
        <v>300</v>
      </c>
      <c r="P674">
        <f t="shared" si="110"/>
        <v>1200</v>
      </c>
      <c r="Q674" s="14" t="e">
        <f>P674*#REF!</f>
        <v>#REF!</v>
      </c>
      <c r="R674" s="14" t="e">
        <f>P674*#REF!</f>
        <v>#REF!</v>
      </c>
    </row>
    <row r="675" spans="1:18" x14ac:dyDescent="0.35">
      <c r="A675" s="2">
        <v>664</v>
      </c>
      <c r="B675" s="4">
        <f t="shared" si="104"/>
        <v>28</v>
      </c>
      <c r="C675" s="4">
        <f t="shared" si="105"/>
        <v>12</v>
      </c>
      <c r="D675" s="4">
        <f t="shared" si="106"/>
        <v>2023</v>
      </c>
      <c r="E675" s="4" t="str">
        <f t="shared" si="107"/>
        <v>Thursday</v>
      </c>
      <c r="F675" s="4" t="str">
        <f t="shared" si="108"/>
        <v>December</v>
      </c>
      <c r="G675" s="4" t="str">
        <f t="shared" si="109"/>
        <v>2023</v>
      </c>
      <c r="H675" s="3">
        <v>45288</v>
      </c>
      <c r="I675" s="4" t="s">
        <v>689</v>
      </c>
      <c r="J675" s="4" t="s">
        <v>23</v>
      </c>
      <c r="K675" s="4" t="str" cm="1">
        <f t="array" ref="K675">_xlfn.IFS(L675&gt;50,"Senior", L675&gt;=30,"Adult", L675&lt;30,"Young Adult")</f>
        <v>Adult</v>
      </c>
      <c r="L675" s="4">
        <v>44</v>
      </c>
      <c r="M675" s="4" t="s">
        <v>24</v>
      </c>
      <c r="N675" s="4">
        <v>4</v>
      </c>
      <c r="O675" s="5">
        <v>500</v>
      </c>
      <c r="P675">
        <f t="shared" si="110"/>
        <v>2000</v>
      </c>
      <c r="Q675" s="14" t="e">
        <f>P675*#REF!</f>
        <v>#REF!</v>
      </c>
      <c r="R675" s="14" t="e">
        <f>P675*#REF!</f>
        <v>#REF!</v>
      </c>
    </row>
    <row r="676" spans="1:18" x14ac:dyDescent="0.35">
      <c r="A676" s="2">
        <v>665</v>
      </c>
      <c r="B676" s="4">
        <f t="shared" si="104"/>
        <v>20</v>
      </c>
      <c r="C676" s="4">
        <f t="shared" si="105"/>
        <v>4</v>
      </c>
      <c r="D676" s="4">
        <f t="shared" si="106"/>
        <v>2023</v>
      </c>
      <c r="E676" s="4" t="str">
        <f t="shared" si="107"/>
        <v>Thursday</v>
      </c>
      <c r="F676" s="4" t="str">
        <f t="shared" si="108"/>
        <v>April</v>
      </c>
      <c r="G676" s="4" t="str">
        <f t="shared" si="109"/>
        <v>2023</v>
      </c>
      <c r="H676" s="3">
        <v>45036</v>
      </c>
      <c r="I676" s="4" t="s">
        <v>690</v>
      </c>
      <c r="J676" s="4" t="s">
        <v>20</v>
      </c>
      <c r="K676" s="4" t="str" cm="1">
        <f t="array" ref="K676">_xlfn.IFS(L676&gt;50,"Senior", L676&gt;=30,"Adult", L676&lt;30,"Young Adult")</f>
        <v>Senior</v>
      </c>
      <c r="L676" s="4">
        <v>57</v>
      </c>
      <c r="M676" s="4" t="s">
        <v>24</v>
      </c>
      <c r="N676" s="4">
        <v>1</v>
      </c>
      <c r="O676" s="5">
        <v>50</v>
      </c>
      <c r="P676">
        <f t="shared" si="110"/>
        <v>50</v>
      </c>
      <c r="Q676" s="14" t="e">
        <f>P676*#REF!</f>
        <v>#REF!</v>
      </c>
      <c r="R676" s="14" t="e">
        <f>P676*#REF!</f>
        <v>#REF!</v>
      </c>
    </row>
    <row r="677" spans="1:18" x14ac:dyDescent="0.35">
      <c r="A677" s="2">
        <v>666</v>
      </c>
      <c r="B677" s="4">
        <f t="shared" si="104"/>
        <v>2</v>
      </c>
      <c r="C677" s="4">
        <f t="shared" si="105"/>
        <v>2</v>
      </c>
      <c r="D677" s="4">
        <f t="shared" si="106"/>
        <v>2023</v>
      </c>
      <c r="E677" s="4" t="str">
        <f t="shared" si="107"/>
        <v>Thursday</v>
      </c>
      <c r="F677" s="4" t="str">
        <f t="shared" si="108"/>
        <v>February</v>
      </c>
      <c r="G677" s="4" t="str">
        <f t="shared" si="109"/>
        <v>2023</v>
      </c>
      <c r="H677" s="3">
        <v>44959</v>
      </c>
      <c r="I677" s="4" t="s">
        <v>691</v>
      </c>
      <c r="J677" s="4" t="s">
        <v>20</v>
      </c>
      <c r="K677" s="4" t="str" cm="1">
        <f t="array" ref="K677">_xlfn.IFS(L677&gt;50,"Senior", L677&gt;=30,"Adult", L677&lt;30,"Young Adult")</f>
        <v>Senior</v>
      </c>
      <c r="L677" s="4">
        <v>51</v>
      </c>
      <c r="M677" s="4" t="s">
        <v>26</v>
      </c>
      <c r="N677" s="4">
        <v>3</v>
      </c>
      <c r="O677" s="5">
        <v>50</v>
      </c>
      <c r="P677">
        <f t="shared" si="110"/>
        <v>150</v>
      </c>
      <c r="Q677" s="14" t="e">
        <f>P677*#REF!</f>
        <v>#REF!</v>
      </c>
      <c r="R677" s="14" t="e">
        <f>P677*#REF!</f>
        <v>#REF!</v>
      </c>
    </row>
    <row r="678" spans="1:18" x14ac:dyDescent="0.35">
      <c r="A678" s="2">
        <v>667</v>
      </c>
      <c r="B678" s="4">
        <f t="shared" si="104"/>
        <v>1</v>
      </c>
      <c r="C678" s="4">
        <f t="shared" si="105"/>
        <v>8</v>
      </c>
      <c r="D678" s="4">
        <f t="shared" si="106"/>
        <v>2023</v>
      </c>
      <c r="E678" s="4" t="str">
        <f t="shared" si="107"/>
        <v>Tuesday</v>
      </c>
      <c r="F678" s="4" t="str">
        <f t="shared" si="108"/>
        <v>August</v>
      </c>
      <c r="G678" s="4" t="str">
        <f t="shared" si="109"/>
        <v>2023</v>
      </c>
      <c r="H678" s="3">
        <v>45139</v>
      </c>
      <c r="I678" s="4" t="s">
        <v>692</v>
      </c>
      <c r="J678" s="4" t="s">
        <v>23</v>
      </c>
      <c r="K678" s="4" t="str" cm="1">
        <f t="array" ref="K678">_xlfn.IFS(L678&gt;50,"Senior", L678&gt;=30,"Adult", L678&lt;30,"Young Adult")</f>
        <v>Young Adult</v>
      </c>
      <c r="L678" s="4">
        <v>29</v>
      </c>
      <c r="M678" s="4" t="s">
        <v>26</v>
      </c>
      <c r="N678" s="4">
        <v>1</v>
      </c>
      <c r="O678" s="5">
        <v>500</v>
      </c>
      <c r="P678">
        <f t="shared" si="110"/>
        <v>500</v>
      </c>
      <c r="Q678" s="14" t="e">
        <f>P678*#REF!</f>
        <v>#REF!</v>
      </c>
      <c r="R678" s="14" t="e">
        <f>P678*#REF!</f>
        <v>#REF!</v>
      </c>
    </row>
    <row r="679" spans="1:18" x14ac:dyDescent="0.35">
      <c r="A679" s="2">
        <v>668</v>
      </c>
      <c r="B679" s="4">
        <f t="shared" si="104"/>
        <v>28</v>
      </c>
      <c r="C679" s="4">
        <f t="shared" si="105"/>
        <v>7</v>
      </c>
      <c r="D679" s="4">
        <f t="shared" si="106"/>
        <v>2023</v>
      </c>
      <c r="E679" s="4" t="str">
        <f t="shared" si="107"/>
        <v>Friday</v>
      </c>
      <c r="F679" s="4" t="str">
        <f t="shared" si="108"/>
        <v>July</v>
      </c>
      <c r="G679" s="4" t="str">
        <f t="shared" si="109"/>
        <v>2023</v>
      </c>
      <c r="H679" s="3">
        <v>45135</v>
      </c>
      <c r="I679" s="4" t="s">
        <v>693</v>
      </c>
      <c r="J679" s="4" t="s">
        <v>23</v>
      </c>
      <c r="K679" s="4" t="str" cm="1">
        <f t="array" ref="K679">_xlfn.IFS(L679&gt;50,"Senior", L679&gt;=30,"Adult", L679&lt;30,"Young Adult")</f>
        <v>Senior</v>
      </c>
      <c r="L679" s="4">
        <v>62</v>
      </c>
      <c r="M679" s="4" t="s">
        <v>26</v>
      </c>
      <c r="N679" s="4">
        <v>3</v>
      </c>
      <c r="O679" s="5">
        <v>50</v>
      </c>
      <c r="P679">
        <f t="shared" si="110"/>
        <v>150</v>
      </c>
      <c r="Q679" s="14" t="e">
        <f>P679*#REF!</f>
        <v>#REF!</v>
      </c>
      <c r="R679" s="14" t="e">
        <f>P679*#REF!</f>
        <v>#REF!</v>
      </c>
    </row>
    <row r="680" spans="1:18" x14ac:dyDescent="0.35">
      <c r="A680" s="2">
        <v>669</v>
      </c>
      <c r="B680" s="4">
        <f t="shared" si="104"/>
        <v>19</v>
      </c>
      <c r="C680" s="4">
        <f t="shared" si="105"/>
        <v>6</v>
      </c>
      <c r="D680" s="4">
        <f t="shared" si="106"/>
        <v>2023</v>
      </c>
      <c r="E680" s="4" t="str">
        <f t="shared" si="107"/>
        <v>Monday</v>
      </c>
      <c r="F680" s="4" t="str">
        <f t="shared" si="108"/>
        <v>June</v>
      </c>
      <c r="G680" s="4" t="str">
        <f t="shared" si="109"/>
        <v>2023</v>
      </c>
      <c r="H680" s="3">
        <v>45096</v>
      </c>
      <c r="I680" s="4" t="s">
        <v>694</v>
      </c>
      <c r="J680" s="4" t="s">
        <v>20</v>
      </c>
      <c r="K680" s="4" t="str" cm="1">
        <f t="array" ref="K680">_xlfn.IFS(L680&gt;50,"Senior", L680&gt;=30,"Adult", L680&lt;30,"Young Adult")</f>
        <v>Young Adult</v>
      </c>
      <c r="L680" s="4">
        <v>24</v>
      </c>
      <c r="M680" s="4" t="s">
        <v>21</v>
      </c>
      <c r="N680" s="4">
        <v>4</v>
      </c>
      <c r="O680" s="5">
        <v>300</v>
      </c>
      <c r="P680">
        <f t="shared" si="110"/>
        <v>1200</v>
      </c>
      <c r="Q680" s="14">
        <f t="shared" ref="Q680:Q681" si="111">P680*$I$4</f>
        <v>18</v>
      </c>
      <c r="R680" s="14">
        <f t="shared" ref="R680:R681" si="112">P680*$I$5</f>
        <v>24</v>
      </c>
    </row>
    <row r="681" spans="1:18" x14ac:dyDescent="0.35">
      <c r="A681" s="2">
        <v>670</v>
      </c>
      <c r="B681" s="4">
        <f t="shared" si="104"/>
        <v>5</v>
      </c>
      <c r="C681" s="4">
        <f t="shared" si="105"/>
        <v>10</v>
      </c>
      <c r="D681" s="4">
        <f t="shared" si="106"/>
        <v>2023</v>
      </c>
      <c r="E681" s="4" t="str">
        <f t="shared" si="107"/>
        <v>Thursday</v>
      </c>
      <c r="F681" s="4" t="str">
        <f t="shared" si="108"/>
        <v>October</v>
      </c>
      <c r="G681" s="4" t="str">
        <f t="shared" si="109"/>
        <v>2023</v>
      </c>
      <c r="H681" s="3">
        <v>45204</v>
      </c>
      <c r="I681" s="4" t="s">
        <v>695</v>
      </c>
      <c r="J681" s="4" t="s">
        <v>20</v>
      </c>
      <c r="K681" s="4" t="str" cm="1">
        <f t="array" ref="K681">_xlfn.IFS(L681&gt;50,"Senior", L681&gt;=30,"Adult", L681&lt;30,"Young Adult")</f>
        <v>Young Adult</v>
      </c>
      <c r="L681" s="4">
        <v>27</v>
      </c>
      <c r="M681" s="4" t="s">
        <v>21</v>
      </c>
      <c r="N681" s="4">
        <v>1</v>
      </c>
      <c r="O681" s="5">
        <v>30</v>
      </c>
      <c r="P681">
        <f t="shared" si="110"/>
        <v>30</v>
      </c>
      <c r="Q681" s="14">
        <f t="shared" si="111"/>
        <v>0.44999999999999996</v>
      </c>
      <c r="R681" s="14">
        <f t="shared" si="112"/>
        <v>0.6</v>
      </c>
    </row>
    <row r="682" spans="1:18" x14ac:dyDescent="0.35">
      <c r="A682" s="2">
        <v>671</v>
      </c>
      <c r="B682" s="4">
        <f t="shared" si="104"/>
        <v>27</v>
      </c>
      <c r="C682" s="4">
        <f t="shared" si="105"/>
        <v>8</v>
      </c>
      <c r="D682" s="4">
        <f t="shared" si="106"/>
        <v>2023</v>
      </c>
      <c r="E682" s="4" t="str">
        <f t="shared" si="107"/>
        <v>Sunday</v>
      </c>
      <c r="F682" s="4" t="str">
        <f t="shared" si="108"/>
        <v>August</v>
      </c>
      <c r="G682" s="4" t="str">
        <f t="shared" si="109"/>
        <v>2023</v>
      </c>
      <c r="H682" s="3">
        <v>45165</v>
      </c>
      <c r="I682" s="4" t="s">
        <v>696</v>
      </c>
      <c r="J682" s="4" t="s">
        <v>20</v>
      </c>
      <c r="K682" s="4" t="str" cm="1">
        <f t="array" ref="K682">_xlfn.IFS(L682&gt;50,"Senior", L682&gt;=30,"Adult", L682&lt;30,"Young Adult")</f>
        <v>Senior</v>
      </c>
      <c r="L682" s="4">
        <v>62</v>
      </c>
      <c r="M682" s="4" t="s">
        <v>26</v>
      </c>
      <c r="N682" s="4">
        <v>3</v>
      </c>
      <c r="O682" s="5">
        <v>50</v>
      </c>
      <c r="P682">
        <f t="shared" si="110"/>
        <v>150</v>
      </c>
      <c r="Q682" s="14" t="e">
        <f>P682*#REF!</f>
        <v>#REF!</v>
      </c>
      <c r="R682" s="14" t="e">
        <f>P682*#REF!</f>
        <v>#REF!</v>
      </c>
    </row>
    <row r="683" spans="1:18" x14ac:dyDescent="0.35">
      <c r="A683" s="2">
        <v>672</v>
      </c>
      <c r="B683" s="4">
        <f t="shared" si="104"/>
        <v>1</v>
      </c>
      <c r="C683" s="4">
        <f t="shared" si="105"/>
        <v>8</v>
      </c>
      <c r="D683" s="4">
        <f t="shared" si="106"/>
        <v>2023</v>
      </c>
      <c r="E683" s="4" t="str">
        <f t="shared" si="107"/>
        <v>Tuesday</v>
      </c>
      <c r="F683" s="4" t="str">
        <f t="shared" si="108"/>
        <v>August</v>
      </c>
      <c r="G683" s="4" t="str">
        <f t="shared" si="109"/>
        <v>2023</v>
      </c>
      <c r="H683" s="3">
        <v>45139</v>
      </c>
      <c r="I683" s="4" t="s">
        <v>697</v>
      </c>
      <c r="J683" s="4" t="s">
        <v>23</v>
      </c>
      <c r="K683" s="4" t="str" cm="1">
        <f t="array" ref="K683">_xlfn.IFS(L683&gt;50,"Senior", L683&gt;=30,"Adult", L683&lt;30,"Young Adult")</f>
        <v>Adult</v>
      </c>
      <c r="L683" s="4">
        <v>34</v>
      </c>
      <c r="M683" s="4" t="s">
        <v>21</v>
      </c>
      <c r="N683" s="4">
        <v>2</v>
      </c>
      <c r="O683" s="5">
        <v>50</v>
      </c>
      <c r="P683">
        <f t="shared" si="110"/>
        <v>100</v>
      </c>
      <c r="Q683" s="14">
        <f>P683*$I$4</f>
        <v>1.5</v>
      </c>
      <c r="R683" s="14">
        <f>P683*$I$5</f>
        <v>2</v>
      </c>
    </row>
    <row r="684" spans="1:18" x14ac:dyDescent="0.35">
      <c r="A684" s="2">
        <v>673</v>
      </c>
      <c r="B684" s="4">
        <f t="shared" si="104"/>
        <v>1</v>
      </c>
      <c r="C684" s="4">
        <f t="shared" si="105"/>
        <v>2</v>
      </c>
      <c r="D684" s="4">
        <f t="shared" si="106"/>
        <v>2023</v>
      </c>
      <c r="E684" s="4" t="str">
        <f t="shared" si="107"/>
        <v>Wednesday</v>
      </c>
      <c r="F684" s="4" t="str">
        <f t="shared" si="108"/>
        <v>February</v>
      </c>
      <c r="G684" s="4" t="str">
        <f t="shared" si="109"/>
        <v>2023</v>
      </c>
      <c r="H684" s="3">
        <v>44958</v>
      </c>
      <c r="I684" s="4" t="s">
        <v>698</v>
      </c>
      <c r="J684" s="4" t="s">
        <v>23</v>
      </c>
      <c r="K684" s="4" t="str" cm="1">
        <f t="array" ref="K684">_xlfn.IFS(L684&gt;50,"Senior", L684&gt;=30,"Adult", L684&lt;30,"Young Adult")</f>
        <v>Adult</v>
      </c>
      <c r="L684" s="4">
        <v>43</v>
      </c>
      <c r="M684" s="4" t="s">
        <v>24</v>
      </c>
      <c r="N684" s="4">
        <v>3</v>
      </c>
      <c r="O684" s="5">
        <v>500</v>
      </c>
      <c r="P684">
        <f t="shared" si="110"/>
        <v>1500</v>
      </c>
      <c r="Q684" s="14" t="e">
        <f>P684*#REF!</f>
        <v>#REF!</v>
      </c>
      <c r="R684" s="14" t="e">
        <f>P684*#REF!</f>
        <v>#REF!</v>
      </c>
    </row>
    <row r="685" spans="1:18" x14ac:dyDescent="0.35">
      <c r="A685" s="2">
        <v>674</v>
      </c>
      <c r="B685" s="4">
        <f t="shared" si="104"/>
        <v>16</v>
      </c>
      <c r="C685" s="4">
        <f t="shared" si="105"/>
        <v>4</v>
      </c>
      <c r="D685" s="4">
        <f t="shared" si="106"/>
        <v>2023</v>
      </c>
      <c r="E685" s="4" t="str">
        <f t="shared" si="107"/>
        <v>Sunday</v>
      </c>
      <c r="F685" s="4" t="str">
        <f t="shared" si="108"/>
        <v>April</v>
      </c>
      <c r="G685" s="4" t="str">
        <f t="shared" si="109"/>
        <v>2023</v>
      </c>
      <c r="H685" s="3">
        <v>45032</v>
      </c>
      <c r="I685" s="4" t="s">
        <v>699</v>
      </c>
      <c r="J685" s="4" t="s">
        <v>23</v>
      </c>
      <c r="K685" s="4" t="str" cm="1">
        <f t="array" ref="K685">_xlfn.IFS(L685&gt;50,"Senior", L685&gt;=30,"Adult", L685&lt;30,"Young Adult")</f>
        <v>Adult</v>
      </c>
      <c r="L685" s="4">
        <v>38</v>
      </c>
      <c r="M685" s="4" t="s">
        <v>24</v>
      </c>
      <c r="N685" s="4">
        <v>1</v>
      </c>
      <c r="O685" s="5">
        <v>300</v>
      </c>
      <c r="P685">
        <f t="shared" si="110"/>
        <v>300</v>
      </c>
      <c r="Q685" s="14" t="e">
        <f>P685*#REF!</f>
        <v>#REF!</v>
      </c>
      <c r="R685" s="14" t="e">
        <f>P685*#REF!</f>
        <v>#REF!</v>
      </c>
    </row>
    <row r="686" spans="1:18" x14ac:dyDescent="0.35">
      <c r="A686" s="2">
        <v>675</v>
      </c>
      <c r="B686" s="4">
        <f t="shared" si="104"/>
        <v>4</v>
      </c>
      <c r="C686" s="4">
        <f t="shared" si="105"/>
        <v>8</v>
      </c>
      <c r="D686" s="4">
        <f t="shared" si="106"/>
        <v>2023</v>
      </c>
      <c r="E686" s="4" t="str">
        <f t="shared" si="107"/>
        <v>Friday</v>
      </c>
      <c r="F686" s="4" t="str">
        <f t="shared" si="108"/>
        <v>August</v>
      </c>
      <c r="G686" s="4" t="str">
        <f t="shared" si="109"/>
        <v>2023</v>
      </c>
      <c r="H686" s="3">
        <v>45142</v>
      </c>
      <c r="I686" s="4" t="s">
        <v>700</v>
      </c>
      <c r="J686" s="4" t="s">
        <v>23</v>
      </c>
      <c r="K686" s="4" t="str" cm="1">
        <f t="array" ref="K686">_xlfn.IFS(L686&gt;50,"Senior", L686&gt;=30,"Adult", L686&lt;30,"Young Adult")</f>
        <v>Adult</v>
      </c>
      <c r="L686" s="4">
        <v>45</v>
      </c>
      <c r="M686" s="4" t="s">
        <v>24</v>
      </c>
      <c r="N686" s="4">
        <v>2</v>
      </c>
      <c r="O686" s="5">
        <v>30</v>
      </c>
      <c r="P686">
        <f t="shared" si="110"/>
        <v>60</v>
      </c>
      <c r="Q686" s="14" t="e">
        <f>P686*#REF!</f>
        <v>#REF!</v>
      </c>
      <c r="R686" s="14" t="e">
        <f>P686*#REF!</f>
        <v>#REF!</v>
      </c>
    </row>
    <row r="687" spans="1:18" x14ac:dyDescent="0.35">
      <c r="A687" s="2">
        <v>676</v>
      </c>
      <c r="B687" s="4">
        <f t="shared" si="104"/>
        <v>19</v>
      </c>
      <c r="C687" s="4">
        <f t="shared" si="105"/>
        <v>7</v>
      </c>
      <c r="D687" s="4">
        <f t="shared" si="106"/>
        <v>2023</v>
      </c>
      <c r="E687" s="4" t="str">
        <f t="shared" si="107"/>
        <v>Wednesday</v>
      </c>
      <c r="F687" s="4" t="str">
        <f t="shared" si="108"/>
        <v>July</v>
      </c>
      <c r="G687" s="4" t="str">
        <f t="shared" si="109"/>
        <v>2023</v>
      </c>
      <c r="H687" s="3">
        <v>45126</v>
      </c>
      <c r="I687" s="4" t="s">
        <v>701</v>
      </c>
      <c r="J687" s="4" t="s">
        <v>20</v>
      </c>
      <c r="K687" s="4" t="str" cm="1">
        <f t="array" ref="K687">_xlfn.IFS(L687&gt;50,"Senior", L687&gt;=30,"Adult", L687&lt;30,"Young Adult")</f>
        <v>Senior</v>
      </c>
      <c r="L687" s="4">
        <v>63</v>
      </c>
      <c r="M687" s="4" t="s">
        <v>26</v>
      </c>
      <c r="N687" s="4">
        <v>3</v>
      </c>
      <c r="O687" s="5">
        <v>500</v>
      </c>
      <c r="P687">
        <f t="shared" si="110"/>
        <v>1500</v>
      </c>
      <c r="Q687" s="14" t="e">
        <f>P687*#REF!</f>
        <v>#REF!</v>
      </c>
      <c r="R687" s="14" t="e">
        <f>P687*#REF!</f>
        <v>#REF!</v>
      </c>
    </row>
    <row r="688" spans="1:18" x14ac:dyDescent="0.35">
      <c r="A688" s="2">
        <v>677</v>
      </c>
      <c r="B688" s="4">
        <f t="shared" si="104"/>
        <v>27</v>
      </c>
      <c r="C688" s="4">
        <f t="shared" si="105"/>
        <v>10</v>
      </c>
      <c r="D688" s="4">
        <f t="shared" si="106"/>
        <v>2023</v>
      </c>
      <c r="E688" s="4" t="str">
        <f t="shared" si="107"/>
        <v>Friday</v>
      </c>
      <c r="F688" s="4" t="str">
        <f t="shared" si="108"/>
        <v>October</v>
      </c>
      <c r="G688" s="4" t="str">
        <f t="shared" si="109"/>
        <v>2023</v>
      </c>
      <c r="H688" s="3">
        <v>45226</v>
      </c>
      <c r="I688" s="4" t="s">
        <v>702</v>
      </c>
      <c r="J688" s="4" t="s">
        <v>23</v>
      </c>
      <c r="K688" s="4" t="str" cm="1">
        <f t="array" ref="K688">_xlfn.IFS(L688&gt;50,"Senior", L688&gt;=30,"Adult", L688&lt;30,"Young Adult")</f>
        <v>Young Adult</v>
      </c>
      <c r="L688" s="4">
        <v>19</v>
      </c>
      <c r="M688" s="4" t="s">
        <v>21</v>
      </c>
      <c r="N688" s="4">
        <v>3</v>
      </c>
      <c r="O688" s="5">
        <v>500</v>
      </c>
      <c r="P688">
        <f t="shared" si="110"/>
        <v>1500</v>
      </c>
      <c r="Q688" s="14">
        <f>P688*$I$4</f>
        <v>22.5</v>
      </c>
      <c r="R688" s="14">
        <f>P688*$I$5</f>
        <v>30</v>
      </c>
    </row>
    <row r="689" spans="1:18" x14ac:dyDescent="0.35">
      <c r="A689" s="2">
        <v>678</v>
      </c>
      <c r="B689" s="4">
        <f t="shared" si="104"/>
        <v>23</v>
      </c>
      <c r="C689" s="4">
        <f t="shared" si="105"/>
        <v>12</v>
      </c>
      <c r="D689" s="4">
        <f t="shared" si="106"/>
        <v>2023</v>
      </c>
      <c r="E689" s="4" t="str">
        <f t="shared" si="107"/>
        <v>Saturday</v>
      </c>
      <c r="F689" s="4" t="str">
        <f t="shared" si="108"/>
        <v>December</v>
      </c>
      <c r="G689" s="4" t="str">
        <f t="shared" si="109"/>
        <v>2023</v>
      </c>
      <c r="H689" s="3">
        <v>45283</v>
      </c>
      <c r="I689" s="4" t="s">
        <v>703</v>
      </c>
      <c r="J689" s="4" t="s">
        <v>23</v>
      </c>
      <c r="K689" s="4" t="str" cm="1">
        <f t="array" ref="K689">_xlfn.IFS(L689&gt;50,"Senior", L689&gt;=30,"Adult", L689&lt;30,"Young Adult")</f>
        <v>Senior</v>
      </c>
      <c r="L689" s="4">
        <v>60</v>
      </c>
      <c r="M689" s="4" t="s">
        <v>26</v>
      </c>
      <c r="N689" s="4">
        <v>3</v>
      </c>
      <c r="O689" s="5">
        <v>300</v>
      </c>
      <c r="P689">
        <f t="shared" si="110"/>
        <v>900</v>
      </c>
      <c r="Q689" s="14" t="e">
        <f>P689*#REF!</f>
        <v>#REF!</v>
      </c>
      <c r="R689" s="14" t="e">
        <f>P689*#REF!</f>
        <v>#REF!</v>
      </c>
    </row>
    <row r="690" spans="1:18" x14ac:dyDescent="0.35">
      <c r="A690" s="2">
        <v>679</v>
      </c>
      <c r="B690" s="4">
        <f t="shared" si="104"/>
        <v>11</v>
      </c>
      <c r="C690" s="4">
        <f t="shared" si="105"/>
        <v>1</v>
      </c>
      <c r="D690" s="4">
        <f t="shared" si="106"/>
        <v>2023</v>
      </c>
      <c r="E690" s="4" t="str">
        <f t="shared" si="107"/>
        <v>Wednesday</v>
      </c>
      <c r="F690" s="4" t="str">
        <f t="shared" si="108"/>
        <v>January</v>
      </c>
      <c r="G690" s="4" t="str">
        <f t="shared" si="109"/>
        <v>2023</v>
      </c>
      <c r="H690" s="3">
        <v>44937</v>
      </c>
      <c r="I690" s="4" t="s">
        <v>704</v>
      </c>
      <c r="J690" s="4" t="s">
        <v>23</v>
      </c>
      <c r="K690" s="4" t="str" cm="1">
        <f t="array" ref="K690">_xlfn.IFS(L690&gt;50,"Senior", L690&gt;=30,"Adult", L690&lt;30,"Young Adult")</f>
        <v>Young Adult</v>
      </c>
      <c r="L690" s="4">
        <v>18</v>
      </c>
      <c r="M690" s="4" t="s">
        <v>21</v>
      </c>
      <c r="N690" s="4">
        <v>3</v>
      </c>
      <c r="O690" s="5">
        <v>30</v>
      </c>
      <c r="P690">
        <f t="shared" si="110"/>
        <v>90</v>
      </c>
      <c r="Q690" s="14">
        <f>P690*$I$4</f>
        <v>1.3499999999999999</v>
      </c>
      <c r="R690" s="14">
        <f>P690*$I$5</f>
        <v>1.8</v>
      </c>
    </row>
    <row r="691" spans="1:18" x14ac:dyDescent="0.35">
      <c r="A691" s="2">
        <v>680</v>
      </c>
      <c r="B691" s="4">
        <f t="shared" si="104"/>
        <v>22</v>
      </c>
      <c r="C691" s="4">
        <f t="shared" si="105"/>
        <v>10</v>
      </c>
      <c r="D691" s="4">
        <f t="shared" si="106"/>
        <v>2023</v>
      </c>
      <c r="E691" s="4" t="str">
        <f t="shared" si="107"/>
        <v>Sunday</v>
      </c>
      <c r="F691" s="4" t="str">
        <f t="shared" si="108"/>
        <v>October</v>
      </c>
      <c r="G691" s="4" t="str">
        <f t="shared" si="109"/>
        <v>2023</v>
      </c>
      <c r="H691" s="3">
        <v>45221</v>
      </c>
      <c r="I691" s="4" t="s">
        <v>705</v>
      </c>
      <c r="J691" s="4" t="s">
        <v>23</v>
      </c>
      <c r="K691" s="4" t="str" cm="1">
        <f t="array" ref="K691">_xlfn.IFS(L691&gt;50,"Senior", L691&gt;=30,"Adult", L691&lt;30,"Young Adult")</f>
        <v>Senior</v>
      </c>
      <c r="L691" s="4">
        <v>53</v>
      </c>
      <c r="M691" s="4" t="s">
        <v>24</v>
      </c>
      <c r="N691" s="4">
        <v>3</v>
      </c>
      <c r="O691" s="5">
        <v>300</v>
      </c>
      <c r="P691">
        <f t="shared" si="110"/>
        <v>900</v>
      </c>
      <c r="Q691" s="14" t="e">
        <f>P691*#REF!</f>
        <v>#REF!</v>
      </c>
      <c r="R691" s="14" t="e">
        <f>P691*#REF!</f>
        <v>#REF!</v>
      </c>
    </row>
    <row r="692" spans="1:18" x14ac:dyDescent="0.35">
      <c r="A692" s="2">
        <v>681</v>
      </c>
      <c r="B692" s="4">
        <f t="shared" si="104"/>
        <v>14</v>
      </c>
      <c r="C692" s="4">
        <f t="shared" si="105"/>
        <v>7</v>
      </c>
      <c r="D692" s="4">
        <f t="shared" si="106"/>
        <v>2023</v>
      </c>
      <c r="E692" s="4" t="str">
        <f t="shared" si="107"/>
        <v>Friday</v>
      </c>
      <c r="F692" s="4" t="str">
        <f t="shared" si="108"/>
        <v>July</v>
      </c>
      <c r="G692" s="4" t="str">
        <f t="shared" si="109"/>
        <v>2023</v>
      </c>
      <c r="H692" s="3">
        <v>45121</v>
      </c>
      <c r="I692" s="4" t="s">
        <v>706</v>
      </c>
      <c r="J692" s="4" t="s">
        <v>23</v>
      </c>
      <c r="K692" s="4" t="str" cm="1">
        <f t="array" ref="K692">_xlfn.IFS(L692&gt;50,"Senior", L692&gt;=30,"Adult", L692&lt;30,"Young Adult")</f>
        <v>Adult</v>
      </c>
      <c r="L692" s="4">
        <v>43</v>
      </c>
      <c r="M692" s="4" t="s">
        <v>26</v>
      </c>
      <c r="N692" s="4">
        <v>2</v>
      </c>
      <c r="O692" s="5">
        <v>30</v>
      </c>
      <c r="P692">
        <f t="shared" si="110"/>
        <v>60</v>
      </c>
      <c r="Q692" s="14" t="e">
        <f>P692*#REF!</f>
        <v>#REF!</v>
      </c>
      <c r="R692" s="14" t="e">
        <f>P692*#REF!</f>
        <v>#REF!</v>
      </c>
    </row>
    <row r="693" spans="1:18" x14ac:dyDescent="0.35">
      <c r="A693" s="2">
        <v>682</v>
      </c>
      <c r="B693" s="4">
        <f t="shared" si="104"/>
        <v>2</v>
      </c>
      <c r="C693" s="4">
        <f t="shared" si="105"/>
        <v>9</v>
      </c>
      <c r="D693" s="4">
        <f t="shared" si="106"/>
        <v>2023</v>
      </c>
      <c r="E693" s="4" t="str">
        <f t="shared" si="107"/>
        <v>Saturday</v>
      </c>
      <c r="F693" s="4" t="str">
        <f t="shared" si="108"/>
        <v>September</v>
      </c>
      <c r="G693" s="4" t="str">
        <f t="shared" si="109"/>
        <v>2023</v>
      </c>
      <c r="H693" s="3">
        <v>45171</v>
      </c>
      <c r="I693" s="4" t="s">
        <v>707</v>
      </c>
      <c r="J693" s="4" t="s">
        <v>20</v>
      </c>
      <c r="K693" s="4" t="str" cm="1">
        <f t="array" ref="K693">_xlfn.IFS(L693&gt;50,"Senior", L693&gt;=30,"Adult", L693&lt;30,"Young Adult")</f>
        <v>Adult</v>
      </c>
      <c r="L693" s="4">
        <v>46</v>
      </c>
      <c r="M693" s="4" t="s">
        <v>21</v>
      </c>
      <c r="N693" s="4">
        <v>4</v>
      </c>
      <c r="O693" s="5">
        <v>300</v>
      </c>
      <c r="P693">
        <f t="shared" si="110"/>
        <v>1200</v>
      </c>
      <c r="Q693" s="14">
        <f t="shared" ref="Q693:Q694" si="113">P693*$I$4</f>
        <v>18</v>
      </c>
      <c r="R693" s="14">
        <f t="shared" ref="R693:R694" si="114">P693*$I$5</f>
        <v>24</v>
      </c>
    </row>
    <row r="694" spans="1:18" x14ac:dyDescent="0.35">
      <c r="A694" s="2">
        <v>683</v>
      </c>
      <c r="B694" s="4">
        <f t="shared" si="104"/>
        <v>4</v>
      </c>
      <c r="C694" s="4">
        <f t="shared" si="105"/>
        <v>1</v>
      </c>
      <c r="D694" s="4">
        <f t="shared" si="106"/>
        <v>2023</v>
      </c>
      <c r="E694" s="4" t="str">
        <f t="shared" si="107"/>
        <v>Wednesday</v>
      </c>
      <c r="F694" s="4" t="str">
        <f t="shared" si="108"/>
        <v>January</v>
      </c>
      <c r="G694" s="4" t="str">
        <f t="shared" si="109"/>
        <v>2023</v>
      </c>
      <c r="H694" s="3">
        <v>44930</v>
      </c>
      <c r="I694" s="4" t="s">
        <v>708</v>
      </c>
      <c r="J694" s="4" t="s">
        <v>20</v>
      </c>
      <c r="K694" s="4" t="str" cm="1">
        <f t="array" ref="K694">_xlfn.IFS(L694&gt;50,"Senior", L694&gt;=30,"Adult", L694&lt;30,"Young Adult")</f>
        <v>Adult</v>
      </c>
      <c r="L694" s="4">
        <v>38</v>
      </c>
      <c r="M694" s="4" t="s">
        <v>21</v>
      </c>
      <c r="N694" s="4">
        <v>2</v>
      </c>
      <c r="O694" s="5">
        <v>500</v>
      </c>
      <c r="P694">
        <f t="shared" si="110"/>
        <v>1000</v>
      </c>
      <c r="Q694" s="14">
        <f t="shared" si="113"/>
        <v>15</v>
      </c>
      <c r="R694" s="14">
        <f t="shared" si="114"/>
        <v>20</v>
      </c>
    </row>
    <row r="695" spans="1:18" x14ac:dyDescent="0.35">
      <c r="A695" s="2">
        <v>684</v>
      </c>
      <c r="B695" s="4">
        <f t="shared" si="104"/>
        <v>30</v>
      </c>
      <c r="C695" s="4">
        <f t="shared" si="105"/>
        <v>6</v>
      </c>
      <c r="D695" s="4">
        <f t="shared" si="106"/>
        <v>2023</v>
      </c>
      <c r="E695" s="4" t="str">
        <f t="shared" si="107"/>
        <v>Friday</v>
      </c>
      <c r="F695" s="4" t="str">
        <f t="shared" si="108"/>
        <v>June</v>
      </c>
      <c r="G695" s="4" t="str">
        <f t="shared" si="109"/>
        <v>2023</v>
      </c>
      <c r="H695" s="3">
        <v>45107</v>
      </c>
      <c r="I695" s="4" t="s">
        <v>709</v>
      </c>
      <c r="J695" s="4" t="s">
        <v>23</v>
      </c>
      <c r="K695" s="4" t="str" cm="1">
        <f t="array" ref="K695">_xlfn.IFS(L695&gt;50,"Senior", L695&gt;=30,"Adult", L695&lt;30,"Young Adult")</f>
        <v>Young Adult</v>
      </c>
      <c r="L695" s="4">
        <v>28</v>
      </c>
      <c r="M695" s="4" t="s">
        <v>24</v>
      </c>
      <c r="N695" s="4">
        <v>2</v>
      </c>
      <c r="O695" s="5">
        <v>500</v>
      </c>
      <c r="P695">
        <f t="shared" si="110"/>
        <v>1000</v>
      </c>
      <c r="Q695" s="14" t="e">
        <f>P695*#REF!</f>
        <v>#REF!</v>
      </c>
      <c r="R695" s="14" t="e">
        <f>P695*#REF!</f>
        <v>#REF!</v>
      </c>
    </row>
    <row r="696" spans="1:18" x14ac:dyDescent="0.35">
      <c r="A696" s="2">
        <v>685</v>
      </c>
      <c r="B696" s="4">
        <f t="shared" si="104"/>
        <v>2</v>
      </c>
      <c r="C696" s="4">
        <f t="shared" si="105"/>
        <v>6</v>
      </c>
      <c r="D696" s="4">
        <f t="shared" si="106"/>
        <v>2023</v>
      </c>
      <c r="E696" s="4" t="str">
        <f t="shared" si="107"/>
        <v>Friday</v>
      </c>
      <c r="F696" s="4" t="str">
        <f t="shared" si="108"/>
        <v>June</v>
      </c>
      <c r="G696" s="4" t="str">
        <f t="shared" si="109"/>
        <v>2023</v>
      </c>
      <c r="H696" s="3">
        <v>45079</v>
      </c>
      <c r="I696" s="4" t="s">
        <v>710</v>
      </c>
      <c r="J696" s="4" t="s">
        <v>20</v>
      </c>
      <c r="K696" s="4" t="str" cm="1">
        <f t="array" ref="K696">_xlfn.IFS(L696&gt;50,"Senior", L696&gt;=30,"Adult", L696&lt;30,"Young Adult")</f>
        <v>Senior</v>
      </c>
      <c r="L696" s="4">
        <v>57</v>
      </c>
      <c r="M696" s="4" t="s">
        <v>26</v>
      </c>
      <c r="N696" s="4">
        <v>2</v>
      </c>
      <c r="O696" s="5">
        <v>25</v>
      </c>
      <c r="P696">
        <f t="shared" si="110"/>
        <v>50</v>
      </c>
      <c r="Q696" s="14" t="e">
        <f>P696*#REF!</f>
        <v>#REF!</v>
      </c>
      <c r="R696" s="14" t="e">
        <f>P696*#REF!</f>
        <v>#REF!</v>
      </c>
    </row>
    <row r="697" spans="1:18" x14ac:dyDescent="0.35">
      <c r="A697" s="2">
        <v>686</v>
      </c>
      <c r="B697" s="4">
        <f t="shared" si="104"/>
        <v>19</v>
      </c>
      <c r="C697" s="4">
        <f t="shared" si="105"/>
        <v>7</v>
      </c>
      <c r="D697" s="4">
        <f t="shared" si="106"/>
        <v>2023</v>
      </c>
      <c r="E697" s="4" t="str">
        <f t="shared" si="107"/>
        <v>Wednesday</v>
      </c>
      <c r="F697" s="4" t="str">
        <f t="shared" si="108"/>
        <v>July</v>
      </c>
      <c r="G697" s="4" t="str">
        <f t="shared" si="109"/>
        <v>2023</v>
      </c>
      <c r="H697" s="3">
        <v>45126</v>
      </c>
      <c r="I697" s="4" t="s">
        <v>711</v>
      </c>
      <c r="J697" s="4" t="s">
        <v>23</v>
      </c>
      <c r="K697" s="4" t="str" cm="1">
        <f t="array" ref="K697">_xlfn.IFS(L697&gt;50,"Senior", L697&gt;=30,"Adult", L697&lt;30,"Young Adult")</f>
        <v>Young Adult</v>
      </c>
      <c r="L697" s="4">
        <v>28</v>
      </c>
      <c r="M697" s="4" t="s">
        <v>26</v>
      </c>
      <c r="N697" s="4">
        <v>4</v>
      </c>
      <c r="O697" s="5">
        <v>50</v>
      </c>
      <c r="P697">
        <f t="shared" si="110"/>
        <v>200</v>
      </c>
      <c r="Q697" s="14" t="e">
        <f>P697*#REF!</f>
        <v>#REF!</v>
      </c>
      <c r="R697" s="14" t="e">
        <f>P697*#REF!</f>
        <v>#REF!</v>
      </c>
    </row>
    <row r="698" spans="1:18" x14ac:dyDescent="0.35">
      <c r="A698" s="2">
        <v>687</v>
      </c>
      <c r="B698" s="4">
        <f t="shared" si="104"/>
        <v>3</v>
      </c>
      <c r="C698" s="4">
        <f t="shared" si="105"/>
        <v>8</v>
      </c>
      <c r="D698" s="4">
        <f t="shared" si="106"/>
        <v>2023</v>
      </c>
      <c r="E698" s="4" t="str">
        <f t="shared" si="107"/>
        <v>Thursday</v>
      </c>
      <c r="F698" s="4" t="str">
        <f t="shared" si="108"/>
        <v>August</v>
      </c>
      <c r="G698" s="4" t="str">
        <f t="shared" si="109"/>
        <v>2023</v>
      </c>
      <c r="H698" s="3">
        <v>45141</v>
      </c>
      <c r="I698" s="4" t="s">
        <v>712</v>
      </c>
      <c r="J698" s="4" t="s">
        <v>23</v>
      </c>
      <c r="K698" s="4" t="str" cm="1">
        <f t="array" ref="K698">_xlfn.IFS(L698&gt;50,"Senior", L698&gt;=30,"Adult", L698&lt;30,"Young Adult")</f>
        <v>Senior</v>
      </c>
      <c r="L698" s="4">
        <v>53</v>
      </c>
      <c r="M698" s="4" t="s">
        <v>26</v>
      </c>
      <c r="N698" s="4">
        <v>1</v>
      </c>
      <c r="O698" s="5">
        <v>300</v>
      </c>
      <c r="P698">
        <f t="shared" si="110"/>
        <v>300</v>
      </c>
      <c r="Q698" s="14" t="e">
        <f>P698*#REF!</f>
        <v>#REF!</v>
      </c>
      <c r="R698" s="14" t="e">
        <f>P698*#REF!</f>
        <v>#REF!</v>
      </c>
    </row>
    <row r="699" spans="1:18" x14ac:dyDescent="0.35">
      <c r="A699" s="2">
        <v>688</v>
      </c>
      <c r="B699" s="4">
        <f t="shared" si="104"/>
        <v>3</v>
      </c>
      <c r="C699" s="4">
        <f t="shared" si="105"/>
        <v>10</v>
      </c>
      <c r="D699" s="4">
        <f t="shared" si="106"/>
        <v>2023</v>
      </c>
      <c r="E699" s="4" t="str">
        <f t="shared" si="107"/>
        <v>Tuesday</v>
      </c>
      <c r="F699" s="4" t="str">
        <f t="shared" si="108"/>
        <v>October</v>
      </c>
      <c r="G699" s="4" t="str">
        <f t="shared" si="109"/>
        <v>2023</v>
      </c>
      <c r="H699" s="3">
        <v>45202</v>
      </c>
      <c r="I699" s="4" t="s">
        <v>713</v>
      </c>
      <c r="J699" s="4" t="s">
        <v>20</v>
      </c>
      <c r="K699" s="4" t="str" cm="1">
        <f t="array" ref="K699">_xlfn.IFS(L699&gt;50,"Senior", L699&gt;=30,"Adult", L699&lt;30,"Young Adult")</f>
        <v>Senior</v>
      </c>
      <c r="L699" s="4">
        <v>56</v>
      </c>
      <c r="M699" s="4" t="s">
        <v>24</v>
      </c>
      <c r="N699" s="4">
        <v>4</v>
      </c>
      <c r="O699" s="5">
        <v>25</v>
      </c>
      <c r="P699">
        <f t="shared" si="110"/>
        <v>100</v>
      </c>
      <c r="Q699" s="14" t="e">
        <f>P699*#REF!</f>
        <v>#REF!</v>
      </c>
      <c r="R699" s="14" t="e">
        <f>P699*#REF!</f>
        <v>#REF!</v>
      </c>
    </row>
    <row r="700" spans="1:18" x14ac:dyDescent="0.35">
      <c r="A700" s="2">
        <v>689</v>
      </c>
      <c r="B700" s="4">
        <f t="shared" si="104"/>
        <v>7</v>
      </c>
      <c r="C700" s="4">
        <f t="shared" si="105"/>
        <v>10</v>
      </c>
      <c r="D700" s="4">
        <f t="shared" si="106"/>
        <v>2023</v>
      </c>
      <c r="E700" s="4" t="str">
        <f t="shared" si="107"/>
        <v>Saturday</v>
      </c>
      <c r="F700" s="4" t="str">
        <f t="shared" si="108"/>
        <v>October</v>
      </c>
      <c r="G700" s="4" t="str">
        <f t="shared" si="109"/>
        <v>2023</v>
      </c>
      <c r="H700" s="3">
        <v>45206</v>
      </c>
      <c r="I700" s="4" t="s">
        <v>714</v>
      </c>
      <c r="J700" s="4" t="s">
        <v>20</v>
      </c>
      <c r="K700" s="4" t="str" cm="1">
        <f t="array" ref="K700">_xlfn.IFS(L700&gt;50,"Senior", L700&gt;=30,"Adult", L700&lt;30,"Young Adult")</f>
        <v>Senior</v>
      </c>
      <c r="L700" s="4">
        <v>57</v>
      </c>
      <c r="M700" s="4" t="s">
        <v>26</v>
      </c>
      <c r="N700" s="4">
        <v>2</v>
      </c>
      <c r="O700" s="5">
        <v>50</v>
      </c>
      <c r="P700">
        <f t="shared" si="110"/>
        <v>100</v>
      </c>
      <c r="Q700" s="14" t="e">
        <f>P700*#REF!</f>
        <v>#REF!</v>
      </c>
      <c r="R700" s="14" t="e">
        <f>P700*#REF!</f>
        <v>#REF!</v>
      </c>
    </row>
    <row r="701" spans="1:18" x14ac:dyDescent="0.35">
      <c r="A701" s="2">
        <v>690</v>
      </c>
      <c r="B701" s="4">
        <f t="shared" si="104"/>
        <v>5</v>
      </c>
      <c r="C701" s="4">
        <f t="shared" si="105"/>
        <v>11</v>
      </c>
      <c r="D701" s="4">
        <f t="shared" si="106"/>
        <v>2023</v>
      </c>
      <c r="E701" s="4" t="str">
        <f t="shared" si="107"/>
        <v>Sunday</v>
      </c>
      <c r="F701" s="4" t="str">
        <f t="shared" si="108"/>
        <v>November</v>
      </c>
      <c r="G701" s="4" t="str">
        <f t="shared" si="109"/>
        <v>2023</v>
      </c>
      <c r="H701" s="3">
        <v>45235</v>
      </c>
      <c r="I701" s="4" t="s">
        <v>715</v>
      </c>
      <c r="J701" s="4" t="s">
        <v>23</v>
      </c>
      <c r="K701" s="4" t="str" cm="1">
        <f t="array" ref="K701">_xlfn.IFS(L701&gt;50,"Senior", L701&gt;=30,"Adult", L701&lt;30,"Young Adult")</f>
        <v>Senior</v>
      </c>
      <c r="L701" s="4">
        <v>52</v>
      </c>
      <c r="M701" s="4" t="s">
        <v>24</v>
      </c>
      <c r="N701" s="4">
        <v>3</v>
      </c>
      <c r="O701" s="5">
        <v>300</v>
      </c>
      <c r="P701">
        <f t="shared" si="110"/>
        <v>900</v>
      </c>
      <c r="Q701" s="14" t="e">
        <f>P701*#REF!</f>
        <v>#REF!</v>
      </c>
      <c r="R701" s="14" t="e">
        <f>P701*#REF!</f>
        <v>#REF!</v>
      </c>
    </row>
    <row r="702" spans="1:18" x14ac:dyDescent="0.35">
      <c r="A702" s="2">
        <v>691</v>
      </c>
      <c r="B702" s="4">
        <f t="shared" si="104"/>
        <v>23</v>
      </c>
      <c r="C702" s="4">
        <f t="shared" si="105"/>
        <v>4</v>
      </c>
      <c r="D702" s="4">
        <f t="shared" si="106"/>
        <v>2023</v>
      </c>
      <c r="E702" s="4" t="str">
        <f t="shared" si="107"/>
        <v>Sunday</v>
      </c>
      <c r="F702" s="4" t="str">
        <f t="shared" si="108"/>
        <v>April</v>
      </c>
      <c r="G702" s="4" t="str">
        <f t="shared" si="109"/>
        <v>2023</v>
      </c>
      <c r="H702" s="3">
        <v>45039</v>
      </c>
      <c r="I702" s="4" t="s">
        <v>716</v>
      </c>
      <c r="J702" s="4" t="s">
        <v>23</v>
      </c>
      <c r="K702" s="4" t="str" cm="1">
        <f t="array" ref="K702">_xlfn.IFS(L702&gt;50,"Senior", L702&gt;=30,"Adult", L702&lt;30,"Young Adult")</f>
        <v>Senior</v>
      </c>
      <c r="L702" s="4">
        <v>51</v>
      </c>
      <c r="M702" s="4" t="s">
        <v>24</v>
      </c>
      <c r="N702" s="4">
        <v>3</v>
      </c>
      <c r="O702" s="5">
        <v>30</v>
      </c>
      <c r="P702">
        <f t="shared" si="110"/>
        <v>90</v>
      </c>
      <c r="Q702" s="14" t="e">
        <f>P702*#REF!</f>
        <v>#REF!</v>
      </c>
      <c r="R702" s="14" t="e">
        <f>P702*#REF!</f>
        <v>#REF!</v>
      </c>
    </row>
    <row r="703" spans="1:18" x14ac:dyDescent="0.35">
      <c r="A703" s="2">
        <v>692</v>
      </c>
      <c r="B703" s="4">
        <f t="shared" si="104"/>
        <v>7</v>
      </c>
      <c r="C703" s="4">
        <f t="shared" si="105"/>
        <v>9</v>
      </c>
      <c r="D703" s="4">
        <f t="shared" si="106"/>
        <v>2023</v>
      </c>
      <c r="E703" s="4" t="str">
        <f t="shared" si="107"/>
        <v>Thursday</v>
      </c>
      <c r="F703" s="4" t="str">
        <f t="shared" si="108"/>
        <v>September</v>
      </c>
      <c r="G703" s="4" t="str">
        <f t="shared" si="109"/>
        <v>2023</v>
      </c>
      <c r="H703" s="3">
        <v>45176</v>
      </c>
      <c r="I703" s="4" t="s">
        <v>717</v>
      </c>
      <c r="J703" s="4" t="s">
        <v>23</v>
      </c>
      <c r="K703" s="4" t="str" cm="1">
        <f t="array" ref="K703">_xlfn.IFS(L703&gt;50,"Senior", L703&gt;=30,"Adult", L703&lt;30,"Young Adult")</f>
        <v>Senior</v>
      </c>
      <c r="L703" s="4">
        <v>64</v>
      </c>
      <c r="M703" s="4" t="s">
        <v>24</v>
      </c>
      <c r="N703" s="4">
        <v>2</v>
      </c>
      <c r="O703" s="5">
        <v>50</v>
      </c>
      <c r="P703">
        <f t="shared" si="110"/>
        <v>100</v>
      </c>
      <c r="Q703" s="14" t="e">
        <f>P703*#REF!</f>
        <v>#REF!</v>
      </c>
      <c r="R703" s="14" t="e">
        <f>P703*#REF!</f>
        <v>#REF!</v>
      </c>
    </row>
    <row r="704" spans="1:18" x14ac:dyDescent="0.35">
      <c r="A704" s="2">
        <v>693</v>
      </c>
      <c r="B704" s="4">
        <f t="shared" si="104"/>
        <v>23</v>
      </c>
      <c r="C704" s="4">
        <f t="shared" si="105"/>
        <v>4</v>
      </c>
      <c r="D704" s="4">
        <f t="shared" si="106"/>
        <v>2023</v>
      </c>
      <c r="E704" s="4" t="str">
        <f t="shared" si="107"/>
        <v>Sunday</v>
      </c>
      <c r="F704" s="4" t="str">
        <f t="shared" si="108"/>
        <v>April</v>
      </c>
      <c r="G704" s="4" t="str">
        <f t="shared" si="109"/>
        <v>2023</v>
      </c>
      <c r="H704" s="3">
        <v>45039</v>
      </c>
      <c r="I704" s="4" t="s">
        <v>718</v>
      </c>
      <c r="J704" s="4" t="s">
        <v>20</v>
      </c>
      <c r="K704" s="4" t="str" cm="1">
        <f t="array" ref="K704">_xlfn.IFS(L704&gt;50,"Senior", L704&gt;=30,"Adult", L704&lt;30,"Young Adult")</f>
        <v>Adult</v>
      </c>
      <c r="L704" s="4">
        <v>41</v>
      </c>
      <c r="M704" s="4" t="s">
        <v>21</v>
      </c>
      <c r="N704" s="4">
        <v>3</v>
      </c>
      <c r="O704" s="5">
        <v>500</v>
      </c>
      <c r="P704">
        <f t="shared" si="110"/>
        <v>1500</v>
      </c>
      <c r="Q704" s="14">
        <f>P704*$I$4</f>
        <v>22.5</v>
      </c>
      <c r="R704" s="14">
        <f>P704*$I$5</f>
        <v>30</v>
      </c>
    </row>
    <row r="705" spans="1:18" x14ac:dyDescent="0.35">
      <c r="A705" s="2">
        <v>694</v>
      </c>
      <c r="B705" s="4">
        <f t="shared" si="104"/>
        <v>20</v>
      </c>
      <c r="C705" s="4">
        <f t="shared" si="105"/>
        <v>5</v>
      </c>
      <c r="D705" s="4">
        <f t="shared" si="106"/>
        <v>2023</v>
      </c>
      <c r="E705" s="4" t="str">
        <f t="shared" si="107"/>
        <v>Saturday</v>
      </c>
      <c r="F705" s="4" t="str">
        <f t="shared" si="108"/>
        <v>May</v>
      </c>
      <c r="G705" s="4" t="str">
        <f t="shared" si="109"/>
        <v>2023</v>
      </c>
      <c r="H705" s="3">
        <v>45066</v>
      </c>
      <c r="I705" s="4" t="s">
        <v>719</v>
      </c>
      <c r="J705" s="4" t="s">
        <v>23</v>
      </c>
      <c r="K705" s="4" t="str" cm="1">
        <f t="array" ref="K705">_xlfn.IFS(L705&gt;50,"Senior", L705&gt;=30,"Adult", L705&lt;30,"Young Adult")</f>
        <v>Adult</v>
      </c>
      <c r="L705" s="4">
        <v>39</v>
      </c>
      <c r="M705" s="4" t="s">
        <v>26</v>
      </c>
      <c r="N705" s="4">
        <v>2</v>
      </c>
      <c r="O705" s="5">
        <v>25</v>
      </c>
      <c r="P705">
        <f t="shared" si="110"/>
        <v>50</v>
      </c>
      <c r="Q705" s="14" t="e">
        <f>P705*#REF!</f>
        <v>#REF!</v>
      </c>
      <c r="R705" s="14" t="e">
        <f>P705*#REF!</f>
        <v>#REF!</v>
      </c>
    </row>
    <row r="706" spans="1:18" x14ac:dyDescent="0.35">
      <c r="A706" s="2">
        <v>695</v>
      </c>
      <c r="B706" s="4">
        <f t="shared" si="104"/>
        <v>12</v>
      </c>
      <c r="C706" s="4">
        <f t="shared" si="105"/>
        <v>8</v>
      </c>
      <c r="D706" s="4">
        <f t="shared" si="106"/>
        <v>2023</v>
      </c>
      <c r="E706" s="4" t="str">
        <f t="shared" si="107"/>
        <v>Saturday</v>
      </c>
      <c r="F706" s="4" t="str">
        <f t="shared" si="108"/>
        <v>August</v>
      </c>
      <c r="G706" s="4" t="str">
        <f t="shared" si="109"/>
        <v>2023</v>
      </c>
      <c r="H706" s="3">
        <v>45150</v>
      </c>
      <c r="I706" s="4" t="s">
        <v>720</v>
      </c>
      <c r="J706" s="4" t="s">
        <v>23</v>
      </c>
      <c r="K706" s="4" t="str" cm="1">
        <f t="array" ref="K706">_xlfn.IFS(L706&gt;50,"Senior", L706&gt;=30,"Adult", L706&lt;30,"Young Adult")</f>
        <v>Young Adult</v>
      </c>
      <c r="L706" s="4">
        <v>22</v>
      </c>
      <c r="M706" s="4" t="s">
        <v>26</v>
      </c>
      <c r="N706" s="4">
        <v>3</v>
      </c>
      <c r="O706" s="5">
        <v>50</v>
      </c>
      <c r="P706">
        <f t="shared" si="110"/>
        <v>150</v>
      </c>
      <c r="Q706" s="14" t="e">
        <f>P706*#REF!</f>
        <v>#REF!</v>
      </c>
      <c r="R706" s="14" t="e">
        <f>P706*#REF!</f>
        <v>#REF!</v>
      </c>
    </row>
    <row r="707" spans="1:18" x14ac:dyDescent="0.35">
      <c r="A707" s="2">
        <v>696</v>
      </c>
      <c r="B707" s="4">
        <f t="shared" si="104"/>
        <v>6</v>
      </c>
      <c r="C707" s="4">
        <f t="shared" si="105"/>
        <v>9</v>
      </c>
      <c r="D707" s="4">
        <f t="shared" si="106"/>
        <v>2023</v>
      </c>
      <c r="E707" s="4" t="str">
        <f t="shared" si="107"/>
        <v>Wednesday</v>
      </c>
      <c r="F707" s="4" t="str">
        <f t="shared" si="108"/>
        <v>September</v>
      </c>
      <c r="G707" s="4" t="str">
        <f t="shared" si="109"/>
        <v>2023</v>
      </c>
      <c r="H707" s="3">
        <v>45175</v>
      </c>
      <c r="I707" s="4" t="s">
        <v>721</v>
      </c>
      <c r="J707" s="4" t="s">
        <v>23</v>
      </c>
      <c r="K707" s="4" t="str" cm="1">
        <f t="array" ref="K707">_xlfn.IFS(L707&gt;50,"Senior", L707&gt;=30,"Adult", L707&lt;30,"Young Adult")</f>
        <v>Adult</v>
      </c>
      <c r="L707" s="4">
        <v>50</v>
      </c>
      <c r="M707" s="4" t="s">
        <v>24</v>
      </c>
      <c r="N707" s="4">
        <v>4</v>
      </c>
      <c r="O707" s="5">
        <v>50</v>
      </c>
      <c r="P707">
        <f t="shared" si="110"/>
        <v>200</v>
      </c>
      <c r="Q707" s="14" t="e">
        <f>P707*#REF!</f>
        <v>#REF!</v>
      </c>
      <c r="R707" s="14" t="e">
        <f>P707*#REF!</f>
        <v>#REF!</v>
      </c>
    </row>
    <row r="708" spans="1:18" x14ac:dyDescent="0.35">
      <c r="A708" s="2">
        <v>697</v>
      </c>
      <c r="B708" s="4">
        <f t="shared" si="104"/>
        <v>15</v>
      </c>
      <c r="C708" s="4">
        <f t="shared" si="105"/>
        <v>1</v>
      </c>
      <c r="D708" s="4">
        <f t="shared" si="106"/>
        <v>2023</v>
      </c>
      <c r="E708" s="4" t="str">
        <f t="shared" si="107"/>
        <v>Sunday</v>
      </c>
      <c r="F708" s="4" t="str">
        <f t="shared" si="108"/>
        <v>January</v>
      </c>
      <c r="G708" s="4" t="str">
        <f t="shared" si="109"/>
        <v>2023</v>
      </c>
      <c r="H708" s="3">
        <v>44941</v>
      </c>
      <c r="I708" s="4" t="s">
        <v>722</v>
      </c>
      <c r="J708" s="4" t="s">
        <v>20</v>
      </c>
      <c r="K708" s="4" t="str" cm="1">
        <f t="array" ref="K708">_xlfn.IFS(L708&gt;50,"Senior", L708&gt;=30,"Adult", L708&lt;30,"Young Adult")</f>
        <v>Senior</v>
      </c>
      <c r="L708" s="4">
        <v>53</v>
      </c>
      <c r="M708" s="4" t="s">
        <v>24</v>
      </c>
      <c r="N708" s="4">
        <v>1</v>
      </c>
      <c r="O708" s="5">
        <v>500</v>
      </c>
      <c r="P708">
        <f t="shared" si="110"/>
        <v>500</v>
      </c>
      <c r="Q708" s="14" t="e">
        <f>P708*#REF!</f>
        <v>#REF!</v>
      </c>
      <c r="R708" s="14" t="e">
        <f>P708*#REF!</f>
        <v>#REF!</v>
      </c>
    </row>
    <row r="709" spans="1:18" x14ac:dyDescent="0.35">
      <c r="A709" s="2">
        <v>698</v>
      </c>
      <c r="B709" s="4">
        <f t="shared" si="104"/>
        <v>19</v>
      </c>
      <c r="C709" s="4">
        <f t="shared" si="105"/>
        <v>7</v>
      </c>
      <c r="D709" s="4">
        <f t="shared" si="106"/>
        <v>2023</v>
      </c>
      <c r="E709" s="4" t="str">
        <f t="shared" si="107"/>
        <v>Wednesday</v>
      </c>
      <c r="F709" s="4" t="str">
        <f t="shared" si="108"/>
        <v>July</v>
      </c>
      <c r="G709" s="4" t="str">
        <f t="shared" si="109"/>
        <v>2023</v>
      </c>
      <c r="H709" s="3">
        <v>45126</v>
      </c>
      <c r="I709" s="4" t="s">
        <v>723</v>
      </c>
      <c r="J709" s="4" t="s">
        <v>23</v>
      </c>
      <c r="K709" s="4" t="str" cm="1">
        <f t="array" ref="K709">_xlfn.IFS(L709&gt;50,"Senior", L709&gt;=30,"Adult", L709&lt;30,"Young Adult")</f>
        <v>Senior</v>
      </c>
      <c r="L709" s="4">
        <v>64</v>
      </c>
      <c r="M709" s="4" t="s">
        <v>26</v>
      </c>
      <c r="N709" s="4">
        <v>1</v>
      </c>
      <c r="O709" s="5">
        <v>300</v>
      </c>
      <c r="P709">
        <f t="shared" si="110"/>
        <v>300</v>
      </c>
      <c r="Q709" s="14" t="e">
        <f>P709*#REF!</f>
        <v>#REF!</v>
      </c>
      <c r="R709" s="14" t="e">
        <f>P709*#REF!</f>
        <v>#REF!</v>
      </c>
    </row>
    <row r="710" spans="1:18" x14ac:dyDescent="0.35">
      <c r="A710" s="2">
        <v>699</v>
      </c>
      <c r="B710" s="4">
        <f t="shared" si="104"/>
        <v>22</v>
      </c>
      <c r="C710" s="4">
        <f t="shared" si="105"/>
        <v>6</v>
      </c>
      <c r="D710" s="4">
        <f t="shared" si="106"/>
        <v>2023</v>
      </c>
      <c r="E710" s="4" t="str">
        <f t="shared" si="107"/>
        <v>Thursday</v>
      </c>
      <c r="F710" s="4" t="str">
        <f t="shared" si="108"/>
        <v>June</v>
      </c>
      <c r="G710" s="4" t="str">
        <f t="shared" si="109"/>
        <v>2023</v>
      </c>
      <c r="H710" s="3">
        <v>45099</v>
      </c>
      <c r="I710" s="4" t="s">
        <v>724</v>
      </c>
      <c r="J710" s="4" t="s">
        <v>23</v>
      </c>
      <c r="K710" s="4" t="str" cm="1">
        <f t="array" ref="K710">_xlfn.IFS(L710&gt;50,"Senior", L710&gt;=30,"Adult", L710&lt;30,"Young Adult")</f>
        <v>Adult</v>
      </c>
      <c r="L710" s="4">
        <v>37</v>
      </c>
      <c r="M710" s="4" t="s">
        <v>24</v>
      </c>
      <c r="N710" s="4">
        <v>4</v>
      </c>
      <c r="O710" s="5">
        <v>30</v>
      </c>
      <c r="P710">
        <f t="shared" si="110"/>
        <v>120</v>
      </c>
      <c r="Q710" s="14" t="e">
        <f>P710*#REF!</f>
        <v>#REF!</v>
      </c>
      <c r="R710" s="14" t="e">
        <f>P710*#REF!</f>
        <v>#REF!</v>
      </c>
    </row>
    <row r="711" spans="1:18" x14ac:dyDescent="0.35">
      <c r="A711" s="2">
        <v>700</v>
      </c>
      <c r="B711" s="4">
        <f t="shared" si="104"/>
        <v>9</v>
      </c>
      <c r="C711" s="4">
        <f t="shared" si="105"/>
        <v>12</v>
      </c>
      <c r="D711" s="4">
        <f t="shared" si="106"/>
        <v>2023</v>
      </c>
      <c r="E711" s="4" t="str">
        <f t="shared" si="107"/>
        <v>Saturday</v>
      </c>
      <c r="F711" s="4" t="str">
        <f t="shared" si="108"/>
        <v>December</v>
      </c>
      <c r="G711" s="4" t="str">
        <f t="shared" si="109"/>
        <v>2023</v>
      </c>
      <c r="H711" s="3">
        <v>45269</v>
      </c>
      <c r="I711" s="4" t="s">
        <v>725</v>
      </c>
      <c r="J711" s="4" t="s">
        <v>20</v>
      </c>
      <c r="K711" s="4" t="str" cm="1">
        <f t="array" ref="K711">_xlfn.IFS(L711&gt;50,"Senior", L711&gt;=30,"Adult", L711&lt;30,"Young Adult")</f>
        <v>Adult</v>
      </c>
      <c r="L711" s="4">
        <v>36</v>
      </c>
      <c r="M711" s="4" t="s">
        <v>26</v>
      </c>
      <c r="N711" s="4">
        <v>4</v>
      </c>
      <c r="O711" s="5">
        <v>500</v>
      </c>
      <c r="P711">
        <f t="shared" si="110"/>
        <v>2000</v>
      </c>
      <c r="Q711" s="14" t="e">
        <f>P711*#REF!</f>
        <v>#REF!</v>
      </c>
      <c r="R711" s="14" t="e">
        <f>P711*#REF!</f>
        <v>#REF!</v>
      </c>
    </row>
    <row r="712" spans="1:18" x14ac:dyDescent="0.35">
      <c r="A712" s="2">
        <v>701</v>
      </c>
      <c r="B712" s="4">
        <f t="shared" si="104"/>
        <v>14</v>
      </c>
      <c r="C712" s="4">
        <f t="shared" si="105"/>
        <v>12</v>
      </c>
      <c r="D712" s="4">
        <f t="shared" si="106"/>
        <v>2023</v>
      </c>
      <c r="E712" s="4" t="str">
        <f t="shared" si="107"/>
        <v>Thursday</v>
      </c>
      <c r="F712" s="4" t="str">
        <f t="shared" si="108"/>
        <v>December</v>
      </c>
      <c r="G712" s="4" t="str">
        <f t="shared" si="109"/>
        <v>2023</v>
      </c>
      <c r="H712" s="3">
        <v>45274</v>
      </c>
      <c r="I712" s="4" t="s">
        <v>726</v>
      </c>
      <c r="J712" s="4" t="s">
        <v>23</v>
      </c>
      <c r="K712" s="4" t="str" cm="1">
        <f t="array" ref="K712">_xlfn.IFS(L712&gt;50,"Senior", L712&gt;=30,"Adult", L712&lt;30,"Young Adult")</f>
        <v>Senior</v>
      </c>
      <c r="L712" s="4">
        <v>52</v>
      </c>
      <c r="M712" s="4" t="s">
        <v>21</v>
      </c>
      <c r="N712" s="4">
        <v>2</v>
      </c>
      <c r="O712" s="5">
        <v>30</v>
      </c>
      <c r="P712">
        <f t="shared" si="110"/>
        <v>60</v>
      </c>
      <c r="Q712" s="14">
        <f>P712*$I$4</f>
        <v>0.89999999999999991</v>
      </c>
      <c r="R712" s="14">
        <f>P712*$I$5</f>
        <v>1.2</v>
      </c>
    </row>
    <row r="713" spans="1:18" x14ac:dyDescent="0.35">
      <c r="A713" s="2">
        <v>702</v>
      </c>
      <c r="B713" s="4">
        <f t="shared" si="104"/>
        <v>27</v>
      </c>
      <c r="C713" s="4">
        <f t="shared" si="105"/>
        <v>7</v>
      </c>
      <c r="D713" s="4">
        <f t="shared" si="106"/>
        <v>2023</v>
      </c>
      <c r="E713" s="4" t="str">
        <f t="shared" si="107"/>
        <v>Thursday</v>
      </c>
      <c r="F713" s="4" t="str">
        <f t="shared" si="108"/>
        <v>July</v>
      </c>
      <c r="G713" s="4" t="str">
        <f t="shared" si="109"/>
        <v>2023</v>
      </c>
      <c r="H713" s="3">
        <v>45134</v>
      </c>
      <c r="I713" s="4" t="s">
        <v>727</v>
      </c>
      <c r="J713" s="4" t="s">
        <v>23</v>
      </c>
      <c r="K713" s="4" t="str" cm="1">
        <f t="array" ref="K713">_xlfn.IFS(L713&gt;50,"Senior", L713&gt;=30,"Adult", L713&lt;30,"Young Adult")</f>
        <v>Senior</v>
      </c>
      <c r="L713" s="4">
        <v>60</v>
      </c>
      <c r="M713" s="4" t="s">
        <v>24</v>
      </c>
      <c r="N713" s="4">
        <v>2</v>
      </c>
      <c r="O713" s="5">
        <v>300</v>
      </c>
      <c r="P713">
        <f t="shared" si="110"/>
        <v>600</v>
      </c>
      <c r="Q713" s="14" t="e">
        <f>P713*#REF!</f>
        <v>#REF!</v>
      </c>
      <c r="R713" s="14" t="e">
        <f>P713*#REF!</f>
        <v>#REF!</v>
      </c>
    </row>
    <row r="714" spans="1:18" x14ac:dyDescent="0.35">
      <c r="A714" s="2">
        <v>703</v>
      </c>
      <c r="B714" s="4">
        <f t="shared" si="104"/>
        <v>26</v>
      </c>
      <c r="C714" s="4">
        <f t="shared" si="105"/>
        <v>3</v>
      </c>
      <c r="D714" s="4">
        <f t="shared" si="106"/>
        <v>2023</v>
      </c>
      <c r="E714" s="4" t="str">
        <f t="shared" si="107"/>
        <v>Sunday</v>
      </c>
      <c r="F714" s="4" t="str">
        <f t="shared" si="108"/>
        <v>March</v>
      </c>
      <c r="G714" s="4" t="str">
        <f t="shared" si="109"/>
        <v>2023</v>
      </c>
      <c r="H714" s="3">
        <v>45011</v>
      </c>
      <c r="I714" s="4" t="s">
        <v>728</v>
      </c>
      <c r="J714" s="4" t="s">
        <v>20</v>
      </c>
      <c r="K714" s="4" t="str" cm="1">
        <f t="array" ref="K714">_xlfn.IFS(L714&gt;50,"Senior", L714&gt;=30,"Adult", L714&lt;30,"Young Adult")</f>
        <v>Adult</v>
      </c>
      <c r="L714" s="4">
        <v>34</v>
      </c>
      <c r="M714" s="4" t="s">
        <v>26</v>
      </c>
      <c r="N714" s="4">
        <v>2</v>
      </c>
      <c r="O714" s="5">
        <v>50</v>
      </c>
      <c r="P714">
        <f t="shared" si="110"/>
        <v>100</v>
      </c>
      <c r="Q714" s="14" t="e">
        <f>P714*#REF!</f>
        <v>#REF!</v>
      </c>
      <c r="R714" s="14" t="e">
        <f>P714*#REF!</f>
        <v>#REF!</v>
      </c>
    </row>
    <row r="715" spans="1:18" x14ac:dyDescent="0.35">
      <c r="A715" s="2">
        <v>704</v>
      </c>
      <c r="B715" s="4">
        <f t="shared" si="104"/>
        <v>28</v>
      </c>
      <c r="C715" s="4">
        <f t="shared" si="105"/>
        <v>8</v>
      </c>
      <c r="D715" s="4">
        <f t="shared" si="106"/>
        <v>2023</v>
      </c>
      <c r="E715" s="4" t="str">
        <f t="shared" si="107"/>
        <v>Monday</v>
      </c>
      <c r="F715" s="4" t="str">
        <f t="shared" si="108"/>
        <v>August</v>
      </c>
      <c r="G715" s="4" t="str">
        <f t="shared" si="109"/>
        <v>2023</v>
      </c>
      <c r="H715" s="3">
        <v>45166</v>
      </c>
      <c r="I715" s="4" t="s">
        <v>729</v>
      </c>
      <c r="J715" s="4" t="s">
        <v>23</v>
      </c>
      <c r="K715" s="4" t="str" cm="1">
        <f t="array" ref="K715">_xlfn.IFS(L715&gt;50,"Senior", L715&gt;=30,"Adult", L715&lt;30,"Young Adult")</f>
        <v>Senior</v>
      </c>
      <c r="L715" s="4">
        <v>62</v>
      </c>
      <c r="M715" s="4" t="s">
        <v>24</v>
      </c>
      <c r="N715" s="4">
        <v>3</v>
      </c>
      <c r="O715" s="5">
        <v>30</v>
      </c>
      <c r="P715">
        <f t="shared" si="110"/>
        <v>90</v>
      </c>
      <c r="Q715" s="14" t="e">
        <f>P715*#REF!</f>
        <v>#REF!</v>
      </c>
      <c r="R715" s="14" t="e">
        <f>P715*#REF!</f>
        <v>#REF!</v>
      </c>
    </row>
    <row r="716" spans="1:18" x14ac:dyDescent="0.35">
      <c r="A716" s="2">
        <v>705</v>
      </c>
      <c r="B716" s="4">
        <f t="shared" ref="B716:B779" si="115">DAY(H716)</f>
        <v>7</v>
      </c>
      <c r="C716" s="4">
        <f t="shared" ref="C716:C779" si="116">MONTH(H716)</f>
        <v>3</v>
      </c>
      <c r="D716" s="4">
        <f t="shared" ref="D716:D779" si="117">YEAR(H716)</f>
        <v>2023</v>
      </c>
      <c r="E716" s="4" t="str">
        <f t="shared" ref="E716:E779" si="118">TEXT(H716,"DDDD")</f>
        <v>Tuesday</v>
      </c>
      <c r="F716" s="4" t="str">
        <f t="shared" ref="F716:F779" si="119">TEXT(H716,"MMMM")</f>
        <v>March</v>
      </c>
      <c r="G716" s="4" t="str">
        <f t="shared" ref="G716:G779" si="120">TEXT(H716,"YYYY")</f>
        <v>2023</v>
      </c>
      <c r="H716" s="3">
        <v>44992</v>
      </c>
      <c r="I716" s="4" t="s">
        <v>730</v>
      </c>
      <c r="J716" s="4" t="s">
        <v>20</v>
      </c>
      <c r="K716" s="4" t="str" cm="1">
        <f t="array" ref="K716">_xlfn.IFS(L716&gt;50,"Senior", L716&gt;=30,"Adult", L716&lt;30,"Young Adult")</f>
        <v>Senior</v>
      </c>
      <c r="L716" s="4">
        <v>60</v>
      </c>
      <c r="M716" s="4" t="s">
        <v>26</v>
      </c>
      <c r="N716" s="4">
        <v>2</v>
      </c>
      <c r="O716" s="5">
        <v>25</v>
      </c>
      <c r="P716">
        <f t="shared" ref="P716:P779" si="121">O716*N716</f>
        <v>50</v>
      </c>
      <c r="Q716" s="14" t="e">
        <f>P716*#REF!</f>
        <v>#REF!</v>
      </c>
      <c r="R716" s="14" t="e">
        <f>P716*#REF!</f>
        <v>#REF!</v>
      </c>
    </row>
    <row r="717" spans="1:18" x14ac:dyDescent="0.35">
      <c r="A717" s="2">
        <v>706</v>
      </c>
      <c r="B717" s="4">
        <f t="shared" si="115"/>
        <v>15</v>
      </c>
      <c r="C717" s="4">
        <f t="shared" si="116"/>
        <v>11</v>
      </c>
      <c r="D717" s="4">
        <f t="shared" si="117"/>
        <v>2023</v>
      </c>
      <c r="E717" s="4" t="str">
        <f t="shared" si="118"/>
        <v>Wednesday</v>
      </c>
      <c r="F717" s="4" t="str">
        <f t="shared" si="119"/>
        <v>November</v>
      </c>
      <c r="G717" s="4" t="str">
        <f t="shared" si="120"/>
        <v>2023</v>
      </c>
      <c r="H717" s="3">
        <v>45245</v>
      </c>
      <c r="I717" s="4" t="s">
        <v>731</v>
      </c>
      <c r="J717" s="4" t="s">
        <v>20</v>
      </c>
      <c r="K717" s="4" t="str" cm="1">
        <f t="array" ref="K717">_xlfn.IFS(L717&gt;50,"Senior", L717&gt;=30,"Adult", L717&lt;30,"Young Adult")</f>
        <v>Senior</v>
      </c>
      <c r="L717" s="4">
        <v>51</v>
      </c>
      <c r="M717" s="4" t="s">
        <v>26</v>
      </c>
      <c r="N717" s="4">
        <v>4</v>
      </c>
      <c r="O717" s="5">
        <v>25</v>
      </c>
      <c r="P717">
        <f t="shared" si="121"/>
        <v>100</v>
      </c>
      <c r="Q717" s="14" t="e">
        <f>P717*#REF!</f>
        <v>#REF!</v>
      </c>
      <c r="R717" s="14" t="e">
        <f>P717*#REF!</f>
        <v>#REF!</v>
      </c>
    </row>
    <row r="718" spans="1:18" x14ac:dyDescent="0.35">
      <c r="A718" s="2">
        <v>707</v>
      </c>
      <c r="B718" s="4">
        <f t="shared" si="115"/>
        <v>1</v>
      </c>
      <c r="C718" s="4">
        <f t="shared" si="116"/>
        <v>10</v>
      </c>
      <c r="D718" s="4">
        <f t="shared" si="117"/>
        <v>2023</v>
      </c>
      <c r="E718" s="4" t="str">
        <f t="shared" si="118"/>
        <v>Sunday</v>
      </c>
      <c r="F718" s="4" t="str">
        <f t="shared" si="119"/>
        <v>October</v>
      </c>
      <c r="G718" s="4" t="str">
        <f t="shared" si="120"/>
        <v>2023</v>
      </c>
      <c r="H718" s="3">
        <v>45200</v>
      </c>
      <c r="I718" s="4" t="s">
        <v>732</v>
      </c>
      <c r="J718" s="4" t="s">
        <v>23</v>
      </c>
      <c r="K718" s="4" t="str" cm="1">
        <f t="array" ref="K718">_xlfn.IFS(L718&gt;50,"Senior", L718&gt;=30,"Adult", L718&lt;30,"Young Adult")</f>
        <v>Young Adult</v>
      </c>
      <c r="L718" s="4">
        <v>26</v>
      </c>
      <c r="M718" s="4" t="s">
        <v>24</v>
      </c>
      <c r="N718" s="4">
        <v>1</v>
      </c>
      <c r="O718" s="5">
        <v>500</v>
      </c>
      <c r="P718">
        <f t="shared" si="121"/>
        <v>500</v>
      </c>
      <c r="Q718" s="14" t="e">
        <f>P718*#REF!</f>
        <v>#REF!</v>
      </c>
      <c r="R718" s="14" t="e">
        <f>P718*#REF!</f>
        <v>#REF!</v>
      </c>
    </row>
    <row r="719" spans="1:18" x14ac:dyDescent="0.35">
      <c r="A719" s="2">
        <v>708</v>
      </c>
      <c r="B719" s="4">
        <f t="shared" si="115"/>
        <v>14</v>
      </c>
      <c r="C719" s="4">
        <f t="shared" si="116"/>
        <v>1</v>
      </c>
      <c r="D719" s="4">
        <f t="shared" si="117"/>
        <v>2023</v>
      </c>
      <c r="E719" s="4" t="str">
        <f t="shared" si="118"/>
        <v>Saturday</v>
      </c>
      <c r="F719" s="4" t="str">
        <f t="shared" si="119"/>
        <v>January</v>
      </c>
      <c r="G719" s="4" t="str">
        <f t="shared" si="120"/>
        <v>2023</v>
      </c>
      <c r="H719" s="3">
        <v>44940</v>
      </c>
      <c r="I719" s="4" t="s">
        <v>733</v>
      </c>
      <c r="J719" s="4" t="s">
        <v>23</v>
      </c>
      <c r="K719" s="4" t="str" cm="1">
        <f t="array" ref="K719">_xlfn.IFS(L719&gt;50,"Senior", L719&gt;=30,"Adult", L719&lt;30,"Young Adult")</f>
        <v>Adult</v>
      </c>
      <c r="L719" s="4">
        <v>43</v>
      </c>
      <c r="M719" s="4" t="s">
        <v>21</v>
      </c>
      <c r="N719" s="4">
        <v>3</v>
      </c>
      <c r="O719" s="5">
        <v>300</v>
      </c>
      <c r="P719">
        <f t="shared" si="121"/>
        <v>900</v>
      </c>
      <c r="Q719" s="14">
        <f>P719*$I$4</f>
        <v>13.5</v>
      </c>
      <c r="R719" s="14">
        <f>P719*$I$5</f>
        <v>18</v>
      </c>
    </row>
    <row r="720" spans="1:18" x14ac:dyDescent="0.35">
      <c r="A720" s="2">
        <v>709</v>
      </c>
      <c r="B720" s="4">
        <f t="shared" si="115"/>
        <v>21</v>
      </c>
      <c r="C720" s="4">
        <f t="shared" si="116"/>
        <v>7</v>
      </c>
      <c r="D720" s="4">
        <f t="shared" si="117"/>
        <v>2023</v>
      </c>
      <c r="E720" s="4" t="str">
        <f t="shared" si="118"/>
        <v>Friday</v>
      </c>
      <c r="F720" s="4" t="str">
        <f t="shared" si="119"/>
        <v>July</v>
      </c>
      <c r="G720" s="4" t="str">
        <f t="shared" si="120"/>
        <v>2023</v>
      </c>
      <c r="H720" s="3">
        <v>45128</v>
      </c>
      <c r="I720" s="4" t="s">
        <v>734</v>
      </c>
      <c r="J720" s="4" t="s">
        <v>23</v>
      </c>
      <c r="K720" s="4" t="str" cm="1">
        <f t="array" ref="K720">_xlfn.IFS(L720&gt;50,"Senior", L720&gt;=30,"Adult", L720&lt;30,"Young Adult")</f>
        <v>Young Adult</v>
      </c>
      <c r="L720" s="4">
        <v>19</v>
      </c>
      <c r="M720" s="4" t="s">
        <v>26</v>
      </c>
      <c r="N720" s="4">
        <v>2</v>
      </c>
      <c r="O720" s="5">
        <v>500</v>
      </c>
      <c r="P720">
        <f t="shared" si="121"/>
        <v>1000</v>
      </c>
      <c r="Q720" s="14" t="e">
        <f>P720*#REF!</f>
        <v>#REF!</v>
      </c>
      <c r="R720" s="14" t="e">
        <f>P720*#REF!</f>
        <v>#REF!</v>
      </c>
    </row>
    <row r="721" spans="1:18" x14ac:dyDescent="0.35">
      <c r="A721" s="2">
        <v>710</v>
      </c>
      <c r="B721" s="4">
        <f t="shared" si="115"/>
        <v>31</v>
      </c>
      <c r="C721" s="4">
        <f t="shared" si="116"/>
        <v>10</v>
      </c>
      <c r="D721" s="4">
        <f t="shared" si="117"/>
        <v>2023</v>
      </c>
      <c r="E721" s="4" t="str">
        <f t="shared" si="118"/>
        <v>Tuesday</v>
      </c>
      <c r="F721" s="4" t="str">
        <f t="shared" si="119"/>
        <v>October</v>
      </c>
      <c r="G721" s="4" t="str">
        <f t="shared" si="120"/>
        <v>2023</v>
      </c>
      <c r="H721" s="3">
        <v>45230</v>
      </c>
      <c r="I721" s="4" t="s">
        <v>735</v>
      </c>
      <c r="J721" s="4" t="s">
        <v>23</v>
      </c>
      <c r="K721" s="4" t="str" cm="1">
        <f t="array" ref="K721">_xlfn.IFS(L721&gt;50,"Senior", L721&gt;=30,"Adult", L721&lt;30,"Young Adult")</f>
        <v>Young Adult</v>
      </c>
      <c r="L721" s="4">
        <v>26</v>
      </c>
      <c r="M721" s="4" t="s">
        <v>26</v>
      </c>
      <c r="N721" s="4">
        <v>3</v>
      </c>
      <c r="O721" s="5">
        <v>500</v>
      </c>
      <c r="P721">
        <f t="shared" si="121"/>
        <v>1500</v>
      </c>
      <c r="Q721" s="14" t="e">
        <f>P721*#REF!</f>
        <v>#REF!</v>
      </c>
      <c r="R721" s="14" t="e">
        <f>P721*#REF!</f>
        <v>#REF!</v>
      </c>
    </row>
    <row r="722" spans="1:18" x14ac:dyDescent="0.35">
      <c r="A722" s="2">
        <v>711</v>
      </c>
      <c r="B722" s="4">
        <f t="shared" si="115"/>
        <v>16</v>
      </c>
      <c r="C722" s="4">
        <f t="shared" si="116"/>
        <v>10</v>
      </c>
      <c r="D722" s="4">
        <f t="shared" si="117"/>
        <v>2023</v>
      </c>
      <c r="E722" s="4" t="str">
        <f t="shared" si="118"/>
        <v>Monday</v>
      </c>
      <c r="F722" s="4" t="str">
        <f t="shared" si="119"/>
        <v>October</v>
      </c>
      <c r="G722" s="4" t="str">
        <f t="shared" si="120"/>
        <v>2023</v>
      </c>
      <c r="H722" s="3">
        <v>45215</v>
      </c>
      <c r="I722" s="4" t="s">
        <v>736</v>
      </c>
      <c r="J722" s="4" t="s">
        <v>20</v>
      </c>
      <c r="K722" s="4" t="str" cm="1">
        <f t="array" ref="K722">_xlfn.IFS(L722&gt;50,"Senior", L722&gt;=30,"Adult", L722&lt;30,"Young Adult")</f>
        <v>Young Adult</v>
      </c>
      <c r="L722" s="4">
        <v>26</v>
      </c>
      <c r="M722" s="4" t="s">
        <v>26</v>
      </c>
      <c r="N722" s="4">
        <v>3</v>
      </c>
      <c r="O722" s="5">
        <v>500</v>
      </c>
      <c r="P722">
        <f t="shared" si="121"/>
        <v>1500</v>
      </c>
      <c r="Q722" s="14" t="e">
        <f>P722*#REF!</f>
        <v>#REF!</v>
      </c>
      <c r="R722" s="14" t="e">
        <f>P722*#REF!</f>
        <v>#REF!</v>
      </c>
    </row>
    <row r="723" spans="1:18" x14ac:dyDescent="0.35">
      <c r="A723" s="2">
        <v>712</v>
      </c>
      <c r="B723" s="4">
        <f t="shared" si="115"/>
        <v>6</v>
      </c>
      <c r="C723" s="4">
        <f t="shared" si="116"/>
        <v>12</v>
      </c>
      <c r="D723" s="4">
        <f t="shared" si="117"/>
        <v>2023</v>
      </c>
      <c r="E723" s="4" t="str">
        <f t="shared" si="118"/>
        <v>Wednesday</v>
      </c>
      <c r="F723" s="4" t="str">
        <f t="shared" si="119"/>
        <v>December</v>
      </c>
      <c r="G723" s="4" t="str">
        <f t="shared" si="120"/>
        <v>2023</v>
      </c>
      <c r="H723" s="3">
        <v>45266</v>
      </c>
      <c r="I723" s="4" t="s">
        <v>737</v>
      </c>
      <c r="J723" s="4" t="s">
        <v>23</v>
      </c>
      <c r="K723" s="4" t="str" cm="1">
        <f t="array" ref="K723">_xlfn.IFS(L723&gt;50,"Senior", L723&gt;=30,"Adult", L723&lt;30,"Young Adult")</f>
        <v>Senior</v>
      </c>
      <c r="L723" s="4">
        <v>57</v>
      </c>
      <c r="M723" s="4" t="s">
        <v>21</v>
      </c>
      <c r="N723" s="4">
        <v>2</v>
      </c>
      <c r="O723" s="5">
        <v>25</v>
      </c>
      <c r="P723">
        <f t="shared" si="121"/>
        <v>50</v>
      </c>
      <c r="Q723" s="14">
        <f t="shared" ref="Q723:Q724" si="122">P723*$I$4</f>
        <v>0.75</v>
      </c>
      <c r="R723" s="14">
        <f t="shared" ref="R723:R724" si="123">P723*$I$5</f>
        <v>1</v>
      </c>
    </row>
    <row r="724" spans="1:18" x14ac:dyDescent="0.35">
      <c r="A724" s="2">
        <v>713</v>
      </c>
      <c r="B724" s="4">
        <f t="shared" si="115"/>
        <v>14</v>
      </c>
      <c r="C724" s="4">
        <f t="shared" si="116"/>
        <v>1</v>
      </c>
      <c r="D724" s="4">
        <f t="shared" si="117"/>
        <v>2023</v>
      </c>
      <c r="E724" s="4" t="str">
        <f t="shared" si="118"/>
        <v>Saturday</v>
      </c>
      <c r="F724" s="4" t="str">
        <f t="shared" si="119"/>
        <v>January</v>
      </c>
      <c r="G724" s="4" t="str">
        <f t="shared" si="120"/>
        <v>2023</v>
      </c>
      <c r="H724" s="3">
        <v>44940</v>
      </c>
      <c r="I724" s="4" t="s">
        <v>738</v>
      </c>
      <c r="J724" s="4" t="s">
        <v>20</v>
      </c>
      <c r="K724" s="4" t="str" cm="1">
        <f t="array" ref="K724">_xlfn.IFS(L724&gt;50,"Senior", L724&gt;=30,"Adult", L724&lt;30,"Young Adult")</f>
        <v>Adult</v>
      </c>
      <c r="L724" s="4">
        <v>34</v>
      </c>
      <c r="M724" s="4" t="s">
        <v>21</v>
      </c>
      <c r="N724" s="4">
        <v>3</v>
      </c>
      <c r="O724" s="5">
        <v>25</v>
      </c>
      <c r="P724">
        <f t="shared" si="121"/>
        <v>75</v>
      </c>
      <c r="Q724" s="14">
        <f t="shared" si="122"/>
        <v>1.125</v>
      </c>
      <c r="R724" s="14">
        <f t="shared" si="123"/>
        <v>1.5</v>
      </c>
    </row>
    <row r="725" spans="1:18" x14ac:dyDescent="0.35">
      <c r="A725" s="2">
        <v>714</v>
      </c>
      <c r="B725" s="4">
        <f t="shared" si="115"/>
        <v>12</v>
      </c>
      <c r="C725" s="4">
        <f t="shared" si="116"/>
        <v>2</v>
      </c>
      <c r="D725" s="4">
        <f t="shared" si="117"/>
        <v>2023</v>
      </c>
      <c r="E725" s="4" t="str">
        <f t="shared" si="118"/>
        <v>Sunday</v>
      </c>
      <c r="F725" s="4" t="str">
        <f t="shared" si="119"/>
        <v>February</v>
      </c>
      <c r="G725" s="4" t="str">
        <f t="shared" si="120"/>
        <v>2023</v>
      </c>
      <c r="H725" s="3">
        <v>44969</v>
      </c>
      <c r="I725" s="4" t="s">
        <v>739</v>
      </c>
      <c r="J725" s="4" t="s">
        <v>23</v>
      </c>
      <c r="K725" s="4" t="str" cm="1">
        <f t="array" ref="K725">_xlfn.IFS(L725&gt;50,"Senior", L725&gt;=30,"Adult", L725&lt;30,"Young Adult")</f>
        <v>Young Adult</v>
      </c>
      <c r="L725" s="4">
        <v>18</v>
      </c>
      <c r="M725" s="4" t="s">
        <v>24</v>
      </c>
      <c r="N725" s="4">
        <v>1</v>
      </c>
      <c r="O725" s="5">
        <v>500</v>
      </c>
      <c r="P725">
        <f t="shared" si="121"/>
        <v>500</v>
      </c>
      <c r="Q725" s="14" t="e">
        <f>P725*#REF!</f>
        <v>#REF!</v>
      </c>
      <c r="R725" s="14" t="e">
        <f>P725*#REF!</f>
        <v>#REF!</v>
      </c>
    </row>
    <row r="726" spans="1:18" x14ac:dyDescent="0.35">
      <c r="A726" s="2">
        <v>715</v>
      </c>
      <c r="B726" s="4">
        <f t="shared" si="115"/>
        <v>26</v>
      </c>
      <c r="C726" s="4">
        <f t="shared" si="116"/>
        <v>11</v>
      </c>
      <c r="D726" s="4">
        <f t="shared" si="117"/>
        <v>2023</v>
      </c>
      <c r="E726" s="4" t="str">
        <f t="shared" si="118"/>
        <v>Sunday</v>
      </c>
      <c r="F726" s="4" t="str">
        <f t="shared" si="119"/>
        <v>November</v>
      </c>
      <c r="G726" s="4" t="str">
        <f t="shared" si="120"/>
        <v>2023</v>
      </c>
      <c r="H726" s="3">
        <v>45256</v>
      </c>
      <c r="I726" s="4" t="s">
        <v>740</v>
      </c>
      <c r="J726" s="4" t="s">
        <v>23</v>
      </c>
      <c r="K726" s="4" t="str" cm="1">
        <f t="array" ref="K726">_xlfn.IFS(L726&gt;50,"Senior", L726&gt;=30,"Adult", L726&lt;30,"Young Adult")</f>
        <v>Adult</v>
      </c>
      <c r="L726" s="4">
        <v>42</v>
      </c>
      <c r="M726" s="4" t="s">
        <v>21</v>
      </c>
      <c r="N726" s="4">
        <v>4</v>
      </c>
      <c r="O726" s="5">
        <v>25</v>
      </c>
      <c r="P726">
        <f t="shared" si="121"/>
        <v>100</v>
      </c>
      <c r="Q726" s="14">
        <f>P726*$I$4</f>
        <v>1.5</v>
      </c>
      <c r="R726" s="14">
        <f>P726*$I$5</f>
        <v>2</v>
      </c>
    </row>
    <row r="727" spans="1:18" x14ac:dyDescent="0.35">
      <c r="A727" s="2">
        <v>716</v>
      </c>
      <c r="B727" s="4">
        <f t="shared" si="115"/>
        <v>8</v>
      </c>
      <c r="C727" s="4">
        <f t="shared" si="116"/>
        <v>8</v>
      </c>
      <c r="D727" s="4">
        <f t="shared" si="117"/>
        <v>2023</v>
      </c>
      <c r="E727" s="4" t="str">
        <f t="shared" si="118"/>
        <v>Tuesday</v>
      </c>
      <c r="F727" s="4" t="str">
        <f t="shared" si="119"/>
        <v>August</v>
      </c>
      <c r="G727" s="4" t="str">
        <f t="shared" si="120"/>
        <v>2023</v>
      </c>
      <c r="H727" s="3">
        <v>45146</v>
      </c>
      <c r="I727" s="4" t="s">
        <v>741</v>
      </c>
      <c r="J727" s="4" t="s">
        <v>23</v>
      </c>
      <c r="K727" s="4" t="str" cm="1">
        <f t="array" ref="K727">_xlfn.IFS(L727&gt;50,"Senior", L727&gt;=30,"Adult", L727&lt;30,"Young Adult")</f>
        <v>Senior</v>
      </c>
      <c r="L727" s="4">
        <v>60</v>
      </c>
      <c r="M727" s="4" t="s">
        <v>24</v>
      </c>
      <c r="N727" s="4">
        <v>4</v>
      </c>
      <c r="O727" s="5">
        <v>300</v>
      </c>
      <c r="P727">
        <f t="shared" si="121"/>
        <v>1200</v>
      </c>
      <c r="Q727" s="14" t="e">
        <f>P727*#REF!</f>
        <v>#REF!</v>
      </c>
      <c r="R727" s="14" t="e">
        <f>P727*#REF!</f>
        <v>#REF!</v>
      </c>
    </row>
    <row r="728" spans="1:18" x14ac:dyDescent="0.35">
      <c r="A728" s="2">
        <v>717</v>
      </c>
      <c r="B728" s="4">
        <f t="shared" si="115"/>
        <v>11</v>
      </c>
      <c r="C728" s="4">
        <f t="shared" si="116"/>
        <v>3</v>
      </c>
      <c r="D728" s="4">
        <f t="shared" si="117"/>
        <v>2023</v>
      </c>
      <c r="E728" s="4" t="str">
        <f t="shared" si="118"/>
        <v>Saturday</v>
      </c>
      <c r="F728" s="4" t="str">
        <f t="shared" si="119"/>
        <v>March</v>
      </c>
      <c r="G728" s="4" t="str">
        <f t="shared" si="120"/>
        <v>2023</v>
      </c>
      <c r="H728" s="3">
        <v>44996</v>
      </c>
      <c r="I728" s="4" t="s">
        <v>742</v>
      </c>
      <c r="J728" s="4" t="s">
        <v>20</v>
      </c>
      <c r="K728" s="4" t="str" cm="1">
        <f t="array" ref="K728">_xlfn.IFS(L728&gt;50,"Senior", L728&gt;=30,"Adult", L728&lt;30,"Young Adult")</f>
        <v>Senior</v>
      </c>
      <c r="L728" s="4">
        <v>57</v>
      </c>
      <c r="M728" s="4" t="s">
        <v>24</v>
      </c>
      <c r="N728" s="4">
        <v>1</v>
      </c>
      <c r="O728" s="5">
        <v>500</v>
      </c>
      <c r="P728">
        <f t="shared" si="121"/>
        <v>500</v>
      </c>
      <c r="Q728" s="14" t="e">
        <f>P728*#REF!</f>
        <v>#REF!</v>
      </c>
      <c r="R728" s="14" t="e">
        <f>P728*#REF!</f>
        <v>#REF!</v>
      </c>
    </row>
    <row r="729" spans="1:18" x14ac:dyDescent="0.35">
      <c r="A729" s="2">
        <v>718</v>
      </c>
      <c r="B729" s="4">
        <f t="shared" si="115"/>
        <v>25</v>
      </c>
      <c r="C729" s="4">
        <f t="shared" si="116"/>
        <v>8</v>
      </c>
      <c r="D729" s="4">
        <f t="shared" si="117"/>
        <v>2023</v>
      </c>
      <c r="E729" s="4" t="str">
        <f t="shared" si="118"/>
        <v>Friday</v>
      </c>
      <c r="F729" s="4" t="str">
        <f t="shared" si="119"/>
        <v>August</v>
      </c>
      <c r="G729" s="4" t="str">
        <f t="shared" si="120"/>
        <v>2023</v>
      </c>
      <c r="H729" s="3">
        <v>45163</v>
      </c>
      <c r="I729" s="4" t="s">
        <v>743</v>
      </c>
      <c r="J729" s="4" t="s">
        <v>23</v>
      </c>
      <c r="K729" s="4" t="str" cm="1">
        <f t="array" ref="K729">_xlfn.IFS(L729&gt;50,"Senior", L729&gt;=30,"Adult", L729&lt;30,"Young Adult")</f>
        <v>Senior</v>
      </c>
      <c r="L729" s="4">
        <v>59</v>
      </c>
      <c r="M729" s="4" t="s">
        <v>21</v>
      </c>
      <c r="N729" s="4">
        <v>3</v>
      </c>
      <c r="O729" s="5">
        <v>25</v>
      </c>
      <c r="P729">
        <f t="shared" si="121"/>
        <v>75</v>
      </c>
      <c r="Q729" s="14">
        <f>P729*$I$4</f>
        <v>1.125</v>
      </c>
      <c r="R729" s="14">
        <f>P729*$I$5</f>
        <v>1.5</v>
      </c>
    </row>
    <row r="730" spans="1:18" x14ac:dyDescent="0.35">
      <c r="A730" s="2">
        <v>719</v>
      </c>
      <c r="B730" s="4">
        <f t="shared" si="115"/>
        <v>4</v>
      </c>
      <c r="C730" s="4">
        <f t="shared" si="116"/>
        <v>4</v>
      </c>
      <c r="D730" s="4">
        <f t="shared" si="117"/>
        <v>2023</v>
      </c>
      <c r="E730" s="4" t="str">
        <f t="shared" si="118"/>
        <v>Tuesday</v>
      </c>
      <c r="F730" s="4" t="str">
        <f t="shared" si="119"/>
        <v>April</v>
      </c>
      <c r="G730" s="4" t="str">
        <f t="shared" si="120"/>
        <v>2023</v>
      </c>
      <c r="H730" s="3">
        <v>45020</v>
      </c>
      <c r="I730" s="4" t="s">
        <v>744</v>
      </c>
      <c r="J730" s="4" t="s">
        <v>23</v>
      </c>
      <c r="K730" s="4" t="str" cm="1">
        <f t="array" ref="K730">_xlfn.IFS(L730&gt;50,"Senior", L730&gt;=30,"Adult", L730&lt;30,"Young Adult")</f>
        <v>Adult</v>
      </c>
      <c r="L730" s="4">
        <v>42</v>
      </c>
      <c r="M730" s="4" t="s">
        <v>24</v>
      </c>
      <c r="N730" s="4">
        <v>2</v>
      </c>
      <c r="O730" s="5">
        <v>30</v>
      </c>
      <c r="P730">
        <f t="shared" si="121"/>
        <v>60</v>
      </c>
      <c r="Q730" s="14" t="e">
        <f>P730*#REF!</f>
        <v>#REF!</v>
      </c>
      <c r="R730" s="14" t="e">
        <f>P730*#REF!</f>
        <v>#REF!</v>
      </c>
    </row>
    <row r="731" spans="1:18" x14ac:dyDescent="0.35">
      <c r="A731" s="2">
        <v>720</v>
      </c>
      <c r="B731" s="4">
        <f t="shared" si="115"/>
        <v>26</v>
      </c>
      <c r="C731" s="4">
        <f t="shared" si="116"/>
        <v>1</v>
      </c>
      <c r="D731" s="4">
        <f t="shared" si="117"/>
        <v>2023</v>
      </c>
      <c r="E731" s="4" t="str">
        <f t="shared" si="118"/>
        <v>Thursday</v>
      </c>
      <c r="F731" s="4" t="str">
        <f t="shared" si="119"/>
        <v>January</v>
      </c>
      <c r="G731" s="4" t="str">
        <f t="shared" si="120"/>
        <v>2023</v>
      </c>
      <c r="H731" s="3">
        <v>44952</v>
      </c>
      <c r="I731" s="4" t="s">
        <v>745</v>
      </c>
      <c r="J731" s="4" t="s">
        <v>23</v>
      </c>
      <c r="K731" s="4" t="str" cm="1">
        <f t="array" ref="K731">_xlfn.IFS(L731&gt;50,"Senior", L731&gt;=30,"Adult", L731&lt;30,"Young Adult")</f>
        <v>Senior</v>
      </c>
      <c r="L731" s="4">
        <v>56</v>
      </c>
      <c r="M731" s="4" t="s">
        <v>21</v>
      </c>
      <c r="N731" s="4">
        <v>3</v>
      </c>
      <c r="O731" s="5">
        <v>500</v>
      </c>
      <c r="P731">
        <f t="shared" si="121"/>
        <v>1500</v>
      </c>
      <c r="Q731" s="14">
        <f>P731*$I$4</f>
        <v>22.5</v>
      </c>
      <c r="R731" s="14">
        <f>P731*$I$5</f>
        <v>30</v>
      </c>
    </row>
    <row r="732" spans="1:18" x14ac:dyDescent="0.35">
      <c r="A732" s="2">
        <v>721</v>
      </c>
      <c r="B732" s="4">
        <f t="shared" si="115"/>
        <v>14</v>
      </c>
      <c r="C732" s="4">
        <f t="shared" si="116"/>
        <v>5</v>
      </c>
      <c r="D732" s="4">
        <f t="shared" si="117"/>
        <v>2023</v>
      </c>
      <c r="E732" s="4" t="str">
        <f t="shared" si="118"/>
        <v>Sunday</v>
      </c>
      <c r="F732" s="4" t="str">
        <f t="shared" si="119"/>
        <v>May</v>
      </c>
      <c r="G732" s="4" t="str">
        <f t="shared" si="120"/>
        <v>2023</v>
      </c>
      <c r="H732" s="3">
        <v>45060</v>
      </c>
      <c r="I732" s="4" t="s">
        <v>746</v>
      </c>
      <c r="J732" s="4" t="s">
        <v>23</v>
      </c>
      <c r="K732" s="4" t="str" cm="1">
        <f t="array" ref="K732">_xlfn.IFS(L732&gt;50,"Senior", L732&gt;=30,"Adult", L732&lt;30,"Young Adult")</f>
        <v>Senior</v>
      </c>
      <c r="L732" s="4">
        <v>52</v>
      </c>
      <c r="M732" s="4" t="s">
        <v>24</v>
      </c>
      <c r="N732" s="4">
        <v>1</v>
      </c>
      <c r="O732" s="5">
        <v>500</v>
      </c>
      <c r="P732">
        <f t="shared" si="121"/>
        <v>500</v>
      </c>
      <c r="Q732" s="14" t="e">
        <f>P732*#REF!</f>
        <v>#REF!</v>
      </c>
      <c r="R732" s="14" t="e">
        <f>P732*#REF!</f>
        <v>#REF!</v>
      </c>
    </row>
    <row r="733" spans="1:18" x14ac:dyDescent="0.35">
      <c r="A733" s="2">
        <v>722</v>
      </c>
      <c r="B733" s="4">
        <f t="shared" si="115"/>
        <v>14</v>
      </c>
      <c r="C733" s="4">
        <f t="shared" si="116"/>
        <v>7</v>
      </c>
      <c r="D733" s="4">
        <f t="shared" si="117"/>
        <v>2023</v>
      </c>
      <c r="E733" s="4" t="str">
        <f t="shared" si="118"/>
        <v>Friday</v>
      </c>
      <c r="F733" s="4" t="str">
        <f t="shared" si="119"/>
        <v>July</v>
      </c>
      <c r="G733" s="4" t="str">
        <f t="shared" si="120"/>
        <v>2023</v>
      </c>
      <c r="H733" s="3">
        <v>45121</v>
      </c>
      <c r="I733" s="4" t="s">
        <v>747</v>
      </c>
      <c r="J733" s="4" t="s">
        <v>20</v>
      </c>
      <c r="K733" s="4" t="str" cm="1">
        <f t="array" ref="K733">_xlfn.IFS(L733&gt;50,"Senior", L733&gt;=30,"Adult", L733&lt;30,"Young Adult")</f>
        <v>Young Adult</v>
      </c>
      <c r="L733" s="4">
        <v>20</v>
      </c>
      <c r="M733" s="4" t="s">
        <v>21</v>
      </c>
      <c r="N733" s="4">
        <v>3</v>
      </c>
      <c r="O733" s="5">
        <v>300</v>
      </c>
      <c r="P733">
        <f t="shared" si="121"/>
        <v>900</v>
      </c>
      <c r="Q733" s="14">
        <f t="shared" ref="Q733:Q734" si="124">P733*$I$4</f>
        <v>13.5</v>
      </c>
      <c r="R733" s="14">
        <f t="shared" ref="R733:R734" si="125">P733*$I$5</f>
        <v>18</v>
      </c>
    </row>
    <row r="734" spans="1:18" x14ac:dyDescent="0.35">
      <c r="A734" s="2">
        <v>723</v>
      </c>
      <c r="B734" s="4">
        <f t="shared" si="115"/>
        <v>17</v>
      </c>
      <c r="C734" s="4">
        <f t="shared" si="116"/>
        <v>6</v>
      </c>
      <c r="D734" s="4">
        <f t="shared" si="117"/>
        <v>2023</v>
      </c>
      <c r="E734" s="4" t="str">
        <f t="shared" si="118"/>
        <v>Saturday</v>
      </c>
      <c r="F734" s="4" t="str">
        <f t="shared" si="119"/>
        <v>June</v>
      </c>
      <c r="G734" s="4" t="str">
        <f t="shared" si="120"/>
        <v>2023</v>
      </c>
      <c r="H734" s="3">
        <v>45094</v>
      </c>
      <c r="I734" s="4" t="s">
        <v>748</v>
      </c>
      <c r="J734" s="4" t="s">
        <v>23</v>
      </c>
      <c r="K734" s="4" t="str" cm="1">
        <f t="array" ref="K734">_xlfn.IFS(L734&gt;50,"Senior", L734&gt;=30,"Adult", L734&lt;30,"Young Adult")</f>
        <v>Senior</v>
      </c>
      <c r="L734" s="4">
        <v>54</v>
      </c>
      <c r="M734" s="4" t="s">
        <v>21</v>
      </c>
      <c r="N734" s="4">
        <v>4</v>
      </c>
      <c r="O734" s="5">
        <v>50</v>
      </c>
      <c r="P734">
        <f t="shared" si="121"/>
        <v>200</v>
      </c>
      <c r="Q734" s="14">
        <f t="shared" si="124"/>
        <v>3</v>
      </c>
      <c r="R734" s="14">
        <f t="shared" si="125"/>
        <v>4</v>
      </c>
    </row>
    <row r="735" spans="1:18" x14ac:dyDescent="0.35">
      <c r="A735" s="2">
        <v>724</v>
      </c>
      <c r="B735" s="4">
        <f t="shared" si="115"/>
        <v>19</v>
      </c>
      <c r="C735" s="4">
        <f t="shared" si="116"/>
        <v>4</v>
      </c>
      <c r="D735" s="4">
        <f t="shared" si="117"/>
        <v>2023</v>
      </c>
      <c r="E735" s="4" t="str">
        <f t="shared" si="118"/>
        <v>Wednesday</v>
      </c>
      <c r="F735" s="4" t="str">
        <f t="shared" si="119"/>
        <v>April</v>
      </c>
      <c r="G735" s="4" t="str">
        <f t="shared" si="120"/>
        <v>2023</v>
      </c>
      <c r="H735" s="3">
        <v>45035</v>
      </c>
      <c r="I735" s="4" t="s">
        <v>749</v>
      </c>
      <c r="J735" s="4" t="s">
        <v>20</v>
      </c>
      <c r="K735" s="4" t="str" cm="1">
        <f t="array" ref="K735">_xlfn.IFS(L735&gt;50,"Senior", L735&gt;=30,"Adult", L735&lt;30,"Young Adult")</f>
        <v>Senior</v>
      </c>
      <c r="L735" s="4">
        <v>61</v>
      </c>
      <c r="M735" s="4" t="s">
        <v>24</v>
      </c>
      <c r="N735" s="4">
        <v>3</v>
      </c>
      <c r="O735" s="5">
        <v>50</v>
      </c>
      <c r="P735">
        <f t="shared" si="121"/>
        <v>150</v>
      </c>
      <c r="Q735" s="14" t="e">
        <f>P735*#REF!</f>
        <v>#REF!</v>
      </c>
      <c r="R735" s="14" t="e">
        <f>P735*#REF!</f>
        <v>#REF!</v>
      </c>
    </row>
    <row r="736" spans="1:18" x14ac:dyDescent="0.35">
      <c r="A736" s="2">
        <v>725</v>
      </c>
      <c r="B736" s="4">
        <f t="shared" si="115"/>
        <v>21</v>
      </c>
      <c r="C736" s="4">
        <f t="shared" si="116"/>
        <v>8</v>
      </c>
      <c r="D736" s="4">
        <f t="shared" si="117"/>
        <v>2023</v>
      </c>
      <c r="E736" s="4" t="str">
        <f t="shared" si="118"/>
        <v>Monday</v>
      </c>
      <c r="F736" s="4" t="str">
        <f t="shared" si="119"/>
        <v>August</v>
      </c>
      <c r="G736" s="4" t="str">
        <f t="shared" si="120"/>
        <v>2023</v>
      </c>
      <c r="H736" s="3">
        <v>45159</v>
      </c>
      <c r="I736" s="4" t="s">
        <v>750</v>
      </c>
      <c r="J736" s="4" t="s">
        <v>20</v>
      </c>
      <c r="K736" s="4" t="str" cm="1">
        <f t="array" ref="K736">_xlfn.IFS(L736&gt;50,"Senior", L736&gt;=30,"Adult", L736&lt;30,"Young Adult")</f>
        <v>Senior</v>
      </c>
      <c r="L736" s="4">
        <v>61</v>
      </c>
      <c r="M736" s="4" t="s">
        <v>26</v>
      </c>
      <c r="N736" s="4">
        <v>1</v>
      </c>
      <c r="O736" s="5">
        <v>300</v>
      </c>
      <c r="P736">
        <f t="shared" si="121"/>
        <v>300</v>
      </c>
      <c r="Q736" s="14" t="e">
        <f>P736*#REF!</f>
        <v>#REF!</v>
      </c>
      <c r="R736" s="14" t="e">
        <f>P736*#REF!</f>
        <v>#REF!</v>
      </c>
    </row>
    <row r="737" spans="1:18" x14ac:dyDescent="0.35">
      <c r="A737" s="2">
        <v>726</v>
      </c>
      <c r="B737" s="4">
        <f t="shared" si="115"/>
        <v>17</v>
      </c>
      <c r="C737" s="4">
        <f t="shared" si="116"/>
        <v>6</v>
      </c>
      <c r="D737" s="4">
        <f t="shared" si="117"/>
        <v>2023</v>
      </c>
      <c r="E737" s="4" t="str">
        <f t="shared" si="118"/>
        <v>Saturday</v>
      </c>
      <c r="F737" s="4" t="str">
        <f t="shared" si="119"/>
        <v>June</v>
      </c>
      <c r="G737" s="4" t="str">
        <f t="shared" si="120"/>
        <v>2023</v>
      </c>
      <c r="H737" s="3">
        <v>45094</v>
      </c>
      <c r="I737" s="4" t="s">
        <v>751</v>
      </c>
      <c r="J737" s="4" t="s">
        <v>20</v>
      </c>
      <c r="K737" s="4" t="str" cm="1">
        <f t="array" ref="K737">_xlfn.IFS(L737&gt;50,"Senior", L737&gt;=30,"Adult", L737&lt;30,"Young Adult")</f>
        <v>Adult</v>
      </c>
      <c r="L737" s="4">
        <v>47</v>
      </c>
      <c r="M737" s="4" t="s">
        <v>24</v>
      </c>
      <c r="N737" s="4">
        <v>4</v>
      </c>
      <c r="O737" s="5">
        <v>300</v>
      </c>
      <c r="P737">
        <f t="shared" si="121"/>
        <v>1200</v>
      </c>
      <c r="Q737" s="14" t="e">
        <f>P737*#REF!</f>
        <v>#REF!</v>
      </c>
      <c r="R737" s="14" t="e">
        <f>P737*#REF!</f>
        <v>#REF!</v>
      </c>
    </row>
    <row r="738" spans="1:18" x14ac:dyDescent="0.35">
      <c r="A738" s="2">
        <v>727</v>
      </c>
      <c r="B738" s="4">
        <f t="shared" si="115"/>
        <v>22</v>
      </c>
      <c r="C738" s="4">
        <f t="shared" si="116"/>
        <v>6</v>
      </c>
      <c r="D738" s="4">
        <f t="shared" si="117"/>
        <v>2023</v>
      </c>
      <c r="E738" s="4" t="str">
        <f t="shared" si="118"/>
        <v>Thursday</v>
      </c>
      <c r="F738" s="4" t="str">
        <f t="shared" si="119"/>
        <v>June</v>
      </c>
      <c r="G738" s="4" t="str">
        <f t="shared" si="120"/>
        <v>2023</v>
      </c>
      <c r="H738" s="3">
        <v>45099</v>
      </c>
      <c r="I738" s="4" t="s">
        <v>752</v>
      </c>
      <c r="J738" s="4" t="s">
        <v>20</v>
      </c>
      <c r="K738" s="4" t="str" cm="1">
        <f t="array" ref="K738">_xlfn.IFS(L738&gt;50,"Senior", L738&gt;=30,"Adult", L738&lt;30,"Young Adult")</f>
        <v>Senior</v>
      </c>
      <c r="L738" s="4">
        <v>55</v>
      </c>
      <c r="M738" s="4" t="s">
        <v>21</v>
      </c>
      <c r="N738" s="4">
        <v>3</v>
      </c>
      <c r="O738" s="5">
        <v>300</v>
      </c>
      <c r="P738">
        <f t="shared" si="121"/>
        <v>900</v>
      </c>
      <c r="Q738" s="14">
        <f>P738*$I$4</f>
        <v>13.5</v>
      </c>
      <c r="R738" s="14">
        <f>P738*$I$5</f>
        <v>18</v>
      </c>
    </row>
    <row r="739" spans="1:18" x14ac:dyDescent="0.35">
      <c r="A739" s="2">
        <v>728</v>
      </c>
      <c r="B739" s="4">
        <f t="shared" si="115"/>
        <v>14</v>
      </c>
      <c r="C739" s="4">
        <f t="shared" si="116"/>
        <v>7</v>
      </c>
      <c r="D739" s="4">
        <f t="shared" si="117"/>
        <v>2023</v>
      </c>
      <c r="E739" s="4" t="str">
        <f t="shared" si="118"/>
        <v>Friday</v>
      </c>
      <c r="F739" s="4" t="str">
        <f t="shared" si="119"/>
        <v>July</v>
      </c>
      <c r="G739" s="4" t="str">
        <f t="shared" si="120"/>
        <v>2023</v>
      </c>
      <c r="H739" s="3">
        <v>45121</v>
      </c>
      <c r="I739" s="4" t="s">
        <v>753</v>
      </c>
      <c r="J739" s="4" t="s">
        <v>20</v>
      </c>
      <c r="K739" s="4" t="str" cm="1">
        <f t="array" ref="K739">_xlfn.IFS(L739&gt;50,"Senior", L739&gt;=30,"Adult", L739&lt;30,"Young Adult")</f>
        <v>Senior</v>
      </c>
      <c r="L739" s="4">
        <v>51</v>
      </c>
      <c r="M739" s="4" t="s">
        <v>26</v>
      </c>
      <c r="N739" s="4">
        <v>3</v>
      </c>
      <c r="O739" s="5">
        <v>50</v>
      </c>
      <c r="P739">
        <f t="shared" si="121"/>
        <v>150</v>
      </c>
      <c r="Q739" s="14" t="e">
        <f>P739*#REF!</f>
        <v>#REF!</v>
      </c>
      <c r="R739" s="14" t="e">
        <f>P739*#REF!</f>
        <v>#REF!</v>
      </c>
    </row>
    <row r="740" spans="1:18" x14ac:dyDescent="0.35">
      <c r="A740" s="2">
        <v>729</v>
      </c>
      <c r="B740" s="4">
        <f t="shared" si="115"/>
        <v>23</v>
      </c>
      <c r="C740" s="4">
        <f t="shared" si="116"/>
        <v>5</v>
      </c>
      <c r="D740" s="4">
        <f t="shared" si="117"/>
        <v>2023</v>
      </c>
      <c r="E740" s="4" t="str">
        <f t="shared" si="118"/>
        <v>Tuesday</v>
      </c>
      <c r="F740" s="4" t="str">
        <f t="shared" si="119"/>
        <v>May</v>
      </c>
      <c r="G740" s="4" t="str">
        <f t="shared" si="120"/>
        <v>2023</v>
      </c>
      <c r="H740" s="3">
        <v>45069</v>
      </c>
      <c r="I740" s="4" t="s">
        <v>754</v>
      </c>
      <c r="J740" s="4" t="s">
        <v>20</v>
      </c>
      <c r="K740" s="4" t="str" cm="1">
        <f t="array" ref="K740">_xlfn.IFS(L740&gt;50,"Senior", L740&gt;=30,"Adult", L740&lt;30,"Young Adult")</f>
        <v>Young Adult</v>
      </c>
      <c r="L740" s="4">
        <v>29</v>
      </c>
      <c r="M740" s="4" t="s">
        <v>24</v>
      </c>
      <c r="N740" s="4">
        <v>4</v>
      </c>
      <c r="O740" s="5">
        <v>300</v>
      </c>
      <c r="P740">
        <f t="shared" si="121"/>
        <v>1200</v>
      </c>
      <c r="Q740" s="14" t="e">
        <f>P740*#REF!</f>
        <v>#REF!</v>
      </c>
      <c r="R740" s="14" t="e">
        <f>P740*#REF!</f>
        <v>#REF!</v>
      </c>
    </row>
    <row r="741" spans="1:18" x14ac:dyDescent="0.35">
      <c r="A741" s="2">
        <v>730</v>
      </c>
      <c r="B741" s="4">
        <f t="shared" si="115"/>
        <v>4</v>
      </c>
      <c r="C741" s="4">
        <f t="shared" si="116"/>
        <v>8</v>
      </c>
      <c r="D741" s="4">
        <f t="shared" si="117"/>
        <v>2023</v>
      </c>
      <c r="E741" s="4" t="str">
        <f t="shared" si="118"/>
        <v>Friday</v>
      </c>
      <c r="F741" s="4" t="str">
        <f t="shared" si="119"/>
        <v>August</v>
      </c>
      <c r="G741" s="4" t="str">
        <f t="shared" si="120"/>
        <v>2023</v>
      </c>
      <c r="H741" s="3">
        <v>45142</v>
      </c>
      <c r="I741" s="4" t="s">
        <v>755</v>
      </c>
      <c r="J741" s="4" t="s">
        <v>23</v>
      </c>
      <c r="K741" s="4" t="str" cm="1">
        <f t="array" ref="K741">_xlfn.IFS(L741&gt;50,"Senior", L741&gt;=30,"Adult", L741&lt;30,"Young Adult")</f>
        <v>Adult</v>
      </c>
      <c r="L741" s="4">
        <v>36</v>
      </c>
      <c r="M741" s="4" t="s">
        <v>24</v>
      </c>
      <c r="N741" s="4">
        <v>2</v>
      </c>
      <c r="O741" s="5">
        <v>25</v>
      </c>
      <c r="P741">
        <f t="shared" si="121"/>
        <v>50</v>
      </c>
      <c r="Q741" s="14" t="e">
        <f>P741*#REF!</f>
        <v>#REF!</v>
      </c>
      <c r="R741" s="14" t="e">
        <f>P741*#REF!</f>
        <v>#REF!</v>
      </c>
    </row>
    <row r="742" spans="1:18" x14ac:dyDescent="0.35">
      <c r="A742" s="2">
        <v>731</v>
      </c>
      <c r="B742" s="4">
        <f t="shared" si="115"/>
        <v>10</v>
      </c>
      <c r="C742" s="4">
        <f t="shared" si="116"/>
        <v>5</v>
      </c>
      <c r="D742" s="4">
        <f t="shared" si="117"/>
        <v>2023</v>
      </c>
      <c r="E742" s="4" t="str">
        <f t="shared" si="118"/>
        <v>Wednesday</v>
      </c>
      <c r="F742" s="4" t="str">
        <f t="shared" si="119"/>
        <v>May</v>
      </c>
      <c r="G742" s="4" t="str">
        <f t="shared" si="120"/>
        <v>2023</v>
      </c>
      <c r="H742" s="3">
        <v>45056</v>
      </c>
      <c r="I742" s="4" t="s">
        <v>756</v>
      </c>
      <c r="J742" s="4" t="s">
        <v>20</v>
      </c>
      <c r="K742" s="4" t="str" cm="1">
        <f t="array" ref="K742">_xlfn.IFS(L742&gt;50,"Senior", L742&gt;=30,"Adult", L742&lt;30,"Young Adult")</f>
        <v>Senior</v>
      </c>
      <c r="L742" s="4">
        <v>54</v>
      </c>
      <c r="M742" s="4" t="s">
        <v>24</v>
      </c>
      <c r="N742" s="4">
        <v>4</v>
      </c>
      <c r="O742" s="5">
        <v>500</v>
      </c>
      <c r="P742">
        <f t="shared" si="121"/>
        <v>2000</v>
      </c>
      <c r="Q742" s="14" t="e">
        <f>P742*#REF!</f>
        <v>#REF!</v>
      </c>
      <c r="R742" s="14" t="e">
        <f>P742*#REF!</f>
        <v>#REF!</v>
      </c>
    </row>
    <row r="743" spans="1:18" x14ac:dyDescent="0.35">
      <c r="A743" s="2">
        <v>732</v>
      </c>
      <c r="B743" s="4">
        <f t="shared" si="115"/>
        <v>11</v>
      </c>
      <c r="C743" s="4">
        <f t="shared" si="116"/>
        <v>2</v>
      </c>
      <c r="D743" s="4">
        <f t="shared" si="117"/>
        <v>2023</v>
      </c>
      <c r="E743" s="4" t="str">
        <f t="shared" si="118"/>
        <v>Saturday</v>
      </c>
      <c r="F743" s="4" t="str">
        <f t="shared" si="119"/>
        <v>February</v>
      </c>
      <c r="G743" s="4" t="str">
        <f t="shared" si="120"/>
        <v>2023</v>
      </c>
      <c r="H743" s="3">
        <v>44968</v>
      </c>
      <c r="I743" s="4" t="s">
        <v>757</v>
      </c>
      <c r="J743" s="4" t="s">
        <v>20</v>
      </c>
      <c r="K743" s="4" t="str" cm="1">
        <f t="array" ref="K743">_xlfn.IFS(L743&gt;50,"Senior", L743&gt;=30,"Adult", L743&lt;30,"Young Adult")</f>
        <v>Senior</v>
      </c>
      <c r="L743" s="4">
        <v>61</v>
      </c>
      <c r="M743" s="4" t="s">
        <v>26</v>
      </c>
      <c r="N743" s="4">
        <v>2</v>
      </c>
      <c r="O743" s="5">
        <v>500</v>
      </c>
      <c r="P743">
        <f t="shared" si="121"/>
        <v>1000</v>
      </c>
      <c r="Q743" s="14" t="e">
        <f>P743*#REF!</f>
        <v>#REF!</v>
      </c>
      <c r="R743" s="14" t="e">
        <f>P743*#REF!</f>
        <v>#REF!</v>
      </c>
    </row>
    <row r="744" spans="1:18" x14ac:dyDescent="0.35">
      <c r="A744" s="2">
        <v>733</v>
      </c>
      <c r="B744" s="4">
        <f t="shared" si="115"/>
        <v>29</v>
      </c>
      <c r="C744" s="4">
        <f t="shared" si="116"/>
        <v>8</v>
      </c>
      <c r="D744" s="4">
        <f t="shared" si="117"/>
        <v>2023</v>
      </c>
      <c r="E744" s="4" t="str">
        <f t="shared" si="118"/>
        <v>Tuesday</v>
      </c>
      <c r="F744" s="4" t="str">
        <f t="shared" si="119"/>
        <v>August</v>
      </c>
      <c r="G744" s="4" t="str">
        <f t="shared" si="120"/>
        <v>2023</v>
      </c>
      <c r="H744" s="3">
        <v>45167</v>
      </c>
      <c r="I744" s="4" t="s">
        <v>758</v>
      </c>
      <c r="J744" s="4" t="s">
        <v>20</v>
      </c>
      <c r="K744" s="4" t="str" cm="1">
        <f t="array" ref="K744">_xlfn.IFS(L744&gt;50,"Senior", L744&gt;=30,"Adult", L744&lt;30,"Young Adult")</f>
        <v>Adult</v>
      </c>
      <c r="L744" s="4">
        <v>34</v>
      </c>
      <c r="M744" s="4" t="s">
        <v>21</v>
      </c>
      <c r="N744" s="4">
        <v>1</v>
      </c>
      <c r="O744" s="5">
        <v>30</v>
      </c>
      <c r="P744">
        <f t="shared" si="121"/>
        <v>30</v>
      </c>
      <c r="Q744" s="14">
        <f>P744*$I$4</f>
        <v>0.44999999999999996</v>
      </c>
      <c r="R744" s="14">
        <f>P744*$I$5</f>
        <v>0.6</v>
      </c>
    </row>
    <row r="745" spans="1:18" x14ac:dyDescent="0.35">
      <c r="A745" s="2">
        <v>734</v>
      </c>
      <c r="B745" s="4">
        <f t="shared" si="115"/>
        <v>10</v>
      </c>
      <c r="C745" s="4">
        <f t="shared" si="116"/>
        <v>1</v>
      </c>
      <c r="D745" s="4">
        <f t="shared" si="117"/>
        <v>2023</v>
      </c>
      <c r="E745" s="4" t="str">
        <f t="shared" si="118"/>
        <v>Tuesday</v>
      </c>
      <c r="F745" s="4" t="str">
        <f t="shared" si="119"/>
        <v>January</v>
      </c>
      <c r="G745" s="4" t="str">
        <f t="shared" si="120"/>
        <v>2023</v>
      </c>
      <c r="H745" s="3">
        <v>44936</v>
      </c>
      <c r="I745" s="4" t="s">
        <v>759</v>
      </c>
      <c r="J745" s="4" t="s">
        <v>23</v>
      </c>
      <c r="K745" s="4" t="str" cm="1">
        <f t="array" ref="K745">_xlfn.IFS(L745&gt;50,"Senior", L745&gt;=30,"Adult", L745&lt;30,"Young Adult")</f>
        <v>Young Adult</v>
      </c>
      <c r="L745" s="4">
        <v>27</v>
      </c>
      <c r="M745" s="4" t="s">
        <v>24</v>
      </c>
      <c r="N745" s="4">
        <v>1</v>
      </c>
      <c r="O745" s="5">
        <v>30</v>
      </c>
      <c r="P745">
        <f t="shared" si="121"/>
        <v>30</v>
      </c>
      <c r="Q745" s="14" t="e">
        <f>P745*#REF!</f>
        <v>#REF!</v>
      </c>
      <c r="R745" s="14" t="e">
        <f>P745*#REF!</f>
        <v>#REF!</v>
      </c>
    </row>
    <row r="746" spans="1:18" x14ac:dyDescent="0.35">
      <c r="A746" s="2">
        <v>735</v>
      </c>
      <c r="B746" s="4">
        <f t="shared" si="115"/>
        <v>4</v>
      </c>
      <c r="C746" s="4">
        <f t="shared" si="116"/>
        <v>10</v>
      </c>
      <c r="D746" s="4">
        <f t="shared" si="117"/>
        <v>2023</v>
      </c>
      <c r="E746" s="4" t="str">
        <f t="shared" si="118"/>
        <v>Wednesday</v>
      </c>
      <c r="F746" s="4" t="str">
        <f t="shared" si="119"/>
        <v>October</v>
      </c>
      <c r="G746" s="4" t="str">
        <f t="shared" si="120"/>
        <v>2023</v>
      </c>
      <c r="H746" s="3">
        <v>45203</v>
      </c>
      <c r="I746" s="4" t="s">
        <v>760</v>
      </c>
      <c r="J746" s="4" t="s">
        <v>23</v>
      </c>
      <c r="K746" s="4" t="str" cm="1">
        <f t="array" ref="K746">_xlfn.IFS(L746&gt;50,"Senior", L746&gt;=30,"Adult", L746&lt;30,"Young Adult")</f>
        <v>Senior</v>
      </c>
      <c r="L746" s="4">
        <v>64</v>
      </c>
      <c r="M746" s="4" t="s">
        <v>24</v>
      </c>
      <c r="N746" s="4">
        <v>4</v>
      </c>
      <c r="O746" s="5">
        <v>500</v>
      </c>
      <c r="P746">
        <f t="shared" si="121"/>
        <v>2000</v>
      </c>
      <c r="Q746" s="14" t="e">
        <f>P746*#REF!</f>
        <v>#REF!</v>
      </c>
      <c r="R746" s="14" t="e">
        <f>P746*#REF!</f>
        <v>#REF!</v>
      </c>
    </row>
    <row r="747" spans="1:18" x14ac:dyDescent="0.35">
      <c r="A747" s="2">
        <v>736</v>
      </c>
      <c r="B747" s="4">
        <f t="shared" si="115"/>
        <v>27</v>
      </c>
      <c r="C747" s="4">
        <f t="shared" si="116"/>
        <v>1</v>
      </c>
      <c r="D747" s="4">
        <f t="shared" si="117"/>
        <v>2023</v>
      </c>
      <c r="E747" s="4" t="str">
        <f t="shared" si="118"/>
        <v>Friday</v>
      </c>
      <c r="F747" s="4" t="str">
        <f t="shared" si="119"/>
        <v>January</v>
      </c>
      <c r="G747" s="4" t="str">
        <f t="shared" si="120"/>
        <v>2023</v>
      </c>
      <c r="H747" s="3">
        <v>44953</v>
      </c>
      <c r="I747" s="4" t="s">
        <v>761</v>
      </c>
      <c r="J747" s="4" t="s">
        <v>20</v>
      </c>
      <c r="K747" s="4" t="str" cm="1">
        <f t="array" ref="K747">_xlfn.IFS(L747&gt;50,"Senior", L747&gt;=30,"Adult", L747&lt;30,"Young Adult")</f>
        <v>Young Adult</v>
      </c>
      <c r="L747" s="4">
        <v>29</v>
      </c>
      <c r="M747" s="4" t="s">
        <v>24</v>
      </c>
      <c r="N747" s="4">
        <v>4</v>
      </c>
      <c r="O747" s="5">
        <v>25</v>
      </c>
      <c r="P747">
        <f t="shared" si="121"/>
        <v>100</v>
      </c>
      <c r="Q747" s="14" t="e">
        <f>P747*#REF!</f>
        <v>#REF!</v>
      </c>
      <c r="R747" s="14" t="e">
        <f>P747*#REF!</f>
        <v>#REF!</v>
      </c>
    </row>
    <row r="748" spans="1:18" x14ac:dyDescent="0.35">
      <c r="A748" s="2">
        <v>737</v>
      </c>
      <c r="B748" s="4">
        <f t="shared" si="115"/>
        <v>29</v>
      </c>
      <c r="C748" s="4">
        <f t="shared" si="116"/>
        <v>6</v>
      </c>
      <c r="D748" s="4">
        <f t="shared" si="117"/>
        <v>2023</v>
      </c>
      <c r="E748" s="4" t="str">
        <f t="shared" si="118"/>
        <v>Thursday</v>
      </c>
      <c r="F748" s="4" t="str">
        <f t="shared" si="119"/>
        <v>June</v>
      </c>
      <c r="G748" s="4" t="str">
        <f t="shared" si="120"/>
        <v>2023</v>
      </c>
      <c r="H748" s="3">
        <v>45106</v>
      </c>
      <c r="I748" s="4" t="s">
        <v>762</v>
      </c>
      <c r="J748" s="4" t="s">
        <v>23</v>
      </c>
      <c r="K748" s="4" t="str" cm="1">
        <f t="array" ref="K748">_xlfn.IFS(L748&gt;50,"Senior", L748&gt;=30,"Adult", L748&lt;30,"Young Adult")</f>
        <v>Adult</v>
      </c>
      <c r="L748" s="4">
        <v>33</v>
      </c>
      <c r="M748" s="4" t="s">
        <v>24</v>
      </c>
      <c r="N748" s="4">
        <v>1</v>
      </c>
      <c r="O748" s="5">
        <v>50</v>
      </c>
      <c r="P748">
        <f t="shared" si="121"/>
        <v>50</v>
      </c>
      <c r="Q748" s="14" t="e">
        <f>P748*#REF!</f>
        <v>#REF!</v>
      </c>
      <c r="R748" s="14" t="e">
        <f>P748*#REF!</f>
        <v>#REF!</v>
      </c>
    </row>
    <row r="749" spans="1:18" x14ac:dyDescent="0.35">
      <c r="A749" s="2">
        <v>738</v>
      </c>
      <c r="B749" s="4">
        <f t="shared" si="115"/>
        <v>25</v>
      </c>
      <c r="C749" s="4">
        <f t="shared" si="116"/>
        <v>4</v>
      </c>
      <c r="D749" s="4">
        <f t="shared" si="117"/>
        <v>2023</v>
      </c>
      <c r="E749" s="4" t="str">
        <f t="shared" si="118"/>
        <v>Tuesday</v>
      </c>
      <c r="F749" s="4" t="str">
        <f t="shared" si="119"/>
        <v>April</v>
      </c>
      <c r="G749" s="4" t="str">
        <f t="shared" si="120"/>
        <v>2023</v>
      </c>
      <c r="H749" s="3">
        <v>45041</v>
      </c>
      <c r="I749" s="4" t="s">
        <v>763</v>
      </c>
      <c r="J749" s="4" t="s">
        <v>20</v>
      </c>
      <c r="K749" s="4" t="str" cm="1">
        <f t="array" ref="K749">_xlfn.IFS(L749&gt;50,"Senior", L749&gt;=30,"Adult", L749&lt;30,"Young Adult")</f>
        <v>Adult</v>
      </c>
      <c r="L749" s="4">
        <v>41</v>
      </c>
      <c r="M749" s="4" t="s">
        <v>24</v>
      </c>
      <c r="N749" s="4">
        <v>2</v>
      </c>
      <c r="O749" s="5">
        <v>50</v>
      </c>
      <c r="P749">
        <f t="shared" si="121"/>
        <v>100</v>
      </c>
      <c r="Q749" s="14" t="e">
        <f>P749*#REF!</f>
        <v>#REF!</v>
      </c>
      <c r="R749" s="14" t="e">
        <f>P749*#REF!</f>
        <v>#REF!</v>
      </c>
    </row>
    <row r="750" spans="1:18" x14ac:dyDescent="0.35">
      <c r="A750" s="2">
        <v>739</v>
      </c>
      <c r="B750" s="4">
        <f t="shared" si="115"/>
        <v>29</v>
      </c>
      <c r="C750" s="4">
        <f t="shared" si="116"/>
        <v>11</v>
      </c>
      <c r="D750" s="4">
        <f t="shared" si="117"/>
        <v>2023</v>
      </c>
      <c r="E750" s="4" t="str">
        <f t="shared" si="118"/>
        <v>Wednesday</v>
      </c>
      <c r="F750" s="4" t="str">
        <f t="shared" si="119"/>
        <v>November</v>
      </c>
      <c r="G750" s="4" t="str">
        <f t="shared" si="120"/>
        <v>2023</v>
      </c>
      <c r="H750" s="3">
        <v>45259</v>
      </c>
      <c r="I750" s="4" t="s">
        <v>764</v>
      </c>
      <c r="J750" s="4" t="s">
        <v>20</v>
      </c>
      <c r="K750" s="4" t="str" cm="1">
        <f t="array" ref="K750">_xlfn.IFS(L750&gt;50,"Senior", L750&gt;=30,"Adult", L750&lt;30,"Young Adult")</f>
        <v>Adult</v>
      </c>
      <c r="L750" s="4">
        <v>36</v>
      </c>
      <c r="M750" s="4" t="s">
        <v>21</v>
      </c>
      <c r="N750" s="4">
        <v>1</v>
      </c>
      <c r="O750" s="5">
        <v>25</v>
      </c>
      <c r="P750">
        <f t="shared" si="121"/>
        <v>25</v>
      </c>
      <c r="Q750" s="14">
        <f t="shared" ref="Q750:Q751" si="126">P750*$I$4</f>
        <v>0.375</v>
      </c>
      <c r="R750" s="14">
        <f t="shared" ref="R750:R751" si="127">P750*$I$5</f>
        <v>0.5</v>
      </c>
    </row>
    <row r="751" spans="1:18" x14ac:dyDescent="0.35">
      <c r="A751" s="2">
        <v>740</v>
      </c>
      <c r="B751" s="4">
        <f t="shared" si="115"/>
        <v>5</v>
      </c>
      <c r="C751" s="4">
        <f t="shared" si="116"/>
        <v>2</v>
      </c>
      <c r="D751" s="4">
        <f t="shared" si="117"/>
        <v>2023</v>
      </c>
      <c r="E751" s="4" t="str">
        <f t="shared" si="118"/>
        <v>Sunday</v>
      </c>
      <c r="F751" s="4" t="str">
        <f t="shared" si="119"/>
        <v>February</v>
      </c>
      <c r="G751" s="4" t="str">
        <f t="shared" si="120"/>
        <v>2023</v>
      </c>
      <c r="H751" s="3">
        <v>44962</v>
      </c>
      <c r="I751" s="4" t="s">
        <v>765</v>
      </c>
      <c r="J751" s="4" t="s">
        <v>23</v>
      </c>
      <c r="K751" s="4" t="str" cm="1">
        <f t="array" ref="K751">_xlfn.IFS(L751&gt;50,"Senior", L751&gt;=30,"Adult", L751&lt;30,"Young Adult")</f>
        <v>Young Adult</v>
      </c>
      <c r="L751" s="4">
        <v>25</v>
      </c>
      <c r="M751" s="4" t="s">
        <v>21</v>
      </c>
      <c r="N751" s="4">
        <v>4</v>
      </c>
      <c r="O751" s="5">
        <v>50</v>
      </c>
      <c r="P751">
        <f t="shared" si="121"/>
        <v>200</v>
      </c>
      <c r="Q751" s="14">
        <f t="shared" si="126"/>
        <v>3</v>
      </c>
      <c r="R751" s="14">
        <f t="shared" si="127"/>
        <v>4</v>
      </c>
    </row>
    <row r="752" spans="1:18" x14ac:dyDescent="0.35">
      <c r="A752" s="2">
        <v>741</v>
      </c>
      <c r="B752" s="4">
        <f t="shared" si="115"/>
        <v>30</v>
      </c>
      <c r="C752" s="4">
        <f t="shared" si="116"/>
        <v>11</v>
      </c>
      <c r="D752" s="4">
        <f t="shared" si="117"/>
        <v>2023</v>
      </c>
      <c r="E752" s="4" t="str">
        <f t="shared" si="118"/>
        <v>Thursday</v>
      </c>
      <c r="F752" s="4" t="str">
        <f t="shared" si="119"/>
        <v>November</v>
      </c>
      <c r="G752" s="4" t="str">
        <f t="shared" si="120"/>
        <v>2023</v>
      </c>
      <c r="H752" s="3">
        <v>45260</v>
      </c>
      <c r="I752" s="4" t="s">
        <v>766</v>
      </c>
      <c r="J752" s="4" t="s">
        <v>20</v>
      </c>
      <c r="K752" s="4" t="str" cm="1">
        <f t="array" ref="K752">_xlfn.IFS(L752&gt;50,"Senior", L752&gt;=30,"Adult", L752&lt;30,"Young Adult")</f>
        <v>Adult</v>
      </c>
      <c r="L752" s="4">
        <v>48</v>
      </c>
      <c r="M752" s="4" t="s">
        <v>24</v>
      </c>
      <c r="N752" s="4">
        <v>1</v>
      </c>
      <c r="O752" s="5">
        <v>300</v>
      </c>
      <c r="P752">
        <f t="shared" si="121"/>
        <v>300</v>
      </c>
      <c r="Q752" s="14" t="e">
        <f>P752*#REF!</f>
        <v>#REF!</v>
      </c>
      <c r="R752" s="14" t="e">
        <f>P752*#REF!</f>
        <v>#REF!</v>
      </c>
    </row>
    <row r="753" spans="1:18" x14ac:dyDescent="0.35">
      <c r="A753" s="2">
        <v>742</v>
      </c>
      <c r="B753" s="4">
        <f t="shared" si="115"/>
        <v>21</v>
      </c>
      <c r="C753" s="4">
        <f t="shared" si="116"/>
        <v>1</v>
      </c>
      <c r="D753" s="4">
        <f t="shared" si="117"/>
        <v>2023</v>
      </c>
      <c r="E753" s="4" t="str">
        <f t="shared" si="118"/>
        <v>Saturday</v>
      </c>
      <c r="F753" s="4" t="str">
        <f t="shared" si="119"/>
        <v>January</v>
      </c>
      <c r="G753" s="4" t="str">
        <f t="shared" si="120"/>
        <v>2023</v>
      </c>
      <c r="H753" s="3">
        <v>44947</v>
      </c>
      <c r="I753" s="4" t="s">
        <v>767</v>
      </c>
      <c r="J753" s="4" t="s">
        <v>23</v>
      </c>
      <c r="K753" s="4" t="str" cm="1">
        <f t="array" ref="K753">_xlfn.IFS(L753&gt;50,"Senior", L753&gt;=30,"Adult", L753&lt;30,"Young Adult")</f>
        <v>Adult</v>
      </c>
      <c r="L753" s="4">
        <v>38</v>
      </c>
      <c r="M753" s="4" t="s">
        <v>26</v>
      </c>
      <c r="N753" s="4">
        <v>4</v>
      </c>
      <c r="O753" s="5">
        <v>500</v>
      </c>
      <c r="P753">
        <f t="shared" si="121"/>
        <v>2000</v>
      </c>
      <c r="Q753" s="14" t="e">
        <f>P753*#REF!</f>
        <v>#REF!</v>
      </c>
      <c r="R753" s="14" t="e">
        <f>P753*#REF!</f>
        <v>#REF!</v>
      </c>
    </row>
    <row r="754" spans="1:18" x14ac:dyDescent="0.35">
      <c r="A754" s="2">
        <v>743</v>
      </c>
      <c r="B754" s="4">
        <f t="shared" si="115"/>
        <v>16</v>
      </c>
      <c r="C754" s="4">
        <f t="shared" si="116"/>
        <v>1</v>
      </c>
      <c r="D754" s="4">
        <f t="shared" si="117"/>
        <v>2023</v>
      </c>
      <c r="E754" s="4" t="str">
        <f t="shared" si="118"/>
        <v>Monday</v>
      </c>
      <c r="F754" s="4" t="str">
        <f t="shared" si="119"/>
        <v>January</v>
      </c>
      <c r="G754" s="4" t="str">
        <f t="shared" si="120"/>
        <v>2023</v>
      </c>
      <c r="H754" s="3">
        <v>44942</v>
      </c>
      <c r="I754" s="4" t="s">
        <v>768</v>
      </c>
      <c r="J754" s="4" t="s">
        <v>23</v>
      </c>
      <c r="K754" s="4" t="str" cm="1">
        <f t="array" ref="K754">_xlfn.IFS(L754&gt;50,"Senior", L754&gt;=30,"Adult", L754&lt;30,"Young Adult")</f>
        <v>Adult</v>
      </c>
      <c r="L754" s="4">
        <v>34</v>
      </c>
      <c r="M754" s="4" t="s">
        <v>21</v>
      </c>
      <c r="N754" s="4">
        <v>4</v>
      </c>
      <c r="O754" s="5">
        <v>500</v>
      </c>
      <c r="P754">
        <f t="shared" si="121"/>
        <v>2000</v>
      </c>
      <c r="Q754" s="14">
        <f>P754*$I$4</f>
        <v>30</v>
      </c>
      <c r="R754" s="14">
        <f>P754*$I$5</f>
        <v>40</v>
      </c>
    </row>
    <row r="755" spans="1:18" x14ac:dyDescent="0.35">
      <c r="A755" s="2">
        <v>744</v>
      </c>
      <c r="B755" s="4">
        <f t="shared" si="115"/>
        <v>7</v>
      </c>
      <c r="C755" s="4">
        <f t="shared" si="116"/>
        <v>5</v>
      </c>
      <c r="D755" s="4">
        <f t="shared" si="117"/>
        <v>2023</v>
      </c>
      <c r="E755" s="4" t="str">
        <f t="shared" si="118"/>
        <v>Sunday</v>
      </c>
      <c r="F755" s="4" t="str">
        <f t="shared" si="119"/>
        <v>May</v>
      </c>
      <c r="G755" s="4" t="str">
        <f t="shared" si="120"/>
        <v>2023</v>
      </c>
      <c r="H755" s="3">
        <v>45053</v>
      </c>
      <c r="I755" s="4" t="s">
        <v>769</v>
      </c>
      <c r="J755" s="4" t="s">
        <v>20</v>
      </c>
      <c r="K755" s="4" t="str" cm="1">
        <f t="array" ref="K755">_xlfn.IFS(L755&gt;50,"Senior", L755&gt;=30,"Adult", L755&lt;30,"Young Adult")</f>
        <v>Adult</v>
      </c>
      <c r="L755" s="4">
        <v>40</v>
      </c>
      <c r="M755" s="4" t="s">
        <v>26</v>
      </c>
      <c r="N755" s="4">
        <v>1</v>
      </c>
      <c r="O755" s="5">
        <v>25</v>
      </c>
      <c r="P755">
        <f t="shared" si="121"/>
        <v>25</v>
      </c>
      <c r="Q755" s="14" t="e">
        <f>P755*#REF!</f>
        <v>#REF!</v>
      </c>
      <c r="R755" s="14" t="e">
        <f>P755*#REF!</f>
        <v>#REF!</v>
      </c>
    </row>
    <row r="756" spans="1:18" x14ac:dyDescent="0.35">
      <c r="A756" s="2">
        <v>745</v>
      </c>
      <c r="B756" s="4">
        <f t="shared" si="115"/>
        <v>13</v>
      </c>
      <c r="C756" s="4">
        <f t="shared" si="116"/>
        <v>4</v>
      </c>
      <c r="D756" s="4">
        <f t="shared" si="117"/>
        <v>2023</v>
      </c>
      <c r="E756" s="4" t="str">
        <f t="shared" si="118"/>
        <v>Thursday</v>
      </c>
      <c r="F756" s="4" t="str">
        <f t="shared" si="119"/>
        <v>April</v>
      </c>
      <c r="G756" s="4" t="str">
        <f t="shared" si="120"/>
        <v>2023</v>
      </c>
      <c r="H756" s="3">
        <v>45029</v>
      </c>
      <c r="I756" s="4" t="s">
        <v>770</v>
      </c>
      <c r="J756" s="4" t="s">
        <v>20</v>
      </c>
      <c r="K756" s="4" t="str" cm="1">
        <f t="array" ref="K756">_xlfn.IFS(L756&gt;50,"Senior", L756&gt;=30,"Adult", L756&lt;30,"Young Adult")</f>
        <v>Senior</v>
      </c>
      <c r="L756" s="4">
        <v>54</v>
      </c>
      <c r="M756" s="4" t="s">
        <v>21</v>
      </c>
      <c r="N756" s="4">
        <v>2</v>
      </c>
      <c r="O756" s="5">
        <v>50</v>
      </c>
      <c r="P756">
        <f t="shared" si="121"/>
        <v>100</v>
      </c>
      <c r="Q756" s="14">
        <f>P756*$I$4</f>
        <v>1.5</v>
      </c>
      <c r="R756" s="14">
        <f>P756*$I$5</f>
        <v>2</v>
      </c>
    </row>
    <row r="757" spans="1:18" x14ac:dyDescent="0.35">
      <c r="A757" s="2">
        <v>746</v>
      </c>
      <c r="B757" s="4">
        <f t="shared" si="115"/>
        <v>11</v>
      </c>
      <c r="C757" s="4">
        <f t="shared" si="116"/>
        <v>1</v>
      </c>
      <c r="D757" s="4">
        <f t="shared" si="117"/>
        <v>2023</v>
      </c>
      <c r="E757" s="4" t="str">
        <f t="shared" si="118"/>
        <v>Wednesday</v>
      </c>
      <c r="F757" s="4" t="str">
        <f t="shared" si="119"/>
        <v>January</v>
      </c>
      <c r="G757" s="4" t="str">
        <f t="shared" si="120"/>
        <v>2023</v>
      </c>
      <c r="H757" s="3">
        <v>44937</v>
      </c>
      <c r="I757" s="4" t="s">
        <v>771</v>
      </c>
      <c r="J757" s="4" t="s">
        <v>23</v>
      </c>
      <c r="K757" s="4" t="str" cm="1">
        <f t="array" ref="K757">_xlfn.IFS(L757&gt;50,"Senior", L757&gt;=30,"Adult", L757&lt;30,"Young Adult")</f>
        <v>Adult</v>
      </c>
      <c r="L757" s="4">
        <v>33</v>
      </c>
      <c r="M757" s="4" t="s">
        <v>24</v>
      </c>
      <c r="N757" s="4">
        <v>3</v>
      </c>
      <c r="O757" s="5">
        <v>30</v>
      </c>
      <c r="P757">
        <f t="shared" si="121"/>
        <v>90</v>
      </c>
      <c r="Q757" s="14" t="e">
        <f>P757*#REF!</f>
        <v>#REF!</v>
      </c>
      <c r="R757" s="14" t="e">
        <f>P757*#REF!</f>
        <v>#REF!</v>
      </c>
    </row>
    <row r="758" spans="1:18" x14ac:dyDescent="0.35">
      <c r="A758" s="2">
        <v>747</v>
      </c>
      <c r="B758" s="4">
        <f t="shared" si="115"/>
        <v>15</v>
      </c>
      <c r="C758" s="4">
        <f t="shared" si="116"/>
        <v>11</v>
      </c>
      <c r="D758" s="4">
        <f t="shared" si="117"/>
        <v>2023</v>
      </c>
      <c r="E758" s="4" t="str">
        <f t="shared" si="118"/>
        <v>Wednesday</v>
      </c>
      <c r="F758" s="4" t="str">
        <f t="shared" si="119"/>
        <v>November</v>
      </c>
      <c r="G758" s="4" t="str">
        <f t="shared" si="120"/>
        <v>2023</v>
      </c>
      <c r="H758" s="3">
        <v>45245</v>
      </c>
      <c r="I758" s="4" t="s">
        <v>772</v>
      </c>
      <c r="J758" s="4" t="s">
        <v>20</v>
      </c>
      <c r="K758" s="4" t="str" cm="1">
        <f t="array" ref="K758">_xlfn.IFS(L758&gt;50,"Senior", L758&gt;=30,"Adult", L758&lt;30,"Young Adult")</f>
        <v>Young Adult</v>
      </c>
      <c r="L758" s="4">
        <v>23</v>
      </c>
      <c r="M758" s="4" t="s">
        <v>21</v>
      </c>
      <c r="N758" s="4">
        <v>1</v>
      </c>
      <c r="O758" s="5">
        <v>30</v>
      </c>
      <c r="P758">
        <f t="shared" si="121"/>
        <v>30</v>
      </c>
      <c r="Q758" s="14">
        <f>P758*$I$4</f>
        <v>0.44999999999999996</v>
      </c>
      <c r="R758" s="14">
        <f>P758*$I$5</f>
        <v>0.6</v>
      </c>
    </row>
    <row r="759" spans="1:18" x14ac:dyDescent="0.35">
      <c r="A759" s="2">
        <v>748</v>
      </c>
      <c r="B759" s="4">
        <f t="shared" si="115"/>
        <v>20</v>
      </c>
      <c r="C759" s="4">
        <f t="shared" si="116"/>
        <v>3</v>
      </c>
      <c r="D759" s="4">
        <f t="shared" si="117"/>
        <v>2023</v>
      </c>
      <c r="E759" s="4" t="str">
        <f t="shared" si="118"/>
        <v>Monday</v>
      </c>
      <c r="F759" s="4" t="str">
        <f t="shared" si="119"/>
        <v>March</v>
      </c>
      <c r="G759" s="4" t="str">
        <f t="shared" si="120"/>
        <v>2023</v>
      </c>
      <c r="H759" s="3">
        <v>45005</v>
      </c>
      <c r="I759" s="4" t="s">
        <v>773</v>
      </c>
      <c r="J759" s="4" t="s">
        <v>20</v>
      </c>
      <c r="K759" s="4" t="str" cm="1">
        <f t="array" ref="K759">_xlfn.IFS(L759&gt;50,"Senior", L759&gt;=30,"Adult", L759&lt;30,"Young Adult")</f>
        <v>Young Adult</v>
      </c>
      <c r="L759" s="4">
        <v>25</v>
      </c>
      <c r="M759" s="4" t="s">
        <v>24</v>
      </c>
      <c r="N759" s="4">
        <v>3</v>
      </c>
      <c r="O759" s="5">
        <v>50</v>
      </c>
      <c r="P759">
        <f t="shared" si="121"/>
        <v>150</v>
      </c>
      <c r="Q759" s="14" t="e">
        <f>P759*#REF!</f>
        <v>#REF!</v>
      </c>
      <c r="R759" s="14" t="e">
        <f>P759*#REF!</f>
        <v>#REF!</v>
      </c>
    </row>
    <row r="760" spans="1:18" x14ac:dyDescent="0.35">
      <c r="A760" s="2">
        <v>749</v>
      </c>
      <c r="B760" s="4">
        <f t="shared" si="115"/>
        <v>3</v>
      </c>
      <c r="C760" s="4">
        <f t="shared" si="116"/>
        <v>5</v>
      </c>
      <c r="D760" s="4">
        <f t="shared" si="117"/>
        <v>2023</v>
      </c>
      <c r="E760" s="4" t="str">
        <f t="shared" si="118"/>
        <v>Wednesday</v>
      </c>
      <c r="F760" s="4" t="str">
        <f t="shared" si="119"/>
        <v>May</v>
      </c>
      <c r="G760" s="4" t="str">
        <f t="shared" si="120"/>
        <v>2023</v>
      </c>
      <c r="H760" s="3">
        <v>45049</v>
      </c>
      <c r="I760" s="4" t="s">
        <v>774</v>
      </c>
      <c r="J760" s="4" t="s">
        <v>20</v>
      </c>
      <c r="K760" s="4" t="str" cm="1">
        <f t="array" ref="K760">_xlfn.IFS(L760&gt;50,"Senior", L760&gt;=30,"Adult", L760&lt;30,"Young Adult")</f>
        <v>Adult</v>
      </c>
      <c r="L760" s="4">
        <v>42</v>
      </c>
      <c r="M760" s="4" t="s">
        <v>21</v>
      </c>
      <c r="N760" s="4">
        <v>1</v>
      </c>
      <c r="O760" s="5">
        <v>30</v>
      </c>
      <c r="P760">
        <f t="shared" si="121"/>
        <v>30</v>
      </c>
      <c r="Q760" s="14">
        <f>P760*$I$4</f>
        <v>0.44999999999999996</v>
      </c>
      <c r="R760" s="14">
        <f>P760*$I$5</f>
        <v>0.6</v>
      </c>
    </row>
    <row r="761" spans="1:18" x14ac:dyDescent="0.35">
      <c r="A761" s="2">
        <v>750</v>
      </c>
      <c r="B761" s="4">
        <f t="shared" si="115"/>
        <v>6</v>
      </c>
      <c r="C761" s="4">
        <f t="shared" si="116"/>
        <v>3</v>
      </c>
      <c r="D761" s="4">
        <f t="shared" si="117"/>
        <v>2023</v>
      </c>
      <c r="E761" s="4" t="str">
        <f t="shared" si="118"/>
        <v>Monday</v>
      </c>
      <c r="F761" s="4" t="str">
        <f t="shared" si="119"/>
        <v>March</v>
      </c>
      <c r="G761" s="4" t="str">
        <f t="shared" si="120"/>
        <v>2023</v>
      </c>
      <c r="H761" s="3">
        <v>44991</v>
      </c>
      <c r="I761" s="4" t="s">
        <v>775</v>
      </c>
      <c r="J761" s="4" t="s">
        <v>23</v>
      </c>
      <c r="K761" s="4" t="str" cm="1">
        <f t="array" ref="K761">_xlfn.IFS(L761&gt;50,"Senior", L761&gt;=30,"Adult", L761&lt;30,"Young Adult")</f>
        <v>Adult</v>
      </c>
      <c r="L761" s="4">
        <v>35</v>
      </c>
      <c r="M761" s="4" t="s">
        <v>24</v>
      </c>
      <c r="N761" s="4">
        <v>3</v>
      </c>
      <c r="O761" s="5">
        <v>25</v>
      </c>
      <c r="P761">
        <f t="shared" si="121"/>
        <v>75</v>
      </c>
      <c r="Q761" s="14" t="e">
        <f>P761*#REF!</f>
        <v>#REF!</v>
      </c>
      <c r="R761" s="14" t="e">
        <f>P761*#REF!</f>
        <v>#REF!</v>
      </c>
    </row>
    <row r="762" spans="1:18" x14ac:dyDescent="0.35">
      <c r="A762" s="2">
        <v>751</v>
      </c>
      <c r="B762" s="4">
        <f t="shared" si="115"/>
        <v>31</v>
      </c>
      <c r="C762" s="4">
        <f t="shared" si="116"/>
        <v>8</v>
      </c>
      <c r="D762" s="4">
        <f t="shared" si="117"/>
        <v>2023</v>
      </c>
      <c r="E762" s="4" t="str">
        <f t="shared" si="118"/>
        <v>Thursday</v>
      </c>
      <c r="F762" s="4" t="str">
        <f t="shared" si="119"/>
        <v>August</v>
      </c>
      <c r="G762" s="4" t="str">
        <f t="shared" si="120"/>
        <v>2023</v>
      </c>
      <c r="H762" s="3">
        <v>45169</v>
      </c>
      <c r="I762" s="4" t="s">
        <v>776</v>
      </c>
      <c r="J762" s="4" t="s">
        <v>23</v>
      </c>
      <c r="K762" s="4" t="str" cm="1">
        <f t="array" ref="K762">_xlfn.IFS(L762&gt;50,"Senior", L762&gt;=30,"Adult", L762&lt;30,"Young Adult")</f>
        <v>Adult</v>
      </c>
      <c r="L762" s="4">
        <v>42</v>
      </c>
      <c r="M762" s="4" t="s">
        <v>24</v>
      </c>
      <c r="N762" s="4">
        <v>2</v>
      </c>
      <c r="O762" s="5">
        <v>25</v>
      </c>
      <c r="P762">
        <f t="shared" si="121"/>
        <v>50</v>
      </c>
      <c r="Q762" s="14" t="e">
        <f>P762*#REF!</f>
        <v>#REF!</v>
      </c>
      <c r="R762" s="14" t="e">
        <f>P762*#REF!</f>
        <v>#REF!</v>
      </c>
    </row>
    <row r="763" spans="1:18" x14ac:dyDescent="0.35">
      <c r="A763" s="2">
        <v>752</v>
      </c>
      <c r="B763" s="4">
        <f t="shared" si="115"/>
        <v>9</v>
      </c>
      <c r="C763" s="4">
        <f t="shared" si="116"/>
        <v>12</v>
      </c>
      <c r="D763" s="4">
        <f t="shared" si="117"/>
        <v>2023</v>
      </c>
      <c r="E763" s="4" t="str">
        <f t="shared" si="118"/>
        <v>Saturday</v>
      </c>
      <c r="F763" s="4" t="str">
        <f t="shared" si="119"/>
        <v>December</v>
      </c>
      <c r="G763" s="4" t="str">
        <f t="shared" si="120"/>
        <v>2023</v>
      </c>
      <c r="H763" s="3">
        <v>45269</v>
      </c>
      <c r="I763" s="4" t="s">
        <v>777</v>
      </c>
      <c r="J763" s="4" t="s">
        <v>20</v>
      </c>
      <c r="K763" s="4" t="str" cm="1">
        <f t="array" ref="K763">_xlfn.IFS(L763&gt;50,"Senior", L763&gt;=30,"Adult", L763&lt;30,"Young Adult")</f>
        <v>Young Adult</v>
      </c>
      <c r="L763" s="4">
        <v>29</v>
      </c>
      <c r="M763" s="4" t="s">
        <v>24</v>
      </c>
      <c r="N763" s="4">
        <v>2</v>
      </c>
      <c r="O763" s="5">
        <v>50</v>
      </c>
      <c r="P763">
        <f t="shared" si="121"/>
        <v>100</v>
      </c>
      <c r="Q763" s="14" t="e">
        <f>P763*#REF!</f>
        <v>#REF!</v>
      </c>
      <c r="R763" s="14" t="e">
        <f>P763*#REF!</f>
        <v>#REF!</v>
      </c>
    </row>
    <row r="764" spans="1:18" x14ac:dyDescent="0.35">
      <c r="A764" s="2">
        <v>753</v>
      </c>
      <c r="B764" s="4">
        <f t="shared" si="115"/>
        <v>28</v>
      </c>
      <c r="C764" s="4">
        <f t="shared" si="116"/>
        <v>2</v>
      </c>
      <c r="D764" s="4">
        <f t="shared" si="117"/>
        <v>2023</v>
      </c>
      <c r="E764" s="4" t="str">
        <f t="shared" si="118"/>
        <v>Tuesday</v>
      </c>
      <c r="F764" s="4" t="str">
        <f t="shared" si="119"/>
        <v>February</v>
      </c>
      <c r="G764" s="4" t="str">
        <f t="shared" si="120"/>
        <v>2023</v>
      </c>
      <c r="H764" s="3">
        <v>44985</v>
      </c>
      <c r="I764" s="4" t="s">
        <v>778</v>
      </c>
      <c r="J764" s="4" t="s">
        <v>23</v>
      </c>
      <c r="K764" s="4" t="str" cm="1">
        <f t="array" ref="K764">_xlfn.IFS(L764&gt;50,"Senior", L764&gt;=30,"Adult", L764&lt;30,"Young Adult")</f>
        <v>Adult</v>
      </c>
      <c r="L764" s="4">
        <v>32</v>
      </c>
      <c r="M764" s="4" t="s">
        <v>24</v>
      </c>
      <c r="N764" s="4">
        <v>1</v>
      </c>
      <c r="O764" s="5">
        <v>30</v>
      </c>
      <c r="P764">
        <f t="shared" si="121"/>
        <v>30</v>
      </c>
      <c r="Q764" s="14" t="e">
        <f>P764*#REF!</f>
        <v>#REF!</v>
      </c>
      <c r="R764" s="14" t="e">
        <f>P764*#REF!</f>
        <v>#REF!</v>
      </c>
    </row>
    <row r="765" spans="1:18" x14ac:dyDescent="0.35">
      <c r="A765" s="2">
        <v>754</v>
      </c>
      <c r="B765" s="4">
        <f t="shared" si="115"/>
        <v>16</v>
      </c>
      <c r="C765" s="4">
        <f t="shared" si="116"/>
        <v>10</v>
      </c>
      <c r="D765" s="4">
        <f t="shared" si="117"/>
        <v>2023</v>
      </c>
      <c r="E765" s="4" t="str">
        <f t="shared" si="118"/>
        <v>Monday</v>
      </c>
      <c r="F765" s="4" t="str">
        <f t="shared" si="119"/>
        <v>October</v>
      </c>
      <c r="G765" s="4" t="str">
        <f t="shared" si="120"/>
        <v>2023</v>
      </c>
      <c r="H765" s="3">
        <v>45215</v>
      </c>
      <c r="I765" s="4" t="s">
        <v>779</v>
      </c>
      <c r="J765" s="4" t="s">
        <v>23</v>
      </c>
      <c r="K765" s="4" t="str" cm="1">
        <f t="array" ref="K765">_xlfn.IFS(L765&gt;50,"Senior", L765&gt;=30,"Adult", L765&lt;30,"Young Adult")</f>
        <v>Adult</v>
      </c>
      <c r="L765" s="4">
        <v>43</v>
      </c>
      <c r="M765" s="4" t="s">
        <v>26</v>
      </c>
      <c r="N765" s="4">
        <v>4</v>
      </c>
      <c r="O765" s="5">
        <v>25</v>
      </c>
      <c r="P765">
        <f t="shared" si="121"/>
        <v>100</v>
      </c>
      <c r="Q765" s="14" t="e">
        <f>P765*#REF!</f>
        <v>#REF!</v>
      </c>
      <c r="R765" s="14" t="e">
        <f>P765*#REF!</f>
        <v>#REF!</v>
      </c>
    </row>
    <row r="766" spans="1:18" x14ac:dyDescent="0.35">
      <c r="A766" s="2">
        <v>755</v>
      </c>
      <c r="B766" s="4">
        <f t="shared" si="115"/>
        <v>22</v>
      </c>
      <c r="C766" s="4">
        <f t="shared" si="116"/>
        <v>4</v>
      </c>
      <c r="D766" s="4">
        <f t="shared" si="117"/>
        <v>2023</v>
      </c>
      <c r="E766" s="4" t="str">
        <f t="shared" si="118"/>
        <v>Saturday</v>
      </c>
      <c r="F766" s="4" t="str">
        <f t="shared" si="119"/>
        <v>April</v>
      </c>
      <c r="G766" s="4" t="str">
        <f t="shared" si="120"/>
        <v>2023</v>
      </c>
      <c r="H766" s="3">
        <v>45038</v>
      </c>
      <c r="I766" s="4" t="s">
        <v>780</v>
      </c>
      <c r="J766" s="4" t="s">
        <v>23</v>
      </c>
      <c r="K766" s="4" t="str" cm="1">
        <f t="array" ref="K766">_xlfn.IFS(L766&gt;50,"Senior", L766&gt;=30,"Adult", L766&lt;30,"Young Adult")</f>
        <v>Senior</v>
      </c>
      <c r="L766" s="4">
        <v>58</v>
      </c>
      <c r="M766" s="4" t="s">
        <v>24</v>
      </c>
      <c r="N766" s="4">
        <v>3</v>
      </c>
      <c r="O766" s="5">
        <v>25</v>
      </c>
      <c r="P766">
        <f t="shared" si="121"/>
        <v>75</v>
      </c>
      <c r="Q766" s="14" t="e">
        <f>P766*#REF!</f>
        <v>#REF!</v>
      </c>
      <c r="R766" s="14" t="e">
        <f>P766*#REF!</f>
        <v>#REF!</v>
      </c>
    </row>
    <row r="767" spans="1:18" x14ac:dyDescent="0.35">
      <c r="A767" s="2">
        <v>756</v>
      </c>
      <c r="B767" s="4">
        <f t="shared" si="115"/>
        <v>27</v>
      </c>
      <c r="C767" s="4">
        <f t="shared" si="116"/>
        <v>8</v>
      </c>
      <c r="D767" s="4">
        <f t="shared" si="117"/>
        <v>2023</v>
      </c>
      <c r="E767" s="4" t="str">
        <f t="shared" si="118"/>
        <v>Sunday</v>
      </c>
      <c r="F767" s="4" t="str">
        <f t="shared" si="119"/>
        <v>August</v>
      </c>
      <c r="G767" s="4" t="str">
        <f t="shared" si="120"/>
        <v>2023</v>
      </c>
      <c r="H767" s="3">
        <v>45165</v>
      </c>
      <c r="I767" s="4" t="s">
        <v>781</v>
      </c>
      <c r="J767" s="4" t="s">
        <v>23</v>
      </c>
      <c r="K767" s="4" t="str" cm="1">
        <f t="array" ref="K767">_xlfn.IFS(L767&gt;50,"Senior", L767&gt;=30,"Adult", L767&lt;30,"Young Adult")</f>
        <v>Senior</v>
      </c>
      <c r="L767" s="4">
        <v>62</v>
      </c>
      <c r="M767" s="4" t="s">
        <v>26</v>
      </c>
      <c r="N767" s="4">
        <v>4</v>
      </c>
      <c r="O767" s="5">
        <v>300</v>
      </c>
      <c r="P767">
        <f t="shared" si="121"/>
        <v>1200</v>
      </c>
      <c r="Q767" s="14" t="e">
        <f>P767*#REF!</f>
        <v>#REF!</v>
      </c>
      <c r="R767" s="14" t="e">
        <f>P767*#REF!</f>
        <v>#REF!</v>
      </c>
    </row>
    <row r="768" spans="1:18" x14ac:dyDescent="0.35">
      <c r="A768" s="2">
        <v>757</v>
      </c>
      <c r="B768" s="4">
        <f t="shared" si="115"/>
        <v>25</v>
      </c>
      <c r="C768" s="4">
        <f t="shared" si="116"/>
        <v>12</v>
      </c>
      <c r="D768" s="4">
        <f t="shared" si="117"/>
        <v>2023</v>
      </c>
      <c r="E768" s="4" t="str">
        <f t="shared" si="118"/>
        <v>Monday</v>
      </c>
      <c r="F768" s="4" t="str">
        <f t="shared" si="119"/>
        <v>December</v>
      </c>
      <c r="G768" s="4" t="str">
        <f t="shared" si="120"/>
        <v>2023</v>
      </c>
      <c r="H768" s="3">
        <v>45285</v>
      </c>
      <c r="I768" s="4" t="s">
        <v>782</v>
      </c>
      <c r="J768" s="4" t="s">
        <v>23</v>
      </c>
      <c r="K768" s="4" t="str" cm="1">
        <f t="array" ref="K768">_xlfn.IFS(L768&gt;50,"Senior", L768&gt;=30,"Adult", L768&lt;30,"Young Adult")</f>
        <v>Adult</v>
      </c>
      <c r="L768" s="4">
        <v>43</v>
      </c>
      <c r="M768" s="4" t="s">
        <v>26</v>
      </c>
      <c r="N768" s="4">
        <v>4</v>
      </c>
      <c r="O768" s="5">
        <v>300</v>
      </c>
      <c r="P768">
        <f t="shared" si="121"/>
        <v>1200</v>
      </c>
      <c r="Q768" s="14" t="e">
        <f>P768*#REF!</f>
        <v>#REF!</v>
      </c>
      <c r="R768" s="14" t="e">
        <f>P768*#REF!</f>
        <v>#REF!</v>
      </c>
    </row>
    <row r="769" spans="1:18" x14ac:dyDescent="0.35">
      <c r="A769" s="2">
        <v>758</v>
      </c>
      <c r="B769" s="4">
        <f t="shared" si="115"/>
        <v>12</v>
      </c>
      <c r="C769" s="4">
        <f t="shared" si="116"/>
        <v>5</v>
      </c>
      <c r="D769" s="4">
        <f t="shared" si="117"/>
        <v>2023</v>
      </c>
      <c r="E769" s="4" t="str">
        <f t="shared" si="118"/>
        <v>Friday</v>
      </c>
      <c r="F769" s="4" t="str">
        <f t="shared" si="119"/>
        <v>May</v>
      </c>
      <c r="G769" s="4" t="str">
        <f t="shared" si="120"/>
        <v>2023</v>
      </c>
      <c r="H769" s="3">
        <v>45058</v>
      </c>
      <c r="I769" s="4" t="s">
        <v>783</v>
      </c>
      <c r="J769" s="4" t="s">
        <v>20</v>
      </c>
      <c r="K769" s="4" t="str" cm="1">
        <f t="array" ref="K769">_xlfn.IFS(L769&gt;50,"Senior", L769&gt;=30,"Adult", L769&lt;30,"Young Adult")</f>
        <v>Senior</v>
      </c>
      <c r="L769" s="4">
        <v>64</v>
      </c>
      <c r="M769" s="4" t="s">
        <v>24</v>
      </c>
      <c r="N769" s="4">
        <v>4</v>
      </c>
      <c r="O769" s="5">
        <v>25</v>
      </c>
      <c r="P769">
        <f t="shared" si="121"/>
        <v>100</v>
      </c>
      <c r="Q769" s="14" t="e">
        <f>P769*#REF!</f>
        <v>#REF!</v>
      </c>
      <c r="R769" s="14" t="e">
        <f>P769*#REF!</f>
        <v>#REF!</v>
      </c>
    </row>
    <row r="770" spans="1:18" x14ac:dyDescent="0.35">
      <c r="A770" s="2">
        <v>759</v>
      </c>
      <c r="B770" s="4">
        <f t="shared" si="115"/>
        <v>8</v>
      </c>
      <c r="C770" s="4">
        <f t="shared" si="116"/>
        <v>7</v>
      </c>
      <c r="D770" s="4">
        <f t="shared" si="117"/>
        <v>2023</v>
      </c>
      <c r="E770" s="4" t="str">
        <f t="shared" si="118"/>
        <v>Saturday</v>
      </c>
      <c r="F770" s="4" t="str">
        <f t="shared" si="119"/>
        <v>July</v>
      </c>
      <c r="G770" s="4" t="str">
        <f t="shared" si="120"/>
        <v>2023</v>
      </c>
      <c r="H770" s="3">
        <v>45115</v>
      </c>
      <c r="I770" s="4" t="s">
        <v>784</v>
      </c>
      <c r="J770" s="4" t="s">
        <v>20</v>
      </c>
      <c r="K770" s="4" t="str" cm="1">
        <f t="array" ref="K770">_xlfn.IFS(L770&gt;50,"Senior", L770&gt;=30,"Adult", L770&lt;30,"Young Adult")</f>
        <v>Adult</v>
      </c>
      <c r="L770" s="4">
        <v>49</v>
      </c>
      <c r="M770" s="4" t="s">
        <v>26</v>
      </c>
      <c r="N770" s="4">
        <v>2</v>
      </c>
      <c r="O770" s="5">
        <v>50</v>
      </c>
      <c r="P770">
        <f t="shared" si="121"/>
        <v>100</v>
      </c>
      <c r="Q770" s="14" t="e">
        <f>P770*#REF!</f>
        <v>#REF!</v>
      </c>
      <c r="R770" s="14" t="e">
        <f>P770*#REF!</f>
        <v>#REF!</v>
      </c>
    </row>
    <row r="771" spans="1:18" x14ac:dyDescent="0.35">
      <c r="A771" s="2">
        <v>760</v>
      </c>
      <c r="B771" s="4">
        <f t="shared" si="115"/>
        <v>27</v>
      </c>
      <c r="C771" s="4">
        <f t="shared" si="116"/>
        <v>3</v>
      </c>
      <c r="D771" s="4">
        <f t="shared" si="117"/>
        <v>2023</v>
      </c>
      <c r="E771" s="4" t="str">
        <f t="shared" si="118"/>
        <v>Monday</v>
      </c>
      <c r="F771" s="4" t="str">
        <f t="shared" si="119"/>
        <v>March</v>
      </c>
      <c r="G771" s="4" t="str">
        <f t="shared" si="120"/>
        <v>2023</v>
      </c>
      <c r="H771" s="3">
        <v>45012</v>
      </c>
      <c r="I771" s="4" t="s">
        <v>785</v>
      </c>
      <c r="J771" s="4" t="s">
        <v>20</v>
      </c>
      <c r="K771" s="4" t="str" cm="1">
        <f t="array" ref="K771">_xlfn.IFS(L771&gt;50,"Senior", L771&gt;=30,"Adult", L771&lt;30,"Young Adult")</f>
        <v>Young Adult</v>
      </c>
      <c r="L771" s="4">
        <v>27</v>
      </c>
      <c r="M771" s="4" t="s">
        <v>21</v>
      </c>
      <c r="N771" s="4">
        <v>1</v>
      </c>
      <c r="O771" s="5">
        <v>500</v>
      </c>
      <c r="P771">
        <f t="shared" si="121"/>
        <v>500</v>
      </c>
      <c r="Q771" s="14">
        <f>P771*$I$4</f>
        <v>7.5</v>
      </c>
      <c r="R771" s="14">
        <f>P771*$I$5</f>
        <v>10</v>
      </c>
    </row>
    <row r="772" spans="1:18" x14ac:dyDescent="0.35">
      <c r="A772" s="2">
        <v>761</v>
      </c>
      <c r="B772" s="4">
        <f t="shared" si="115"/>
        <v>7</v>
      </c>
      <c r="C772" s="4">
        <f t="shared" si="116"/>
        <v>11</v>
      </c>
      <c r="D772" s="4">
        <f t="shared" si="117"/>
        <v>2023</v>
      </c>
      <c r="E772" s="4" t="str">
        <f t="shared" si="118"/>
        <v>Tuesday</v>
      </c>
      <c r="F772" s="4" t="str">
        <f t="shared" si="119"/>
        <v>November</v>
      </c>
      <c r="G772" s="4" t="str">
        <f t="shared" si="120"/>
        <v>2023</v>
      </c>
      <c r="H772" s="3">
        <v>45237</v>
      </c>
      <c r="I772" s="4" t="s">
        <v>786</v>
      </c>
      <c r="J772" s="4" t="s">
        <v>23</v>
      </c>
      <c r="K772" s="4" t="str" cm="1">
        <f t="array" ref="K772">_xlfn.IFS(L772&gt;50,"Senior", L772&gt;=30,"Adult", L772&lt;30,"Young Adult")</f>
        <v>Adult</v>
      </c>
      <c r="L772" s="4">
        <v>33</v>
      </c>
      <c r="M772" s="4" t="s">
        <v>24</v>
      </c>
      <c r="N772" s="4">
        <v>1</v>
      </c>
      <c r="O772" s="5">
        <v>500</v>
      </c>
      <c r="P772">
        <f t="shared" si="121"/>
        <v>500</v>
      </c>
      <c r="Q772" s="14" t="e">
        <f>P772*#REF!</f>
        <v>#REF!</v>
      </c>
      <c r="R772" s="14" t="e">
        <f>P772*#REF!</f>
        <v>#REF!</v>
      </c>
    </row>
    <row r="773" spans="1:18" x14ac:dyDescent="0.35">
      <c r="A773" s="2">
        <v>762</v>
      </c>
      <c r="B773" s="4">
        <f t="shared" si="115"/>
        <v>7</v>
      </c>
      <c r="C773" s="4">
        <f t="shared" si="116"/>
        <v>11</v>
      </c>
      <c r="D773" s="4">
        <f t="shared" si="117"/>
        <v>2023</v>
      </c>
      <c r="E773" s="4" t="str">
        <f t="shared" si="118"/>
        <v>Tuesday</v>
      </c>
      <c r="F773" s="4" t="str">
        <f t="shared" si="119"/>
        <v>November</v>
      </c>
      <c r="G773" s="4" t="str">
        <f t="shared" si="120"/>
        <v>2023</v>
      </c>
      <c r="H773" s="3">
        <v>45237</v>
      </c>
      <c r="I773" s="4" t="s">
        <v>787</v>
      </c>
      <c r="J773" s="4" t="s">
        <v>23</v>
      </c>
      <c r="K773" s="4" t="str" cm="1">
        <f t="array" ref="K773">_xlfn.IFS(L773&gt;50,"Senior", L773&gt;=30,"Adult", L773&lt;30,"Young Adult")</f>
        <v>Young Adult</v>
      </c>
      <c r="L773" s="4">
        <v>24</v>
      </c>
      <c r="M773" s="4" t="s">
        <v>26</v>
      </c>
      <c r="N773" s="4">
        <v>2</v>
      </c>
      <c r="O773" s="5">
        <v>25</v>
      </c>
      <c r="P773">
        <f t="shared" si="121"/>
        <v>50</v>
      </c>
      <c r="Q773" s="14" t="e">
        <f>P773*#REF!</f>
        <v>#REF!</v>
      </c>
      <c r="R773" s="14" t="e">
        <f>P773*#REF!</f>
        <v>#REF!</v>
      </c>
    </row>
    <row r="774" spans="1:18" x14ac:dyDescent="0.35">
      <c r="A774" s="2">
        <v>763</v>
      </c>
      <c r="B774" s="4">
        <f t="shared" si="115"/>
        <v>28</v>
      </c>
      <c r="C774" s="4">
        <f t="shared" si="116"/>
        <v>2</v>
      </c>
      <c r="D774" s="4">
        <f t="shared" si="117"/>
        <v>2023</v>
      </c>
      <c r="E774" s="4" t="str">
        <f t="shared" si="118"/>
        <v>Tuesday</v>
      </c>
      <c r="F774" s="4" t="str">
        <f t="shared" si="119"/>
        <v>February</v>
      </c>
      <c r="G774" s="4" t="str">
        <f t="shared" si="120"/>
        <v>2023</v>
      </c>
      <c r="H774" s="3">
        <v>44985</v>
      </c>
      <c r="I774" s="4" t="s">
        <v>788</v>
      </c>
      <c r="J774" s="4" t="s">
        <v>20</v>
      </c>
      <c r="K774" s="4" t="str" cm="1">
        <f t="array" ref="K774">_xlfn.IFS(L774&gt;50,"Senior", L774&gt;=30,"Adult", L774&lt;30,"Young Adult")</f>
        <v>Adult</v>
      </c>
      <c r="L774" s="4">
        <v>34</v>
      </c>
      <c r="M774" s="4" t="s">
        <v>24</v>
      </c>
      <c r="N774" s="4">
        <v>2</v>
      </c>
      <c r="O774" s="5">
        <v>25</v>
      </c>
      <c r="P774">
        <f t="shared" si="121"/>
        <v>50</v>
      </c>
      <c r="Q774" s="14" t="e">
        <f>P774*#REF!</f>
        <v>#REF!</v>
      </c>
      <c r="R774" s="14" t="e">
        <f>P774*#REF!</f>
        <v>#REF!</v>
      </c>
    </row>
    <row r="775" spans="1:18" x14ac:dyDescent="0.35">
      <c r="A775" s="2">
        <v>764</v>
      </c>
      <c r="B775" s="4">
        <f t="shared" si="115"/>
        <v>25</v>
      </c>
      <c r="C775" s="4">
        <f t="shared" si="116"/>
        <v>3</v>
      </c>
      <c r="D775" s="4">
        <f t="shared" si="117"/>
        <v>2023</v>
      </c>
      <c r="E775" s="4" t="str">
        <f t="shared" si="118"/>
        <v>Saturday</v>
      </c>
      <c r="F775" s="4" t="str">
        <f t="shared" si="119"/>
        <v>March</v>
      </c>
      <c r="G775" s="4" t="str">
        <f t="shared" si="120"/>
        <v>2023</v>
      </c>
      <c r="H775" s="3">
        <v>45010</v>
      </c>
      <c r="I775" s="4" t="s">
        <v>789</v>
      </c>
      <c r="J775" s="4" t="s">
        <v>23</v>
      </c>
      <c r="K775" s="4" t="str" cm="1">
        <f t="array" ref="K775">_xlfn.IFS(L775&gt;50,"Senior", L775&gt;=30,"Adult", L775&lt;30,"Young Adult")</f>
        <v>Adult</v>
      </c>
      <c r="L775" s="4">
        <v>40</v>
      </c>
      <c r="M775" s="4" t="s">
        <v>24</v>
      </c>
      <c r="N775" s="4">
        <v>1</v>
      </c>
      <c r="O775" s="5">
        <v>25</v>
      </c>
      <c r="P775">
        <f t="shared" si="121"/>
        <v>25</v>
      </c>
      <c r="Q775" s="14" t="e">
        <f>P775*#REF!</f>
        <v>#REF!</v>
      </c>
      <c r="R775" s="14" t="e">
        <f>P775*#REF!</f>
        <v>#REF!</v>
      </c>
    </row>
    <row r="776" spans="1:18" x14ac:dyDescent="0.35">
      <c r="A776" s="2">
        <v>765</v>
      </c>
      <c r="B776" s="4">
        <f t="shared" si="115"/>
        <v>9</v>
      </c>
      <c r="C776" s="4">
        <f t="shared" si="116"/>
        <v>6</v>
      </c>
      <c r="D776" s="4">
        <f t="shared" si="117"/>
        <v>2023</v>
      </c>
      <c r="E776" s="4" t="str">
        <f t="shared" si="118"/>
        <v>Friday</v>
      </c>
      <c r="F776" s="4" t="str">
        <f t="shared" si="119"/>
        <v>June</v>
      </c>
      <c r="G776" s="4" t="str">
        <f t="shared" si="120"/>
        <v>2023</v>
      </c>
      <c r="H776" s="3">
        <v>45086</v>
      </c>
      <c r="I776" s="4" t="s">
        <v>790</v>
      </c>
      <c r="J776" s="4" t="s">
        <v>20</v>
      </c>
      <c r="K776" s="4" t="str" cm="1">
        <f t="array" ref="K776">_xlfn.IFS(L776&gt;50,"Senior", L776&gt;=30,"Adult", L776&lt;30,"Young Adult")</f>
        <v>Adult</v>
      </c>
      <c r="L776" s="4">
        <v>43</v>
      </c>
      <c r="M776" s="4" t="s">
        <v>24</v>
      </c>
      <c r="N776" s="4">
        <v>4</v>
      </c>
      <c r="O776" s="5">
        <v>50</v>
      </c>
      <c r="P776">
        <f t="shared" si="121"/>
        <v>200</v>
      </c>
      <c r="Q776" s="14" t="e">
        <f>P776*#REF!</f>
        <v>#REF!</v>
      </c>
      <c r="R776" s="14" t="e">
        <f>P776*#REF!</f>
        <v>#REF!</v>
      </c>
    </row>
    <row r="777" spans="1:18" x14ac:dyDescent="0.35">
      <c r="A777" s="2">
        <v>766</v>
      </c>
      <c r="B777" s="4">
        <f t="shared" si="115"/>
        <v>25</v>
      </c>
      <c r="C777" s="4">
        <f t="shared" si="116"/>
        <v>2</v>
      </c>
      <c r="D777" s="4">
        <f t="shared" si="117"/>
        <v>2023</v>
      </c>
      <c r="E777" s="4" t="str">
        <f t="shared" si="118"/>
        <v>Saturday</v>
      </c>
      <c r="F777" s="4" t="str">
        <f t="shared" si="119"/>
        <v>February</v>
      </c>
      <c r="G777" s="4" t="str">
        <f t="shared" si="120"/>
        <v>2023</v>
      </c>
      <c r="H777" s="3">
        <v>44982</v>
      </c>
      <c r="I777" s="4" t="s">
        <v>791</v>
      </c>
      <c r="J777" s="4" t="s">
        <v>20</v>
      </c>
      <c r="K777" s="4" t="str" cm="1">
        <f t="array" ref="K777">_xlfn.IFS(L777&gt;50,"Senior", L777&gt;=30,"Adult", L777&lt;30,"Young Adult")</f>
        <v>Adult</v>
      </c>
      <c r="L777" s="4">
        <v>38</v>
      </c>
      <c r="M777" s="4" t="s">
        <v>26</v>
      </c>
      <c r="N777" s="4">
        <v>3</v>
      </c>
      <c r="O777" s="5">
        <v>300</v>
      </c>
      <c r="P777">
        <f t="shared" si="121"/>
        <v>900</v>
      </c>
      <c r="Q777" s="14" t="e">
        <f>P777*#REF!</f>
        <v>#REF!</v>
      </c>
      <c r="R777" s="14" t="e">
        <f>P777*#REF!</f>
        <v>#REF!</v>
      </c>
    </row>
    <row r="778" spans="1:18" x14ac:dyDescent="0.35">
      <c r="A778" s="2">
        <v>767</v>
      </c>
      <c r="B778" s="4">
        <f t="shared" si="115"/>
        <v>24</v>
      </c>
      <c r="C778" s="4">
        <f t="shared" si="116"/>
        <v>10</v>
      </c>
      <c r="D778" s="4">
        <f t="shared" si="117"/>
        <v>2023</v>
      </c>
      <c r="E778" s="4" t="str">
        <f t="shared" si="118"/>
        <v>Tuesday</v>
      </c>
      <c r="F778" s="4" t="str">
        <f t="shared" si="119"/>
        <v>October</v>
      </c>
      <c r="G778" s="4" t="str">
        <f t="shared" si="120"/>
        <v>2023</v>
      </c>
      <c r="H778" s="3">
        <v>45223</v>
      </c>
      <c r="I778" s="4" t="s">
        <v>792</v>
      </c>
      <c r="J778" s="4" t="s">
        <v>20</v>
      </c>
      <c r="K778" s="4" t="str" cm="1">
        <f t="array" ref="K778">_xlfn.IFS(L778&gt;50,"Senior", L778&gt;=30,"Adult", L778&lt;30,"Young Adult")</f>
        <v>Adult</v>
      </c>
      <c r="L778" s="4">
        <v>39</v>
      </c>
      <c r="M778" s="4" t="s">
        <v>21</v>
      </c>
      <c r="N778" s="4">
        <v>3</v>
      </c>
      <c r="O778" s="5">
        <v>25</v>
      </c>
      <c r="P778">
        <f t="shared" si="121"/>
        <v>75</v>
      </c>
      <c r="Q778" s="14">
        <f t="shared" ref="Q778:Q779" si="128">P778*$I$4</f>
        <v>1.125</v>
      </c>
      <c r="R778" s="14">
        <f t="shared" ref="R778:R779" si="129">P778*$I$5</f>
        <v>1.5</v>
      </c>
    </row>
    <row r="779" spans="1:18" x14ac:dyDescent="0.35">
      <c r="A779" s="2">
        <v>768</v>
      </c>
      <c r="B779" s="4">
        <f t="shared" si="115"/>
        <v>14</v>
      </c>
      <c r="C779" s="4">
        <f t="shared" si="116"/>
        <v>1</v>
      </c>
      <c r="D779" s="4">
        <f t="shared" si="117"/>
        <v>2023</v>
      </c>
      <c r="E779" s="4" t="str">
        <f t="shared" si="118"/>
        <v>Saturday</v>
      </c>
      <c r="F779" s="4" t="str">
        <f t="shared" si="119"/>
        <v>January</v>
      </c>
      <c r="G779" s="4" t="str">
        <f t="shared" si="120"/>
        <v>2023</v>
      </c>
      <c r="H779" s="3">
        <v>44940</v>
      </c>
      <c r="I779" s="4" t="s">
        <v>793</v>
      </c>
      <c r="J779" s="4" t="s">
        <v>23</v>
      </c>
      <c r="K779" s="4" t="str" cm="1">
        <f t="array" ref="K779">_xlfn.IFS(L779&gt;50,"Senior", L779&gt;=30,"Adult", L779&lt;30,"Young Adult")</f>
        <v>Young Adult</v>
      </c>
      <c r="L779" s="4">
        <v>24</v>
      </c>
      <c r="M779" s="4" t="s">
        <v>21</v>
      </c>
      <c r="N779" s="4">
        <v>3</v>
      </c>
      <c r="O779" s="5">
        <v>25</v>
      </c>
      <c r="P779">
        <f t="shared" si="121"/>
        <v>75</v>
      </c>
      <c r="Q779" s="14">
        <f t="shared" si="128"/>
        <v>1.125</v>
      </c>
      <c r="R779" s="14">
        <f t="shared" si="129"/>
        <v>1.5</v>
      </c>
    </row>
    <row r="780" spans="1:18" x14ac:dyDescent="0.35">
      <c r="A780" s="2">
        <v>769</v>
      </c>
      <c r="B780" s="4">
        <f t="shared" ref="B780:B843" si="130">DAY(H780)</f>
        <v>9</v>
      </c>
      <c r="C780" s="4">
        <f t="shared" ref="C780:C843" si="131">MONTH(H780)</f>
        <v>6</v>
      </c>
      <c r="D780" s="4">
        <f t="shared" ref="D780:D843" si="132">YEAR(H780)</f>
        <v>2023</v>
      </c>
      <c r="E780" s="4" t="str">
        <f t="shared" ref="E780:E843" si="133">TEXT(H780,"DDDD")</f>
        <v>Friday</v>
      </c>
      <c r="F780" s="4" t="str">
        <f t="shared" ref="F780:F843" si="134">TEXT(H780,"MMMM")</f>
        <v>June</v>
      </c>
      <c r="G780" s="4" t="str">
        <f t="shared" ref="G780:G843" si="135">TEXT(H780,"YYYY")</f>
        <v>2023</v>
      </c>
      <c r="H780" s="3">
        <v>45086</v>
      </c>
      <c r="I780" s="4" t="s">
        <v>794</v>
      </c>
      <c r="J780" s="4" t="s">
        <v>23</v>
      </c>
      <c r="K780" s="4" t="str" cm="1">
        <f t="array" ref="K780">_xlfn.IFS(L780&gt;50,"Senior", L780&gt;=30,"Adult", L780&lt;30,"Young Adult")</f>
        <v>Adult</v>
      </c>
      <c r="L780" s="4">
        <v>31</v>
      </c>
      <c r="M780" s="4" t="s">
        <v>26</v>
      </c>
      <c r="N780" s="4">
        <v>4</v>
      </c>
      <c r="O780" s="5">
        <v>30</v>
      </c>
      <c r="P780">
        <f t="shared" ref="P780:P843" si="136">O780*N780</f>
        <v>120</v>
      </c>
      <c r="Q780" s="14" t="e">
        <f>P780*#REF!</f>
        <v>#REF!</v>
      </c>
      <c r="R780" s="14" t="e">
        <f>P780*#REF!</f>
        <v>#REF!</v>
      </c>
    </row>
    <row r="781" spans="1:18" x14ac:dyDescent="0.35">
      <c r="A781" s="2">
        <v>770</v>
      </c>
      <c r="B781" s="4">
        <f t="shared" si="130"/>
        <v>22</v>
      </c>
      <c r="C781" s="4">
        <f t="shared" si="131"/>
        <v>10</v>
      </c>
      <c r="D781" s="4">
        <f t="shared" si="132"/>
        <v>2023</v>
      </c>
      <c r="E781" s="4" t="str">
        <f t="shared" si="133"/>
        <v>Sunday</v>
      </c>
      <c r="F781" s="4" t="str">
        <f t="shared" si="134"/>
        <v>October</v>
      </c>
      <c r="G781" s="4" t="str">
        <f t="shared" si="135"/>
        <v>2023</v>
      </c>
      <c r="H781" s="3">
        <v>45221</v>
      </c>
      <c r="I781" s="4" t="s">
        <v>795</v>
      </c>
      <c r="J781" s="4" t="s">
        <v>20</v>
      </c>
      <c r="K781" s="4" t="str" cm="1">
        <f t="array" ref="K781">_xlfn.IFS(L781&gt;50,"Senior", L781&gt;=30,"Adult", L781&lt;30,"Young Adult")</f>
        <v>Adult</v>
      </c>
      <c r="L781" s="4">
        <v>32</v>
      </c>
      <c r="M781" s="4" t="s">
        <v>24</v>
      </c>
      <c r="N781" s="4">
        <v>1</v>
      </c>
      <c r="O781" s="5">
        <v>50</v>
      </c>
      <c r="P781">
        <f t="shared" si="136"/>
        <v>50</v>
      </c>
      <c r="Q781" s="14" t="e">
        <f>P781*#REF!</f>
        <v>#REF!</v>
      </c>
      <c r="R781" s="14" t="e">
        <f>P781*#REF!</f>
        <v>#REF!</v>
      </c>
    </row>
    <row r="782" spans="1:18" x14ac:dyDescent="0.35">
      <c r="A782" s="2">
        <v>771</v>
      </c>
      <c r="B782" s="4">
        <f t="shared" si="130"/>
        <v>13</v>
      </c>
      <c r="C782" s="4">
        <f t="shared" si="131"/>
        <v>12</v>
      </c>
      <c r="D782" s="4">
        <f t="shared" si="132"/>
        <v>2023</v>
      </c>
      <c r="E782" s="4" t="str">
        <f t="shared" si="133"/>
        <v>Wednesday</v>
      </c>
      <c r="F782" s="4" t="str">
        <f t="shared" si="134"/>
        <v>December</v>
      </c>
      <c r="G782" s="4" t="str">
        <f t="shared" si="135"/>
        <v>2023</v>
      </c>
      <c r="H782" s="3">
        <v>45273</v>
      </c>
      <c r="I782" s="4" t="s">
        <v>796</v>
      </c>
      <c r="J782" s="4" t="s">
        <v>20</v>
      </c>
      <c r="K782" s="4" t="str" cm="1">
        <f t="array" ref="K782">_xlfn.IFS(L782&gt;50,"Senior", L782&gt;=30,"Adult", L782&lt;30,"Young Adult")</f>
        <v>Young Adult</v>
      </c>
      <c r="L782" s="4">
        <v>24</v>
      </c>
      <c r="M782" s="4" t="s">
        <v>26</v>
      </c>
      <c r="N782" s="4">
        <v>2</v>
      </c>
      <c r="O782" s="5">
        <v>25</v>
      </c>
      <c r="P782">
        <f t="shared" si="136"/>
        <v>50</v>
      </c>
      <c r="Q782" s="14" t="e">
        <f>P782*#REF!</f>
        <v>#REF!</v>
      </c>
      <c r="R782" s="14" t="e">
        <f>P782*#REF!</f>
        <v>#REF!</v>
      </c>
    </row>
    <row r="783" spans="1:18" x14ac:dyDescent="0.35">
      <c r="A783" s="2">
        <v>772</v>
      </c>
      <c r="B783" s="4">
        <f t="shared" si="130"/>
        <v>12</v>
      </c>
      <c r="C783" s="4">
        <f t="shared" si="131"/>
        <v>7</v>
      </c>
      <c r="D783" s="4">
        <f t="shared" si="132"/>
        <v>2023</v>
      </c>
      <c r="E783" s="4" t="str">
        <f t="shared" si="133"/>
        <v>Wednesday</v>
      </c>
      <c r="F783" s="4" t="str">
        <f t="shared" si="134"/>
        <v>July</v>
      </c>
      <c r="G783" s="4" t="str">
        <f t="shared" si="135"/>
        <v>2023</v>
      </c>
      <c r="H783" s="3">
        <v>45119</v>
      </c>
      <c r="I783" s="4" t="s">
        <v>797</v>
      </c>
      <c r="J783" s="4" t="s">
        <v>20</v>
      </c>
      <c r="K783" s="4" t="str" cm="1">
        <f t="array" ref="K783">_xlfn.IFS(L783&gt;50,"Senior", L783&gt;=30,"Adult", L783&lt;30,"Young Adult")</f>
        <v>Young Adult</v>
      </c>
      <c r="L783" s="4">
        <v>26</v>
      </c>
      <c r="M783" s="4" t="s">
        <v>26</v>
      </c>
      <c r="N783" s="4">
        <v>1</v>
      </c>
      <c r="O783" s="5">
        <v>30</v>
      </c>
      <c r="P783">
        <f t="shared" si="136"/>
        <v>30</v>
      </c>
      <c r="Q783" s="14" t="e">
        <f>P783*#REF!</f>
        <v>#REF!</v>
      </c>
      <c r="R783" s="14" t="e">
        <f>P783*#REF!</f>
        <v>#REF!</v>
      </c>
    </row>
    <row r="784" spans="1:18" x14ac:dyDescent="0.35">
      <c r="A784" s="2">
        <v>773</v>
      </c>
      <c r="B784" s="4">
        <f t="shared" si="130"/>
        <v>23</v>
      </c>
      <c r="C784" s="4">
        <f t="shared" si="131"/>
        <v>7</v>
      </c>
      <c r="D784" s="4">
        <f t="shared" si="132"/>
        <v>2023</v>
      </c>
      <c r="E784" s="4" t="str">
        <f t="shared" si="133"/>
        <v>Sunday</v>
      </c>
      <c r="F784" s="4" t="str">
        <f t="shared" si="134"/>
        <v>July</v>
      </c>
      <c r="G784" s="4" t="str">
        <f t="shared" si="135"/>
        <v>2023</v>
      </c>
      <c r="H784" s="3">
        <v>45130</v>
      </c>
      <c r="I784" s="4" t="s">
        <v>798</v>
      </c>
      <c r="J784" s="4" t="s">
        <v>20</v>
      </c>
      <c r="K784" s="4" t="str" cm="1">
        <f t="array" ref="K784">_xlfn.IFS(L784&gt;50,"Senior", L784&gt;=30,"Adult", L784&lt;30,"Young Adult")</f>
        <v>Young Adult</v>
      </c>
      <c r="L784" s="4">
        <v>25</v>
      </c>
      <c r="M784" s="4" t="s">
        <v>26</v>
      </c>
      <c r="N784" s="4">
        <v>4</v>
      </c>
      <c r="O784" s="5">
        <v>500</v>
      </c>
      <c r="P784">
        <f t="shared" si="136"/>
        <v>2000</v>
      </c>
      <c r="Q784" s="14" t="e">
        <f>P784*#REF!</f>
        <v>#REF!</v>
      </c>
      <c r="R784" s="14" t="e">
        <f>P784*#REF!</f>
        <v>#REF!</v>
      </c>
    </row>
    <row r="785" spans="1:18" x14ac:dyDescent="0.35">
      <c r="A785" s="2">
        <v>774</v>
      </c>
      <c r="B785" s="4">
        <f t="shared" si="130"/>
        <v>12</v>
      </c>
      <c r="C785" s="4">
        <f t="shared" si="131"/>
        <v>4</v>
      </c>
      <c r="D785" s="4">
        <f t="shared" si="132"/>
        <v>2023</v>
      </c>
      <c r="E785" s="4" t="str">
        <f t="shared" si="133"/>
        <v>Wednesday</v>
      </c>
      <c r="F785" s="4" t="str">
        <f t="shared" si="134"/>
        <v>April</v>
      </c>
      <c r="G785" s="4" t="str">
        <f t="shared" si="135"/>
        <v>2023</v>
      </c>
      <c r="H785" s="3">
        <v>45028</v>
      </c>
      <c r="I785" s="4" t="s">
        <v>799</v>
      </c>
      <c r="J785" s="4" t="s">
        <v>23</v>
      </c>
      <c r="K785" s="4" t="str" cm="1">
        <f t="array" ref="K785">_xlfn.IFS(L785&gt;50,"Senior", L785&gt;=30,"Adult", L785&lt;30,"Young Adult")</f>
        <v>Adult</v>
      </c>
      <c r="L785" s="4">
        <v>40</v>
      </c>
      <c r="M785" s="4" t="s">
        <v>24</v>
      </c>
      <c r="N785" s="4">
        <v>2</v>
      </c>
      <c r="O785" s="5">
        <v>25</v>
      </c>
      <c r="P785">
        <f t="shared" si="136"/>
        <v>50</v>
      </c>
      <c r="Q785" s="14" t="e">
        <f>P785*#REF!</f>
        <v>#REF!</v>
      </c>
      <c r="R785" s="14" t="e">
        <f>P785*#REF!</f>
        <v>#REF!</v>
      </c>
    </row>
    <row r="786" spans="1:18" x14ac:dyDescent="0.35">
      <c r="A786" s="2">
        <v>775</v>
      </c>
      <c r="B786" s="4">
        <f t="shared" si="130"/>
        <v>8</v>
      </c>
      <c r="C786" s="4">
        <f t="shared" si="131"/>
        <v>2</v>
      </c>
      <c r="D786" s="4">
        <f t="shared" si="132"/>
        <v>2023</v>
      </c>
      <c r="E786" s="4" t="str">
        <f t="shared" si="133"/>
        <v>Wednesday</v>
      </c>
      <c r="F786" s="4" t="str">
        <f t="shared" si="134"/>
        <v>February</v>
      </c>
      <c r="G786" s="4" t="str">
        <f t="shared" si="135"/>
        <v>2023</v>
      </c>
      <c r="H786" s="3">
        <v>44965</v>
      </c>
      <c r="I786" s="4" t="s">
        <v>800</v>
      </c>
      <c r="J786" s="4" t="s">
        <v>23</v>
      </c>
      <c r="K786" s="4" t="str" cm="1">
        <f t="array" ref="K786">_xlfn.IFS(L786&gt;50,"Senior", L786&gt;=30,"Adult", L786&lt;30,"Young Adult")</f>
        <v>Adult</v>
      </c>
      <c r="L786" s="4">
        <v>46</v>
      </c>
      <c r="M786" s="4" t="s">
        <v>26</v>
      </c>
      <c r="N786" s="4">
        <v>4</v>
      </c>
      <c r="O786" s="5">
        <v>25</v>
      </c>
      <c r="P786">
        <f t="shared" si="136"/>
        <v>100</v>
      </c>
      <c r="Q786" s="14" t="e">
        <f>P786*#REF!</f>
        <v>#REF!</v>
      </c>
      <c r="R786" s="14" t="e">
        <f>P786*#REF!</f>
        <v>#REF!</v>
      </c>
    </row>
    <row r="787" spans="1:18" x14ac:dyDescent="0.35">
      <c r="A787" s="2">
        <v>776</v>
      </c>
      <c r="B787" s="4">
        <f t="shared" si="130"/>
        <v>31</v>
      </c>
      <c r="C787" s="4">
        <f t="shared" si="131"/>
        <v>10</v>
      </c>
      <c r="D787" s="4">
        <f t="shared" si="132"/>
        <v>2023</v>
      </c>
      <c r="E787" s="4" t="str">
        <f t="shared" si="133"/>
        <v>Tuesday</v>
      </c>
      <c r="F787" s="4" t="str">
        <f t="shared" si="134"/>
        <v>October</v>
      </c>
      <c r="G787" s="4" t="str">
        <f t="shared" si="135"/>
        <v>2023</v>
      </c>
      <c r="H787" s="3">
        <v>45230</v>
      </c>
      <c r="I787" s="4" t="s">
        <v>801</v>
      </c>
      <c r="J787" s="4" t="s">
        <v>20</v>
      </c>
      <c r="K787" s="4" t="str" cm="1">
        <f t="array" ref="K787">_xlfn.IFS(L787&gt;50,"Senior", L787&gt;=30,"Adult", L787&lt;30,"Young Adult")</f>
        <v>Adult</v>
      </c>
      <c r="L787" s="4">
        <v>35</v>
      </c>
      <c r="M787" s="4" t="s">
        <v>24</v>
      </c>
      <c r="N787" s="4">
        <v>3</v>
      </c>
      <c r="O787" s="5">
        <v>30</v>
      </c>
      <c r="P787">
        <f t="shared" si="136"/>
        <v>90</v>
      </c>
      <c r="Q787" s="14" t="e">
        <f>P787*#REF!</f>
        <v>#REF!</v>
      </c>
      <c r="R787" s="14" t="e">
        <f>P787*#REF!</f>
        <v>#REF!</v>
      </c>
    </row>
    <row r="788" spans="1:18" x14ac:dyDescent="0.35">
      <c r="A788" s="2">
        <v>777</v>
      </c>
      <c r="B788" s="4">
        <f t="shared" si="130"/>
        <v>20</v>
      </c>
      <c r="C788" s="4">
        <f t="shared" si="131"/>
        <v>12</v>
      </c>
      <c r="D788" s="4">
        <f t="shared" si="132"/>
        <v>2023</v>
      </c>
      <c r="E788" s="4" t="str">
        <f t="shared" si="133"/>
        <v>Wednesday</v>
      </c>
      <c r="F788" s="4" t="str">
        <f t="shared" si="134"/>
        <v>December</v>
      </c>
      <c r="G788" s="4" t="str">
        <f t="shared" si="135"/>
        <v>2023</v>
      </c>
      <c r="H788" s="3">
        <v>45280</v>
      </c>
      <c r="I788" s="4" t="s">
        <v>802</v>
      </c>
      <c r="J788" s="4" t="s">
        <v>20</v>
      </c>
      <c r="K788" s="4" t="str" cm="1">
        <f t="array" ref="K788">_xlfn.IFS(L788&gt;50,"Senior", L788&gt;=30,"Adult", L788&lt;30,"Young Adult")</f>
        <v>Adult</v>
      </c>
      <c r="L788" s="4">
        <v>48</v>
      </c>
      <c r="M788" s="4" t="s">
        <v>26</v>
      </c>
      <c r="N788" s="4">
        <v>3</v>
      </c>
      <c r="O788" s="5">
        <v>50</v>
      </c>
      <c r="P788">
        <f t="shared" si="136"/>
        <v>150</v>
      </c>
      <c r="Q788" s="14" t="e">
        <f>P788*#REF!</f>
        <v>#REF!</v>
      </c>
      <c r="R788" s="14" t="e">
        <f>P788*#REF!</f>
        <v>#REF!</v>
      </c>
    </row>
    <row r="789" spans="1:18" x14ac:dyDescent="0.35">
      <c r="A789" s="2">
        <v>778</v>
      </c>
      <c r="B789" s="4">
        <f t="shared" si="130"/>
        <v>18</v>
      </c>
      <c r="C789" s="4">
        <f t="shared" si="131"/>
        <v>11</v>
      </c>
      <c r="D789" s="4">
        <f t="shared" si="132"/>
        <v>2023</v>
      </c>
      <c r="E789" s="4" t="str">
        <f t="shared" si="133"/>
        <v>Saturday</v>
      </c>
      <c r="F789" s="4" t="str">
        <f t="shared" si="134"/>
        <v>November</v>
      </c>
      <c r="G789" s="4" t="str">
        <f t="shared" si="135"/>
        <v>2023</v>
      </c>
      <c r="H789" s="3">
        <v>45248</v>
      </c>
      <c r="I789" s="4" t="s">
        <v>803</v>
      </c>
      <c r="J789" s="4" t="s">
        <v>23</v>
      </c>
      <c r="K789" s="4" t="str" cm="1">
        <f t="array" ref="K789">_xlfn.IFS(L789&gt;50,"Senior", L789&gt;=30,"Adult", L789&lt;30,"Young Adult")</f>
        <v>Adult</v>
      </c>
      <c r="L789" s="4">
        <v>47</v>
      </c>
      <c r="M789" s="4" t="s">
        <v>21</v>
      </c>
      <c r="N789" s="4">
        <v>4</v>
      </c>
      <c r="O789" s="5">
        <v>25</v>
      </c>
      <c r="P789">
        <f t="shared" si="136"/>
        <v>100</v>
      </c>
      <c r="Q789" s="14">
        <f>P789*$I$4</f>
        <v>1.5</v>
      </c>
      <c r="R789" s="14">
        <f>P789*$I$5</f>
        <v>2</v>
      </c>
    </row>
    <row r="790" spans="1:18" x14ac:dyDescent="0.35">
      <c r="A790" s="2">
        <v>779</v>
      </c>
      <c r="B790" s="4">
        <f t="shared" si="130"/>
        <v>5</v>
      </c>
      <c r="C790" s="4">
        <f t="shared" si="131"/>
        <v>5</v>
      </c>
      <c r="D790" s="4">
        <f t="shared" si="132"/>
        <v>2023</v>
      </c>
      <c r="E790" s="4" t="str">
        <f t="shared" si="133"/>
        <v>Friday</v>
      </c>
      <c r="F790" s="4" t="str">
        <f t="shared" si="134"/>
        <v>May</v>
      </c>
      <c r="G790" s="4" t="str">
        <f t="shared" si="135"/>
        <v>2023</v>
      </c>
      <c r="H790" s="3">
        <v>45051</v>
      </c>
      <c r="I790" s="4" t="s">
        <v>804</v>
      </c>
      <c r="J790" s="4" t="s">
        <v>23</v>
      </c>
      <c r="K790" s="4" t="str" cm="1">
        <f t="array" ref="K790">_xlfn.IFS(L790&gt;50,"Senior", L790&gt;=30,"Adult", L790&lt;30,"Young Adult")</f>
        <v>Senior</v>
      </c>
      <c r="L790" s="4">
        <v>56</v>
      </c>
      <c r="M790" s="4" t="s">
        <v>26</v>
      </c>
      <c r="N790" s="4">
        <v>2</v>
      </c>
      <c r="O790" s="5">
        <v>500</v>
      </c>
      <c r="P790">
        <f t="shared" si="136"/>
        <v>1000</v>
      </c>
      <c r="Q790" s="14" t="e">
        <f>P790*#REF!</f>
        <v>#REF!</v>
      </c>
      <c r="R790" s="14" t="e">
        <f>P790*#REF!</f>
        <v>#REF!</v>
      </c>
    </row>
    <row r="791" spans="1:18" x14ac:dyDescent="0.35">
      <c r="A791" s="2">
        <v>780</v>
      </c>
      <c r="B791" s="4">
        <f t="shared" si="130"/>
        <v>22</v>
      </c>
      <c r="C791" s="4">
        <f t="shared" si="131"/>
        <v>2</v>
      </c>
      <c r="D791" s="4">
        <f t="shared" si="132"/>
        <v>2023</v>
      </c>
      <c r="E791" s="4" t="str">
        <f t="shared" si="133"/>
        <v>Wednesday</v>
      </c>
      <c r="F791" s="4" t="str">
        <f t="shared" si="134"/>
        <v>February</v>
      </c>
      <c r="G791" s="4" t="str">
        <f t="shared" si="135"/>
        <v>2023</v>
      </c>
      <c r="H791" s="3">
        <v>44979</v>
      </c>
      <c r="I791" s="4" t="s">
        <v>805</v>
      </c>
      <c r="J791" s="4" t="s">
        <v>20</v>
      </c>
      <c r="K791" s="4" t="str" cm="1">
        <f t="array" ref="K791">_xlfn.IFS(L791&gt;50,"Senior", L791&gt;=30,"Adult", L791&lt;30,"Young Adult")</f>
        <v>Senior</v>
      </c>
      <c r="L791" s="4">
        <v>52</v>
      </c>
      <c r="M791" s="4" t="s">
        <v>26</v>
      </c>
      <c r="N791" s="4">
        <v>2</v>
      </c>
      <c r="O791" s="5">
        <v>25</v>
      </c>
      <c r="P791">
        <f t="shared" si="136"/>
        <v>50</v>
      </c>
      <c r="Q791" s="14" t="e">
        <f>P791*#REF!</f>
        <v>#REF!</v>
      </c>
      <c r="R791" s="14" t="e">
        <f>P791*#REF!</f>
        <v>#REF!</v>
      </c>
    </row>
    <row r="792" spans="1:18" x14ac:dyDescent="0.35">
      <c r="A792" s="2">
        <v>781</v>
      </c>
      <c r="B792" s="4">
        <f t="shared" si="130"/>
        <v>23</v>
      </c>
      <c r="C792" s="4">
        <f t="shared" si="131"/>
        <v>12</v>
      </c>
      <c r="D792" s="4">
        <f t="shared" si="132"/>
        <v>2023</v>
      </c>
      <c r="E792" s="4" t="str">
        <f t="shared" si="133"/>
        <v>Saturday</v>
      </c>
      <c r="F792" s="4" t="str">
        <f t="shared" si="134"/>
        <v>December</v>
      </c>
      <c r="G792" s="4" t="str">
        <f t="shared" si="135"/>
        <v>2023</v>
      </c>
      <c r="H792" s="3">
        <v>45283</v>
      </c>
      <c r="I792" s="4" t="s">
        <v>806</v>
      </c>
      <c r="J792" s="4" t="s">
        <v>20</v>
      </c>
      <c r="K792" s="4" t="str" cm="1">
        <f t="array" ref="K792">_xlfn.IFS(L792&gt;50,"Senior", L792&gt;=30,"Adult", L792&lt;30,"Young Adult")</f>
        <v>Adult</v>
      </c>
      <c r="L792" s="4">
        <v>35</v>
      </c>
      <c r="M792" s="4" t="s">
        <v>21</v>
      </c>
      <c r="N792" s="4">
        <v>1</v>
      </c>
      <c r="O792" s="5">
        <v>500</v>
      </c>
      <c r="P792">
        <f t="shared" si="136"/>
        <v>500</v>
      </c>
      <c r="Q792" s="14">
        <f>P792*$I$4</f>
        <v>7.5</v>
      </c>
      <c r="R792" s="14">
        <f>P792*$I$5</f>
        <v>10</v>
      </c>
    </row>
    <row r="793" spans="1:18" x14ac:dyDescent="0.35">
      <c r="A793" s="2">
        <v>782</v>
      </c>
      <c r="B793" s="4">
        <f t="shared" si="130"/>
        <v>4</v>
      </c>
      <c r="C793" s="4">
        <f t="shared" si="131"/>
        <v>6</v>
      </c>
      <c r="D793" s="4">
        <f t="shared" si="132"/>
        <v>2023</v>
      </c>
      <c r="E793" s="4" t="str">
        <f t="shared" si="133"/>
        <v>Sunday</v>
      </c>
      <c r="F793" s="4" t="str">
        <f t="shared" si="134"/>
        <v>June</v>
      </c>
      <c r="G793" s="4" t="str">
        <f t="shared" si="135"/>
        <v>2023</v>
      </c>
      <c r="H793" s="3">
        <v>45081</v>
      </c>
      <c r="I793" s="4" t="s">
        <v>807</v>
      </c>
      <c r="J793" s="4" t="s">
        <v>20</v>
      </c>
      <c r="K793" s="4" t="str" cm="1">
        <f t="array" ref="K793">_xlfn.IFS(L793&gt;50,"Senior", L793&gt;=30,"Adult", L793&lt;30,"Young Adult")</f>
        <v>Senior</v>
      </c>
      <c r="L793" s="4">
        <v>59</v>
      </c>
      <c r="M793" s="4" t="s">
        <v>24</v>
      </c>
      <c r="N793" s="4">
        <v>3</v>
      </c>
      <c r="O793" s="5">
        <v>300</v>
      </c>
      <c r="P793">
        <f t="shared" si="136"/>
        <v>900</v>
      </c>
      <c r="Q793" s="14" t="e">
        <f>P793*#REF!</f>
        <v>#REF!</v>
      </c>
      <c r="R793" s="14" t="e">
        <f>P793*#REF!</f>
        <v>#REF!</v>
      </c>
    </row>
    <row r="794" spans="1:18" x14ac:dyDescent="0.35">
      <c r="A794" s="2">
        <v>783</v>
      </c>
      <c r="B794" s="4">
        <f t="shared" si="130"/>
        <v>17</v>
      </c>
      <c r="C794" s="4">
        <f t="shared" si="131"/>
        <v>12</v>
      </c>
      <c r="D794" s="4">
        <f t="shared" si="132"/>
        <v>2023</v>
      </c>
      <c r="E794" s="4" t="str">
        <f t="shared" si="133"/>
        <v>Sunday</v>
      </c>
      <c r="F794" s="4" t="str">
        <f t="shared" si="134"/>
        <v>December</v>
      </c>
      <c r="G794" s="4" t="str">
        <f t="shared" si="135"/>
        <v>2023</v>
      </c>
      <c r="H794" s="3">
        <v>45277</v>
      </c>
      <c r="I794" s="4" t="s">
        <v>808</v>
      </c>
      <c r="J794" s="4" t="s">
        <v>23</v>
      </c>
      <c r="K794" s="4" t="str" cm="1">
        <f t="array" ref="K794">_xlfn.IFS(L794&gt;50,"Senior", L794&gt;=30,"Adult", L794&lt;30,"Young Adult")</f>
        <v>Senior</v>
      </c>
      <c r="L794" s="4">
        <v>56</v>
      </c>
      <c r="M794" s="4" t="s">
        <v>24</v>
      </c>
      <c r="N794" s="4">
        <v>1</v>
      </c>
      <c r="O794" s="5">
        <v>300</v>
      </c>
      <c r="P794">
        <f t="shared" si="136"/>
        <v>300</v>
      </c>
      <c r="Q794" s="14" t="e">
        <f>P794*#REF!</f>
        <v>#REF!</v>
      </c>
      <c r="R794" s="14" t="e">
        <f>P794*#REF!</f>
        <v>#REF!</v>
      </c>
    </row>
    <row r="795" spans="1:18" x14ac:dyDescent="0.35">
      <c r="A795" s="2">
        <v>784</v>
      </c>
      <c r="B795" s="4">
        <f t="shared" si="130"/>
        <v>4</v>
      </c>
      <c r="C795" s="4">
        <f t="shared" si="131"/>
        <v>11</v>
      </c>
      <c r="D795" s="4">
        <f t="shared" si="132"/>
        <v>2023</v>
      </c>
      <c r="E795" s="4" t="str">
        <f t="shared" si="133"/>
        <v>Saturday</v>
      </c>
      <c r="F795" s="4" t="str">
        <f t="shared" si="134"/>
        <v>November</v>
      </c>
      <c r="G795" s="4" t="str">
        <f t="shared" si="135"/>
        <v>2023</v>
      </c>
      <c r="H795" s="3">
        <v>45234</v>
      </c>
      <c r="I795" s="4" t="s">
        <v>809</v>
      </c>
      <c r="J795" s="4" t="s">
        <v>23</v>
      </c>
      <c r="K795" s="4" t="str" cm="1">
        <f t="array" ref="K795">_xlfn.IFS(L795&gt;50,"Senior", L795&gt;=30,"Adult", L795&lt;30,"Young Adult")</f>
        <v>Adult</v>
      </c>
      <c r="L795" s="4">
        <v>34</v>
      </c>
      <c r="M795" s="4" t="s">
        <v>26</v>
      </c>
      <c r="N795" s="4">
        <v>1</v>
      </c>
      <c r="O795" s="5">
        <v>500</v>
      </c>
      <c r="P795">
        <f t="shared" si="136"/>
        <v>500</v>
      </c>
      <c r="Q795" s="14" t="e">
        <f>P795*#REF!</f>
        <v>#REF!</v>
      </c>
      <c r="R795" s="14" t="e">
        <f>P795*#REF!</f>
        <v>#REF!</v>
      </c>
    </row>
    <row r="796" spans="1:18" x14ac:dyDescent="0.35">
      <c r="A796" s="2">
        <v>785</v>
      </c>
      <c r="B796" s="4">
        <f t="shared" si="130"/>
        <v>3</v>
      </c>
      <c r="C796" s="4">
        <f t="shared" si="131"/>
        <v>3</v>
      </c>
      <c r="D796" s="4">
        <f t="shared" si="132"/>
        <v>2023</v>
      </c>
      <c r="E796" s="4" t="str">
        <f t="shared" si="133"/>
        <v>Friday</v>
      </c>
      <c r="F796" s="4" t="str">
        <f t="shared" si="134"/>
        <v>March</v>
      </c>
      <c r="G796" s="4" t="str">
        <f t="shared" si="135"/>
        <v>2023</v>
      </c>
      <c r="H796" s="3">
        <v>44988</v>
      </c>
      <c r="I796" s="4" t="s">
        <v>810</v>
      </c>
      <c r="J796" s="4" t="s">
        <v>23</v>
      </c>
      <c r="K796" s="4" t="str" cm="1">
        <f t="array" ref="K796">_xlfn.IFS(L796&gt;50,"Senior", L796&gt;=30,"Adult", L796&lt;30,"Young Adult")</f>
        <v>Adult</v>
      </c>
      <c r="L796" s="4">
        <v>31</v>
      </c>
      <c r="M796" s="4" t="s">
        <v>21</v>
      </c>
      <c r="N796" s="4">
        <v>4</v>
      </c>
      <c r="O796" s="5">
        <v>50</v>
      </c>
      <c r="P796">
        <f t="shared" si="136"/>
        <v>200</v>
      </c>
      <c r="Q796" s="14">
        <f>P796*$I$4</f>
        <v>3</v>
      </c>
      <c r="R796" s="14">
        <f>P796*$I$5</f>
        <v>4</v>
      </c>
    </row>
    <row r="797" spans="1:18" x14ac:dyDescent="0.35">
      <c r="A797" s="2">
        <v>786</v>
      </c>
      <c r="B797" s="4">
        <f t="shared" si="130"/>
        <v>17</v>
      </c>
      <c r="C797" s="4">
        <f t="shared" si="131"/>
        <v>10</v>
      </c>
      <c r="D797" s="4">
        <f t="shared" si="132"/>
        <v>2023</v>
      </c>
      <c r="E797" s="4" t="str">
        <f t="shared" si="133"/>
        <v>Tuesday</v>
      </c>
      <c r="F797" s="4" t="str">
        <f t="shared" si="134"/>
        <v>October</v>
      </c>
      <c r="G797" s="4" t="str">
        <f t="shared" si="135"/>
        <v>2023</v>
      </c>
      <c r="H797" s="3">
        <v>45216</v>
      </c>
      <c r="I797" s="4" t="s">
        <v>811</v>
      </c>
      <c r="J797" s="4" t="s">
        <v>20</v>
      </c>
      <c r="K797" s="4" t="str" cm="1">
        <f t="array" ref="K797">_xlfn.IFS(L797&gt;50,"Senior", L797&gt;=30,"Adult", L797&lt;30,"Young Adult")</f>
        <v>Adult</v>
      </c>
      <c r="L797" s="4">
        <v>48</v>
      </c>
      <c r="M797" s="4" t="s">
        <v>24</v>
      </c>
      <c r="N797" s="4">
        <v>4</v>
      </c>
      <c r="O797" s="5">
        <v>25</v>
      </c>
      <c r="P797">
        <f t="shared" si="136"/>
        <v>100</v>
      </c>
      <c r="Q797" s="14" t="e">
        <f>P797*#REF!</f>
        <v>#REF!</v>
      </c>
      <c r="R797" s="14" t="e">
        <f>P797*#REF!</f>
        <v>#REF!</v>
      </c>
    </row>
    <row r="798" spans="1:18" x14ac:dyDescent="0.35">
      <c r="A798" s="2">
        <v>787</v>
      </c>
      <c r="B798" s="4">
        <f t="shared" si="130"/>
        <v>22</v>
      </c>
      <c r="C798" s="4">
        <f t="shared" si="131"/>
        <v>1</v>
      </c>
      <c r="D798" s="4">
        <f t="shared" si="132"/>
        <v>2023</v>
      </c>
      <c r="E798" s="4" t="str">
        <f t="shared" si="133"/>
        <v>Sunday</v>
      </c>
      <c r="F798" s="4" t="str">
        <f t="shared" si="134"/>
        <v>January</v>
      </c>
      <c r="G798" s="4" t="str">
        <f t="shared" si="135"/>
        <v>2023</v>
      </c>
      <c r="H798" s="3">
        <v>44948</v>
      </c>
      <c r="I798" s="4" t="s">
        <v>812</v>
      </c>
      <c r="J798" s="4" t="s">
        <v>20</v>
      </c>
      <c r="K798" s="4" t="str" cm="1">
        <f t="array" ref="K798">_xlfn.IFS(L798&gt;50,"Senior", L798&gt;=30,"Adult", L798&lt;30,"Young Adult")</f>
        <v>Adult</v>
      </c>
      <c r="L798" s="4">
        <v>41</v>
      </c>
      <c r="M798" s="4" t="s">
        <v>26</v>
      </c>
      <c r="N798" s="4">
        <v>1</v>
      </c>
      <c r="O798" s="5">
        <v>25</v>
      </c>
      <c r="P798">
        <f t="shared" si="136"/>
        <v>25</v>
      </c>
      <c r="Q798" s="14" t="e">
        <f>P798*#REF!</f>
        <v>#REF!</v>
      </c>
      <c r="R798" s="14" t="e">
        <f>P798*#REF!</f>
        <v>#REF!</v>
      </c>
    </row>
    <row r="799" spans="1:18" x14ac:dyDescent="0.35">
      <c r="A799" s="2">
        <v>788</v>
      </c>
      <c r="B799" s="4">
        <f t="shared" si="130"/>
        <v>27</v>
      </c>
      <c r="C799" s="4">
        <f t="shared" si="131"/>
        <v>6</v>
      </c>
      <c r="D799" s="4">
        <f t="shared" si="132"/>
        <v>2023</v>
      </c>
      <c r="E799" s="4" t="str">
        <f t="shared" si="133"/>
        <v>Tuesday</v>
      </c>
      <c r="F799" s="4" t="str">
        <f t="shared" si="134"/>
        <v>June</v>
      </c>
      <c r="G799" s="4" t="str">
        <f t="shared" si="135"/>
        <v>2023</v>
      </c>
      <c r="H799" s="3">
        <v>45104</v>
      </c>
      <c r="I799" s="4" t="s">
        <v>813</v>
      </c>
      <c r="J799" s="4" t="s">
        <v>23</v>
      </c>
      <c r="K799" s="4" t="str" cm="1">
        <f t="array" ref="K799">_xlfn.IFS(L799&gt;50,"Senior", L799&gt;=30,"Adult", L799&lt;30,"Young Adult")</f>
        <v>Senior</v>
      </c>
      <c r="L799" s="4">
        <v>52</v>
      </c>
      <c r="M799" s="4" t="s">
        <v>21</v>
      </c>
      <c r="N799" s="4">
        <v>3</v>
      </c>
      <c r="O799" s="5">
        <v>300</v>
      </c>
      <c r="P799">
        <f t="shared" si="136"/>
        <v>900</v>
      </c>
      <c r="Q799" s="14">
        <f>P799*$I$4</f>
        <v>13.5</v>
      </c>
      <c r="R799" s="14">
        <f>P799*$I$5</f>
        <v>18</v>
      </c>
    </row>
    <row r="800" spans="1:18" x14ac:dyDescent="0.35">
      <c r="A800" s="2">
        <v>789</v>
      </c>
      <c r="B800" s="4">
        <f t="shared" si="130"/>
        <v>30</v>
      </c>
      <c r="C800" s="4">
        <f t="shared" si="131"/>
        <v>9</v>
      </c>
      <c r="D800" s="4">
        <f t="shared" si="132"/>
        <v>2023</v>
      </c>
      <c r="E800" s="4" t="str">
        <f t="shared" si="133"/>
        <v>Saturday</v>
      </c>
      <c r="F800" s="4" t="str">
        <f t="shared" si="134"/>
        <v>September</v>
      </c>
      <c r="G800" s="4" t="str">
        <f t="shared" si="135"/>
        <v>2023</v>
      </c>
      <c r="H800" s="3">
        <v>45199</v>
      </c>
      <c r="I800" s="4" t="s">
        <v>814</v>
      </c>
      <c r="J800" s="4" t="s">
        <v>23</v>
      </c>
      <c r="K800" s="4" t="str" cm="1">
        <f t="array" ref="K800">_xlfn.IFS(L800&gt;50,"Senior", L800&gt;=30,"Adult", L800&lt;30,"Young Adult")</f>
        <v>Senior</v>
      </c>
      <c r="L800" s="4">
        <v>61</v>
      </c>
      <c r="M800" s="4" t="s">
        <v>24</v>
      </c>
      <c r="N800" s="4">
        <v>4</v>
      </c>
      <c r="O800" s="5">
        <v>500</v>
      </c>
      <c r="P800">
        <f t="shared" si="136"/>
        <v>2000</v>
      </c>
      <c r="Q800" s="14" t="e">
        <f>P800*#REF!</f>
        <v>#REF!</v>
      </c>
      <c r="R800" s="14" t="e">
        <f>P800*#REF!</f>
        <v>#REF!</v>
      </c>
    </row>
    <row r="801" spans="1:18" x14ac:dyDescent="0.35">
      <c r="A801" s="2">
        <v>790</v>
      </c>
      <c r="B801" s="4">
        <f t="shared" si="130"/>
        <v>8</v>
      </c>
      <c r="C801" s="4">
        <f t="shared" si="131"/>
        <v>8</v>
      </c>
      <c r="D801" s="4">
        <f t="shared" si="132"/>
        <v>2023</v>
      </c>
      <c r="E801" s="4" t="str">
        <f t="shared" si="133"/>
        <v>Tuesday</v>
      </c>
      <c r="F801" s="4" t="str">
        <f t="shared" si="134"/>
        <v>August</v>
      </c>
      <c r="G801" s="4" t="str">
        <f t="shared" si="135"/>
        <v>2023</v>
      </c>
      <c r="H801" s="3">
        <v>45146</v>
      </c>
      <c r="I801" s="4" t="s">
        <v>815</v>
      </c>
      <c r="J801" s="4" t="s">
        <v>20</v>
      </c>
      <c r="K801" s="4" t="str" cm="1">
        <f t="array" ref="K801">_xlfn.IFS(L801&gt;50,"Senior", L801&gt;=30,"Adult", L801&lt;30,"Young Adult")</f>
        <v>Senior</v>
      </c>
      <c r="L801" s="4">
        <v>62</v>
      </c>
      <c r="M801" s="4" t="s">
        <v>24</v>
      </c>
      <c r="N801" s="4">
        <v>1</v>
      </c>
      <c r="O801" s="5">
        <v>25</v>
      </c>
      <c r="P801">
        <f t="shared" si="136"/>
        <v>25</v>
      </c>
      <c r="Q801" s="14" t="e">
        <f>P801*#REF!</f>
        <v>#REF!</v>
      </c>
      <c r="R801" s="14" t="e">
        <f>P801*#REF!</f>
        <v>#REF!</v>
      </c>
    </row>
    <row r="802" spans="1:18" x14ac:dyDescent="0.35">
      <c r="A802" s="2">
        <v>791</v>
      </c>
      <c r="B802" s="4">
        <f t="shared" si="130"/>
        <v>5</v>
      </c>
      <c r="C802" s="4">
        <f t="shared" si="131"/>
        <v>12</v>
      </c>
      <c r="D802" s="4">
        <f t="shared" si="132"/>
        <v>2023</v>
      </c>
      <c r="E802" s="4" t="str">
        <f t="shared" si="133"/>
        <v>Tuesday</v>
      </c>
      <c r="F802" s="4" t="str">
        <f t="shared" si="134"/>
        <v>December</v>
      </c>
      <c r="G802" s="4" t="str">
        <f t="shared" si="135"/>
        <v>2023</v>
      </c>
      <c r="H802" s="3">
        <v>45265</v>
      </c>
      <c r="I802" s="4" t="s">
        <v>816</v>
      </c>
      <c r="J802" s="4" t="s">
        <v>23</v>
      </c>
      <c r="K802" s="4" t="str" cm="1">
        <f t="array" ref="K802">_xlfn.IFS(L802&gt;50,"Senior", L802&gt;=30,"Adult", L802&lt;30,"Young Adult")</f>
        <v>Senior</v>
      </c>
      <c r="L802" s="4">
        <v>51</v>
      </c>
      <c r="M802" s="4" t="s">
        <v>21</v>
      </c>
      <c r="N802" s="4">
        <v>1</v>
      </c>
      <c r="O802" s="5">
        <v>25</v>
      </c>
      <c r="P802">
        <f t="shared" si="136"/>
        <v>25</v>
      </c>
      <c r="Q802" s="14">
        <f t="shared" ref="Q802:Q805" si="137">P802*$I$4</f>
        <v>0.375</v>
      </c>
      <c r="R802" s="14">
        <f t="shared" ref="R802:R805" si="138">P802*$I$5</f>
        <v>0.5</v>
      </c>
    </row>
    <row r="803" spans="1:18" x14ac:dyDescent="0.35">
      <c r="A803" s="2">
        <v>792</v>
      </c>
      <c r="B803" s="4">
        <f t="shared" si="130"/>
        <v>9</v>
      </c>
      <c r="C803" s="4">
        <f t="shared" si="131"/>
        <v>7</v>
      </c>
      <c r="D803" s="4">
        <f t="shared" si="132"/>
        <v>2023</v>
      </c>
      <c r="E803" s="4" t="str">
        <f t="shared" si="133"/>
        <v>Sunday</v>
      </c>
      <c r="F803" s="4" t="str">
        <f t="shared" si="134"/>
        <v>July</v>
      </c>
      <c r="G803" s="4" t="str">
        <f t="shared" si="135"/>
        <v>2023</v>
      </c>
      <c r="H803" s="3">
        <v>45116</v>
      </c>
      <c r="I803" s="4" t="s">
        <v>817</v>
      </c>
      <c r="J803" s="4" t="s">
        <v>23</v>
      </c>
      <c r="K803" s="4" t="str" cm="1">
        <f t="array" ref="K803">_xlfn.IFS(L803&gt;50,"Senior", L803&gt;=30,"Adult", L803&lt;30,"Young Adult")</f>
        <v>Young Adult</v>
      </c>
      <c r="L803" s="4">
        <v>20</v>
      </c>
      <c r="M803" s="4" t="s">
        <v>21</v>
      </c>
      <c r="N803" s="4">
        <v>1</v>
      </c>
      <c r="O803" s="5">
        <v>50</v>
      </c>
      <c r="P803">
        <f t="shared" si="136"/>
        <v>50</v>
      </c>
      <c r="Q803" s="14">
        <f t="shared" si="137"/>
        <v>0.75</v>
      </c>
      <c r="R803" s="14">
        <f t="shared" si="138"/>
        <v>1</v>
      </c>
    </row>
    <row r="804" spans="1:18" x14ac:dyDescent="0.35">
      <c r="A804" s="2">
        <v>793</v>
      </c>
      <c r="B804" s="4">
        <f t="shared" si="130"/>
        <v>5</v>
      </c>
      <c r="C804" s="4">
        <f t="shared" si="131"/>
        <v>2</v>
      </c>
      <c r="D804" s="4">
        <f t="shared" si="132"/>
        <v>2023</v>
      </c>
      <c r="E804" s="4" t="str">
        <f t="shared" si="133"/>
        <v>Sunday</v>
      </c>
      <c r="F804" s="4" t="str">
        <f t="shared" si="134"/>
        <v>February</v>
      </c>
      <c r="G804" s="4" t="str">
        <f t="shared" si="135"/>
        <v>2023</v>
      </c>
      <c r="H804" s="3">
        <v>44962</v>
      </c>
      <c r="I804" s="4" t="s">
        <v>818</v>
      </c>
      <c r="J804" s="4" t="s">
        <v>20</v>
      </c>
      <c r="K804" s="4" t="str" cm="1">
        <f t="array" ref="K804">_xlfn.IFS(L804&gt;50,"Senior", L804&gt;=30,"Adult", L804&lt;30,"Young Adult")</f>
        <v>Senior</v>
      </c>
      <c r="L804" s="4">
        <v>54</v>
      </c>
      <c r="M804" s="4" t="s">
        <v>21</v>
      </c>
      <c r="N804" s="4">
        <v>1</v>
      </c>
      <c r="O804" s="5">
        <v>30</v>
      </c>
      <c r="P804">
        <f t="shared" si="136"/>
        <v>30</v>
      </c>
      <c r="Q804" s="14">
        <f t="shared" si="137"/>
        <v>0.44999999999999996</v>
      </c>
      <c r="R804" s="14">
        <f t="shared" si="138"/>
        <v>0.6</v>
      </c>
    </row>
    <row r="805" spans="1:18" x14ac:dyDescent="0.35">
      <c r="A805" s="2">
        <v>794</v>
      </c>
      <c r="B805" s="4">
        <f t="shared" si="130"/>
        <v>17</v>
      </c>
      <c r="C805" s="4">
        <f t="shared" si="131"/>
        <v>9</v>
      </c>
      <c r="D805" s="4">
        <f t="shared" si="132"/>
        <v>2023</v>
      </c>
      <c r="E805" s="4" t="str">
        <f t="shared" si="133"/>
        <v>Sunday</v>
      </c>
      <c r="F805" s="4" t="str">
        <f t="shared" si="134"/>
        <v>September</v>
      </c>
      <c r="G805" s="4" t="str">
        <f t="shared" si="135"/>
        <v>2023</v>
      </c>
      <c r="H805" s="3">
        <v>45186</v>
      </c>
      <c r="I805" s="4" t="s">
        <v>819</v>
      </c>
      <c r="J805" s="4" t="s">
        <v>23</v>
      </c>
      <c r="K805" s="4" t="str" cm="1">
        <f t="array" ref="K805">_xlfn.IFS(L805&gt;50,"Senior", L805&gt;=30,"Adult", L805&lt;30,"Young Adult")</f>
        <v>Senior</v>
      </c>
      <c r="L805" s="4">
        <v>60</v>
      </c>
      <c r="M805" s="4" t="s">
        <v>21</v>
      </c>
      <c r="N805" s="4">
        <v>1</v>
      </c>
      <c r="O805" s="5">
        <v>300</v>
      </c>
      <c r="P805">
        <f t="shared" si="136"/>
        <v>300</v>
      </c>
      <c r="Q805" s="14">
        <f t="shared" si="137"/>
        <v>4.5</v>
      </c>
      <c r="R805" s="14">
        <f t="shared" si="138"/>
        <v>6</v>
      </c>
    </row>
    <row r="806" spans="1:18" x14ac:dyDescent="0.35">
      <c r="A806" s="2">
        <v>795</v>
      </c>
      <c r="B806" s="4">
        <f t="shared" si="130"/>
        <v>28</v>
      </c>
      <c r="C806" s="4">
        <f t="shared" si="131"/>
        <v>11</v>
      </c>
      <c r="D806" s="4">
        <f t="shared" si="132"/>
        <v>2023</v>
      </c>
      <c r="E806" s="4" t="str">
        <f t="shared" si="133"/>
        <v>Tuesday</v>
      </c>
      <c r="F806" s="4" t="str">
        <f t="shared" si="134"/>
        <v>November</v>
      </c>
      <c r="G806" s="4" t="str">
        <f t="shared" si="135"/>
        <v>2023</v>
      </c>
      <c r="H806" s="3">
        <v>45258</v>
      </c>
      <c r="I806" s="4" t="s">
        <v>820</v>
      </c>
      <c r="J806" s="4" t="s">
        <v>20</v>
      </c>
      <c r="K806" s="4" t="str" cm="1">
        <f t="array" ref="K806">_xlfn.IFS(L806&gt;50,"Senior", L806&gt;=30,"Adult", L806&lt;30,"Young Adult")</f>
        <v>Senior</v>
      </c>
      <c r="L806" s="4">
        <v>57</v>
      </c>
      <c r="M806" s="4" t="s">
        <v>26</v>
      </c>
      <c r="N806" s="4">
        <v>1</v>
      </c>
      <c r="O806" s="5">
        <v>300</v>
      </c>
      <c r="P806">
        <f t="shared" si="136"/>
        <v>300</v>
      </c>
      <c r="Q806" s="14" t="e">
        <f>P806*#REF!</f>
        <v>#REF!</v>
      </c>
      <c r="R806" s="14" t="e">
        <f>P806*#REF!</f>
        <v>#REF!</v>
      </c>
    </row>
    <row r="807" spans="1:18" x14ac:dyDescent="0.35">
      <c r="A807" s="2">
        <v>796</v>
      </c>
      <c r="B807" s="4">
        <f t="shared" si="130"/>
        <v>24</v>
      </c>
      <c r="C807" s="4">
        <f t="shared" si="131"/>
        <v>6</v>
      </c>
      <c r="D807" s="4">
        <f t="shared" si="132"/>
        <v>2023</v>
      </c>
      <c r="E807" s="4" t="str">
        <f t="shared" si="133"/>
        <v>Saturday</v>
      </c>
      <c r="F807" s="4" t="str">
        <f t="shared" si="134"/>
        <v>June</v>
      </c>
      <c r="G807" s="4" t="str">
        <f t="shared" si="135"/>
        <v>2023</v>
      </c>
      <c r="H807" s="3">
        <v>45101</v>
      </c>
      <c r="I807" s="4" t="s">
        <v>821</v>
      </c>
      <c r="J807" s="4" t="s">
        <v>20</v>
      </c>
      <c r="K807" s="4" t="str" cm="1">
        <f t="array" ref="K807">_xlfn.IFS(L807&gt;50,"Senior", L807&gt;=30,"Adult", L807&lt;30,"Young Adult")</f>
        <v>Adult</v>
      </c>
      <c r="L807" s="4">
        <v>43</v>
      </c>
      <c r="M807" s="4" t="s">
        <v>21</v>
      </c>
      <c r="N807" s="4">
        <v>4</v>
      </c>
      <c r="O807" s="5">
        <v>30</v>
      </c>
      <c r="P807">
        <f t="shared" si="136"/>
        <v>120</v>
      </c>
      <c r="Q807" s="14">
        <f>P807*$I$4</f>
        <v>1.7999999999999998</v>
      </c>
      <c r="R807" s="14">
        <f>P807*$I$5</f>
        <v>2.4</v>
      </c>
    </row>
    <row r="808" spans="1:18" x14ac:dyDescent="0.35">
      <c r="A808" s="2">
        <v>797</v>
      </c>
      <c r="B808" s="4">
        <f t="shared" si="130"/>
        <v>7</v>
      </c>
      <c r="C808" s="4">
        <f t="shared" si="131"/>
        <v>1</v>
      </c>
      <c r="D808" s="4">
        <f t="shared" si="132"/>
        <v>2023</v>
      </c>
      <c r="E808" s="4" t="str">
        <f t="shared" si="133"/>
        <v>Saturday</v>
      </c>
      <c r="F808" s="4" t="str">
        <f t="shared" si="134"/>
        <v>January</v>
      </c>
      <c r="G808" s="4" t="str">
        <f t="shared" si="135"/>
        <v>2023</v>
      </c>
      <c r="H808" s="3">
        <v>44933</v>
      </c>
      <c r="I808" s="4" t="s">
        <v>822</v>
      </c>
      <c r="J808" s="4" t="s">
        <v>20</v>
      </c>
      <c r="K808" s="4" t="str" cm="1">
        <f t="array" ref="K808">_xlfn.IFS(L808&gt;50,"Senior", L808&gt;=30,"Adult", L808&lt;30,"Young Adult")</f>
        <v>Adult</v>
      </c>
      <c r="L808" s="4">
        <v>40</v>
      </c>
      <c r="M808" s="4" t="s">
        <v>24</v>
      </c>
      <c r="N808" s="4">
        <v>3</v>
      </c>
      <c r="O808" s="5">
        <v>25</v>
      </c>
      <c r="P808">
        <f t="shared" si="136"/>
        <v>75</v>
      </c>
      <c r="Q808" s="14" t="e">
        <f>P808*#REF!</f>
        <v>#REF!</v>
      </c>
      <c r="R808" s="14" t="e">
        <f>P808*#REF!</f>
        <v>#REF!</v>
      </c>
    </row>
    <row r="809" spans="1:18" x14ac:dyDescent="0.35">
      <c r="A809" s="2">
        <v>798</v>
      </c>
      <c r="B809" s="4">
        <f t="shared" si="130"/>
        <v>4</v>
      </c>
      <c r="C809" s="4">
        <f t="shared" si="131"/>
        <v>8</v>
      </c>
      <c r="D809" s="4">
        <f t="shared" si="132"/>
        <v>2023</v>
      </c>
      <c r="E809" s="4" t="str">
        <f t="shared" si="133"/>
        <v>Friday</v>
      </c>
      <c r="F809" s="4" t="str">
        <f t="shared" si="134"/>
        <v>August</v>
      </c>
      <c r="G809" s="4" t="str">
        <f t="shared" si="135"/>
        <v>2023</v>
      </c>
      <c r="H809" s="3">
        <v>45142</v>
      </c>
      <c r="I809" s="4" t="s">
        <v>823</v>
      </c>
      <c r="J809" s="4" t="s">
        <v>20</v>
      </c>
      <c r="K809" s="4" t="str" cm="1">
        <f t="array" ref="K809">_xlfn.IFS(L809&gt;50,"Senior", L809&gt;=30,"Adult", L809&lt;30,"Young Adult")</f>
        <v>Senior</v>
      </c>
      <c r="L809" s="4">
        <v>61</v>
      </c>
      <c r="M809" s="4" t="s">
        <v>24</v>
      </c>
      <c r="N809" s="4">
        <v>1</v>
      </c>
      <c r="O809" s="5">
        <v>50</v>
      </c>
      <c r="P809">
        <f t="shared" si="136"/>
        <v>50</v>
      </c>
      <c r="Q809" s="14" t="e">
        <f>P809*#REF!</f>
        <v>#REF!</v>
      </c>
      <c r="R809" s="14" t="e">
        <f>P809*#REF!</f>
        <v>#REF!</v>
      </c>
    </row>
    <row r="810" spans="1:18" x14ac:dyDescent="0.35">
      <c r="A810" s="2">
        <v>799</v>
      </c>
      <c r="B810" s="4">
        <f t="shared" si="130"/>
        <v>8</v>
      </c>
      <c r="C810" s="4">
        <f t="shared" si="131"/>
        <v>9</v>
      </c>
      <c r="D810" s="4">
        <f t="shared" si="132"/>
        <v>2023</v>
      </c>
      <c r="E810" s="4" t="str">
        <f t="shared" si="133"/>
        <v>Friday</v>
      </c>
      <c r="F810" s="4" t="str">
        <f t="shared" si="134"/>
        <v>September</v>
      </c>
      <c r="G810" s="4" t="str">
        <f t="shared" si="135"/>
        <v>2023</v>
      </c>
      <c r="H810" s="3">
        <v>45177</v>
      </c>
      <c r="I810" s="4" t="s">
        <v>824</v>
      </c>
      <c r="J810" s="4" t="s">
        <v>20</v>
      </c>
      <c r="K810" s="4" t="str" cm="1">
        <f t="array" ref="K810">_xlfn.IFS(L810&gt;50,"Senior", L810&gt;=30,"Adult", L810&lt;30,"Young Adult")</f>
        <v>Senior</v>
      </c>
      <c r="L810" s="4">
        <v>56</v>
      </c>
      <c r="M810" s="4" t="s">
        <v>26</v>
      </c>
      <c r="N810" s="4">
        <v>2</v>
      </c>
      <c r="O810" s="5">
        <v>50</v>
      </c>
      <c r="P810">
        <f t="shared" si="136"/>
        <v>100</v>
      </c>
      <c r="Q810" s="14" t="e">
        <f>P810*#REF!</f>
        <v>#REF!</v>
      </c>
      <c r="R810" s="14" t="e">
        <f>P810*#REF!</f>
        <v>#REF!</v>
      </c>
    </row>
    <row r="811" spans="1:18" x14ac:dyDescent="0.35">
      <c r="A811" s="2">
        <v>800</v>
      </c>
      <c r="B811" s="4">
        <f t="shared" si="130"/>
        <v>24</v>
      </c>
      <c r="C811" s="4">
        <f t="shared" si="131"/>
        <v>2</v>
      </c>
      <c r="D811" s="4">
        <f t="shared" si="132"/>
        <v>2023</v>
      </c>
      <c r="E811" s="4" t="str">
        <f t="shared" si="133"/>
        <v>Friday</v>
      </c>
      <c r="F811" s="4" t="str">
        <f t="shared" si="134"/>
        <v>February</v>
      </c>
      <c r="G811" s="4" t="str">
        <f t="shared" si="135"/>
        <v>2023</v>
      </c>
      <c r="H811" s="3">
        <v>44981</v>
      </c>
      <c r="I811" s="4" t="s">
        <v>825</v>
      </c>
      <c r="J811" s="4" t="s">
        <v>20</v>
      </c>
      <c r="K811" s="4" t="str" cm="1">
        <f t="array" ref="K811">_xlfn.IFS(L811&gt;50,"Senior", L811&gt;=30,"Adult", L811&lt;30,"Young Adult")</f>
        <v>Adult</v>
      </c>
      <c r="L811" s="4">
        <v>32</v>
      </c>
      <c r="M811" s="4" t="s">
        <v>24</v>
      </c>
      <c r="N811" s="4">
        <v>4</v>
      </c>
      <c r="O811" s="5">
        <v>300</v>
      </c>
      <c r="P811">
        <f t="shared" si="136"/>
        <v>1200</v>
      </c>
      <c r="Q811" s="14" t="e">
        <f>P811*#REF!</f>
        <v>#REF!</v>
      </c>
      <c r="R811" s="14" t="e">
        <f>P811*#REF!</f>
        <v>#REF!</v>
      </c>
    </row>
    <row r="812" spans="1:18" x14ac:dyDescent="0.35">
      <c r="A812" s="2">
        <v>801</v>
      </c>
      <c r="B812" s="4">
        <f t="shared" si="130"/>
        <v>10</v>
      </c>
      <c r="C812" s="4">
        <f t="shared" si="131"/>
        <v>8</v>
      </c>
      <c r="D812" s="4">
        <f t="shared" si="132"/>
        <v>2023</v>
      </c>
      <c r="E812" s="4" t="str">
        <f t="shared" si="133"/>
        <v>Thursday</v>
      </c>
      <c r="F812" s="4" t="str">
        <f t="shared" si="134"/>
        <v>August</v>
      </c>
      <c r="G812" s="4" t="str">
        <f t="shared" si="135"/>
        <v>2023</v>
      </c>
      <c r="H812" s="3">
        <v>45148</v>
      </c>
      <c r="I812" s="4" t="s">
        <v>826</v>
      </c>
      <c r="J812" s="4" t="s">
        <v>20</v>
      </c>
      <c r="K812" s="4" t="str" cm="1">
        <f t="array" ref="K812">_xlfn.IFS(L812&gt;50,"Senior", L812&gt;=30,"Adult", L812&lt;30,"Young Adult")</f>
        <v>Young Adult</v>
      </c>
      <c r="L812" s="4">
        <v>21</v>
      </c>
      <c r="M812" s="4" t="s">
        <v>24</v>
      </c>
      <c r="N812" s="4">
        <v>4</v>
      </c>
      <c r="O812" s="5">
        <v>50</v>
      </c>
      <c r="P812">
        <f t="shared" si="136"/>
        <v>200</v>
      </c>
      <c r="Q812" s="14" t="e">
        <f>P812*#REF!</f>
        <v>#REF!</v>
      </c>
      <c r="R812" s="14" t="e">
        <f>P812*#REF!</f>
        <v>#REF!</v>
      </c>
    </row>
    <row r="813" spans="1:18" x14ac:dyDescent="0.35">
      <c r="A813" s="2">
        <v>802</v>
      </c>
      <c r="B813" s="4">
        <f t="shared" si="130"/>
        <v>5</v>
      </c>
      <c r="C813" s="4">
        <f t="shared" si="131"/>
        <v>7</v>
      </c>
      <c r="D813" s="4">
        <f t="shared" si="132"/>
        <v>2023</v>
      </c>
      <c r="E813" s="4" t="str">
        <f t="shared" si="133"/>
        <v>Wednesday</v>
      </c>
      <c r="F813" s="4" t="str">
        <f t="shared" si="134"/>
        <v>July</v>
      </c>
      <c r="G813" s="4" t="str">
        <f t="shared" si="135"/>
        <v>2023</v>
      </c>
      <c r="H813" s="3">
        <v>45112</v>
      </c>
      <c r="I813" s="4" t="s">
        <v>827</v>
      </c>
      <c r="J813" s="4" t="s">
        <v>23</v>
      </c>
      <c r="K813" s="4" t="str" cm="1">
        <f t="array" ref="K813">_xlfn.IFS(L813&gt;50,"Senior", L813&gt;=30,"Adult", L813&lt;30,"Young Adult")</f>
        <v>Adult</v>
      </c>
      <c r="L813" s="4">
        <v>46</v>
      </c>
      <c r="M813" s="4" t="s">
        <v>21</v>
      </c>
      <c r="N813" s="4">
        <v>1</v>
      </c>
      <c r="O813" s="5">
        <v>30</v>
      </c>
      <c r="P813">
        <f t="shared" si="136"/>
        <v>30</v>
      </c>
      <c r="Q813" s="14">
        <f>P813*$I$4</f>
        <v>0.44999999999999996</v>
      </c>
      <c r="R813" s="14">
        <f>P813*$I$5</f>
        <v>0.6</v>
      </c>
    </row>
    <row r="814" spans="1:18" x14ac:dyDescent="0.35">
      <c r="A814" s="2">
        <v>803</v>
      </c>
      <c r="B814" s="4">
        <f t="shared" si="130"/>
        <v>22</v>
      </c>
      <c r="C814" s="4">
        <f t="shared" si="131"/>
        <v>11</v>
      </c>
      <c r="D814" s="4">
        <f t="shared" si="132"/>
        <v>2023</v>
      </c>
      <c r="E814" s="4" t="str">
        <f t="shared" si="133"/>
        <v>Wednesday</v>
      </c>
      <c r="F814" s="4" t="str">
        <f t="shared" si="134"/>
        <v>November</v>
      </c>
      <c r="G814" s="4" t="str">
        <f t="shared" si="135"/>
        <v>2023</v>
      </c>
      <c r="H814" s="3">
        <v>45252</v>
      </c>
      <c r="I814" s="4" t="s">
        <v>828</v>
      </c>
      <c r="J814" s="4" t="s">
        <v>20</v>
      </c>
      <c r="K814" s="4" t="str" cm="1">
        <f t="array" ref="K814">_xlfn.IFS(L814&gt;50,"Senior", L814&gt;=30,"Adult", L814&lt;30,"Young Adult")</f>
        <v>Adult</v>
      </c>
      <c r="L814" s="4">
        <v>39</v>
      </c>
      <c r="M814" s="4" t="s">
        <v>24</v>
      </c>
      <c r="N814" s="4">
        <v>4</v>
      </c>
      <c r="O814" s="5">
        <v>25</v>
      </c>
      <c r="P814">
        <f t="shared" si="136"/>
        <v>100</v>
      </c>
      <c r="Q814" s="14" t="e">
        <f>P814*#REF!</f>
        <v>#REF!</v>
      </c>
      <c r="R814" s="14" t="e">
        <f>P814*#REF!</f>
        <v>#REF!</v>
      </c>
    </row>
    <row r="815" spans="1:18" x14ac:dyDescent="0.35">
      <c r="A815" s="2">
        <v>804</v>
      </c>
      <c r="B815" s="4">
        <f t="shared" si="130"/>
        <v>24</v>
      </c>
      <c r="C815" s="4">
        <f t="shared" si="131"/>
        <v>8</v>
      </c>
      <c r="D815" s="4">
        <f t="shared" si="132"/>
        <v>2023</v>
      </c>
      <c r="E815" s="4" t="str">
        <f t="shared" si="133"/>
        <v>Thursday</v>
      </c>
      <c r="F815" s="4" t="str">
        <f t="shared" si="134"/>
        <v>August</v>
      </c>
      <c r="G815" s="4" t="str">
        <f t="shared" si="135"/>
        <v>2023</v>
      </c>
      <c r="H815" s="3">
        <v>45162</v>
      </c>
      <c r="I815" s="4" t="s">
        <v>829</v>
      </c>
      <c r="J815" s="4" t="s">
        <v>20</v>
      </c>
      <c r="K815" s="4" t="str" cm="1">
        <f t="array" ref="K815">_xlfn.IFS(L815&gt;50,"Senior", L815&gt;=30,"Adult", L815&lt;30,"Young Adult")</f>
        <v>Adult</v>
      </c>
      <c r="L815" s="4">
        <v>42</v>
      </c>
      <c r="M815" s="4" t="s">
        <v>26</v>
      </c>
      <c r="N815" s="4">
        <v>1</v>
      </c>
      <c r="O815" s="5">
        <v>30</v>
      </c>
      <c r="P815">
        <f t="shared" si="136"/>
        <v>30</v>
      </c>
      <c r="Q815" s="14" t="e">
        <f>P815*#REF!</f>
        <v>#REF!</v>
      </c>
      <c r="R815" s="14" t="e">
        <f>P815*#REF!</f>
        <v>#REF!</v>
      </c>
    </row>
    <row r="816" spans="1:18" x14ac:dyDescent="0.35">
      <c r="A816" s="2">
        <v>805</v>
      </c>
      <c r="B816" s="4">
        <f t="shared" si="130"/>
        <v>29</v>
      </c>
      <c r="C816" s="4">
        <f t="shared" si="131"/>
        <v>12</v>
      </c>
      <c r="D816" s="4">
        <f t="shared" si="132"/>
        <v>2023</v>
      </c>
      <c r="E816" s="4" t="str">
        <f t="shared" si="133"/>
        <v>Friday</v>
      </c>
      <c r="F816" s="4" t="str">
        <f t="shared" si="134"/>
        <v>December</v>
      </c>
      <c r="G816" s="4" t="str">
        <f t="shared" si="135"/>
        <v>2023</v>
      </c>
      <c r="H816" s="3">
        <v>45289</v>
      </c>
      <c r="I816" s="4" t="s">
        <v>830</v>
      </c>
      <c r="J816" s="4" t="s">
        <v>23</v>
      </c>
      <c r="K816" s="4" t="str" cm="1">
        <f t="array" ref="K816">_xlfn.IFS(L816&gt;50,"Senior", L816&gt;=30,"Adult", L816&lt;30,"Young Adult")</f>
        <v>Adult</v>
      </c>
      <c r="L816" s="4">
        <v>30</v>
      </c>
      <c r="M816" s="4" t="s">
        <v>21</v>
      </c>
      <c r="N816" s="4">
        <v>3</v>
      </c>
      <c r="O816" s="5">
        <v>500</v>
      </c>
      <c r="P816">
        <f t="shared" si="136"/>
        <v>1500</v>
      </c>
      <c r="Q816" s="14">
        <f t="shared" ref="Q816:Q817" si="139">P816*$I$4</f>
        <v>22.5</v>
      </c>
      <c r="R816" s="14">
        <f t="shared" ref="R816:R817" si="140">P816*$I$5</f>
        <v>30</v>
      </c>
    </row>
    <row r="817" spans="1:18" x14ac:dyDescent="0.35">
      <c r="A817" s="2">
        <v>806</v>
      </c>
      <c r="B817" s="4">
        <f t="shared" si="130"/>
        <v>20</v>
      </c>
      <c r="C817" s="4">
        <f t="shared" si="131"/>
        <v>3</v>
      </c>
      <c r="D817" s="4">
        <f t="shared" si="132"/>
        <v>2023</v>
      </c>
      <c r="E817" s="4" t="str">
        <f t="shared" si="133"/>
        <v>Monday</v>
      </c>
      <c r="F817" s="4" t="str">
        <f t="shared" si="134"/>
        <v>March</v>
      </c>
      <c r="G817" s="4" t="str">
        <f t="shared" si="135"/>
        <v>2023</v>
      </c>
      <c r="H817" s="3">
        <v>45005</v>
      </c>
      <c r="I817" s="4" t="s">
        <v>831</v>
      </c>
      <c r="J817" s="4" t="s">
        <v>23</v>
      </c>
      <c r="K817" s="4" t="str" cm="1">
        <f t="array" ref="K817">_xlfn.IFS(L817&gt;50,"Senior", L817&gt;=30,"Adult", L817&lt;30,"Young Adult")</f>
        <v>Adult</v>
      </c>
      <c r="L817" s="4">
        <v>35</v>
      </c>
      <c r="M817" s="4" t="s">
        <v>21</v>
      </c>
      <c r="N817" s="4">
        <v>3</v>
      </c>
      <c r="O817" s="5">
        <v>300</v>
      </c>
      <c r="P817">
        <f t="shared" si="136"/>
        <v>900</v>
      </c>
      <c r="Q817" s="14">
        <f t="shared" si="139"/>
        <v>13.5</v>
      </c>
      <c r="R817" s="14">
        <f t="shared" si="140"/>
        <v>18</v>
      </c>
    </row>
    <row r="818" spans="1:18" x14ac:dyDescent="0.35">
      <c r="A818" s="2">
        <v>807</v>
      </c>
      <c r="B818" s="4">
        <f t="shared" si="130"/>
        <v>11</v>
      </c>
      <c r="C818" s="4">
        <f t="shared" si="131"/>
        <v>8</v>
      </c>
      <c r="D818" s="4">
        <f t="shared" si="132"/>
        <v>2023</v>
      </c>
      <c r="E818" s="4" t="str">
        <f t="shared" si="133"/>
        <v>Friday</v>
      </c>
      <c r="F818" s="4" t="str">
        <f t="shared" si="134"/>
        <v>August</v>
      </c>
      <c r="G818" s="4" t="str">
        <f t="shared" si="135"/>
        <v>2023</v>
      </c>
      <c r="H818" s="3">
        <v>45149</v>
      </c>
      <c r="I818" s="4" t="s">
        <v>832</v>
      </c>
      <c r="J818" s="4" t="s">
        <v>23</v>
      </c>
      <c r="K818" s="4" t="str" cm="1">
        <f t="array" ref="K818">_xlfn.IFS(L818&gt;50,"Senior", L818&gt;=30,"Adult", L818&lt;30,"Young Adult")</f>
        <v>Adult</v>
      </c>
      <c r="L818" s="4">
        <v>50</v>
      </c>
      <c r="M818" s="4" t="s">
        <v>26</v>
      </c>
      <c r="N818" s="4">
        <v>4</v>
      </c>
      <c r="O818" s="5">
        <v>50</v>
      </c>
      <c r="P818">
        <f t="shared" si="136"/>
        <v>200</v>
      </c>
      <c r="Q818" s="14" t="e">
        <f>P818*#REF!</f>
        <v>#REF!</v>
      </c>
      <c r="R818" s="14" t="e">
        <f>P818*#REF!</f>
        <v>#REF!</v>
      </c>
    </row>
    <row r="819" spans="1:18" x14ac:dyDescent="0.35">
      <c r="A819" s="2">
        <v>808</v>
      </c>
      <c r="B819" s="4">
        <f t="shared" si="130"/>
        <v>1</v>
      </c>
      <c r="C819" s="4">
        <f t="shared" si="131"/>
        <v>4</v>
      </c>
      <c r="D819" s="4">
        <f t="shared" si="132"/>
        <v>2023</v>
      </c>
      <c r="E819" s="4" t="str">
        <f t="shared" si="133"/>
        <v>Saturday</v>
      </c>
      <c r="F819" s="4" t="str">
        <f t="shared" si="134"/>
        <v>April</v>
      </c>
      <c r="G819" s="4" t="str">
        <f t="shared" si="135"/>
        <v>2023</v>
      </c>
      <c r="H819" s="3">
        <v>45017</v>
      </c>
      <c r="I819" s="4" t="s">
        <v>833</v>
      </c>
      <c r="J819" s="4" t="s">
        <v>20</v>
      </c>
      <c r="K819" s="4" t="str" cm="1">
        <f t="array" ref="K819">_xlfn.IFS(L819&gt;50,"Senior", L819&gt;=30,"Adult", L819&lt;30,"Young Adult")</f>
        <v>Adult</v>
      </c>
      <c r="L819" s="4">
        <v>33</v>
      </c>
      <c r="M819" s="4" t="s">
        <v>21</v>
      </c>
      <c r="N819" s="4">
        <v>4</v>
      </c>
      <c r="O819" s="5">
        <v>500</v>
      </c>
      <c r="P819">
        <f t="shared" si="136"/>
        <v>2000</v>
      </c>
      <c r="Q819" s="14">
        <f t="shared" ref="Q819:Q820" si="141">P819*$I$4</f>
        <v>30</v>
      </c>
      <c r="R819" s="14">
        <f t="shared" ref="R819:R820" si="142">P819*$I$5</f>
        <v>40</v>
      </c>
    </row>
    <row r="820" spans="1:18" x14ac:dyDescent="0.35">
      <c r="A820" s="2">
        <v>809</v>
      </c>
      <c r="B820" s="4">
        <f t="shared" si="130"/>
        <v>25</v>
      </c>
      <c r="C820" s="4">
        <f t="shared" si="131"/>
        <v>9</v>
      </c>
      <c r="D820" s="4">
        <f t="shared" si="132"/>
        <v>2023</v>
      </c>
      <c r="E820" s="4" t="str">
        <f t="shared" si="133"/>
        <v>Monday</v>
      </c>
      <c r="F820" s="4" t="str">
        <f t="shared" si="134"/>
        <v>September</v>
      </c>
      <c r="G820" s="4" t="str">
        <f t="shared" si="135"/>
        <v>2023</v>
      </c>
      <c r="H820" s="3">
        <v>45194</v>
      </c>
      <c r="I820" s="4" t="s">
        <v>834</v>
      </c>
      <c r="J820" s="4" t="s">
        <v>23</v>
      </c>
      <c r="K820" s="4" t="str" cm="1">
        <f t="array" ref="K820">_xlfn.IFS(L820&gt;50,"Senior", L820&gt;=30,"Adult", L820&lt;30,"Young Adult")</f>
        <v>Senior</v>
      </c>
      <c r="L820" s="4">
        <v>62</v>
      </c>
      <c r="M820" s="4" t="s">
        <v>21</v>
      </c>
      <c r="N820" s="4">
        <v>2</v>
      </c>
      <c r="O820" s="5">
        <v>50</v>
      </c>
      <c r="P820">
        <f t="shared" si="136"/>
        <v>100</v>
      </c>
      <c r="Q820" s="14">
        <f t="shared" si="141"/>
        <v>1.5</v>
      </c>
      <c r="R820" s="14">
        <f t="shared" si="142"/>
        <v>2</v>
      </c>
    </row>
    <row r="821" spans="1:18" x14ac:dyDescent="0.35">
      <c r="A821" s="2">
        <v>810</v>
      </c>
      <c r="B821" s="4">
        <f t="shared" si="130"/>
        <v>30</v>
      </c>
      <c r="C821" s="4">
        <f t="shared" si="131"/>
        <v>11</v>
      </c>
      <c r="D821" s="4">
        <f t="shared" si="132"/>
        <v>2023</v>
      </c>
      <c r="E821" s="4" t="str">
        <f t="shared" si="133"/>
        <v>Thursday</v>
      </c>
      <c r="F821" s="4" t="str">
        <f t="shared" si="134"/>
        <v>November</v>
      </c>
      <c r="G821" s="4" t="str">
        <f t="shared" si="135"/>
        <v>2023</v>
      </c>
      <c r="H821" s="3">
        <v>45260</v>
      </c>
      <c r="I821" s="4" t="s">
        <v>835</v>
      </c>
      <c r="J821" s="4" t="s">
        <v>20</v>
      </c>
      <c r="K821" s="4" t="str" cm="1">
        <f t="array" ref="K821">_xlfn.IFS(L821&gt;50,"Senior", L821&gt;=30,"Adult", L821&lt;30,"Young Adult")</f>
        <v>Senior</v>
      </c>
      <c r="L821" s="4">
        <v>59</v>
      </c>
      <c r="M821" s="4" t="s">
        <v>26</v>
      </c>
      <c r="N821" s="4">
        <v>4</v>
      </c>
      <c r="O821" s="5">
        <v>25</v>
      </c>
      <c r="P821">
        <f t="shared" si="136"/>
        <v>100</v>
      </c>
      <c r="Q821" s="14" t="e">
        <f>P821*#REF!</f>
        <v>#REF!</v>
      </c>
      <c r="R821" s="14" t="e">
        <f>P821*#REF!</f>
        <v>#REF!</v>
      </c>
    </row>
    <row r="822" spans="1:18" x14ac:dyDescent="0.35">
      <c r="A822" s="2">
        <v>811</v>
      </c>
      <c r="B822" s="4">
        <f t="shared" si="130"/>
        <v>19</v>
      </c>
      <c r="C822" s="4">
        <f t="shared" si="131"/>
        <v>5</v>
      </c>
      <c r="D822" s="4">
        <f t="shared" si="132"/>
        <v>2023</v>
      </c>
      <c r="E822" s="4" t="str">
        <f t="shared" si="133"/>
        <v>Friday</v>
      </c>
      <c r="F822" s="4" t="str">
        <f t="shared" si="134"/>
        <v>May</v>
      </c>
      <c r="G822" s="4" t="str">
        <f t="shared" si="135"/>
        <v>2023</v>
      </c>
      <c r="H822" s="3">
        <v>45065</v>
      </c>
      <c r="I822" s="4" t="s">
        <v>836</v>
      </c>
      <c r="J822" s="4" t="s">
        <v>20</v>
      </c>
      <c r="K822" s="4" t="str" cm="1">
        <f t="array" ref="K822">_xlfn.IFS(L822&gt;50,"Senior", L822&gt;=30,"Adult", L822&lt;30,"Young Adult")</f>
        <v>Senior</v>
      </c>
      <c r="L822" s="4">
        <v>61</v>
      </c>
      <c r="M822" s="4" t="s">
        <v>21</v>
      </c>
      <c r="N822" s="4">
        <v>2</v>
      </c>
      <c r="O822" s="5">
        <v>25</v>
      </c>
      <c r="P822">
        <f t="shared" si="136"/>
        <v>50</v>
      </c>
      <c r="Q822" s="14">
        <f>P822*$I$4</f>
        <v>0.75</v>
      </c>
      <c r="R822" s="14">
        <f>P822*$I$5</f>
        <v>1</v>
      </c>
    </row>
    <row r="823" spans="1:18" x14ac:dyDescent="0.35">
      <c r="A823" s="2">
        <v>812</v>
      </c>
      <c r="B823" s="4">
        <f t="shared" si="130"/>
        <v>12</v>
      </c>
      <c r="C823" s="4">
        <f t="shared" si="131"/>
        <v>11</v>
      </c>
      <c r="D823" s="4">
        <f t="shared" si="132"/>
        <v>2023</v>
      </c>
      <c r="E823" s="4" t="str">
        <f t="shared" si="133"/>
        <v>Sunday</v>
      </c>
      <c r="F823" s="4" t="str">
        <f t="shared" si="134"/>
        <v>November</v>
      </c>
      <c r="G823" s="4" t="str">
        <f t="shared" si="135"/>
        <v>2023</v>
      </c>
      <c r="H823" s="3">
        <v>45242</v>
      </c>
      <c r="I823" s="4" t="s">
        <v>837</v>
      </c>
      <c r="J823" s="4" t="s">
        <v>20</v>
      </c>
      <c r="K823" s="4" t="str" cm="1">
        <f t="array" ref="K823">_xlfn.IFS(L823&gt;50,"Senior", L823&gt;=30,"Adult", L823&lt;30,"Young Adult")</f>
        <v>Young Adult</v>
      </c>
      <c r="L823" s="4">
        <v>19</v>
      </c>
      <c r="M823" s="4" t="s">
        <v>26</v>
      </c>
      <c r="N823" s="4">
        <v>3</v>
      </c>
      <c r="O823" s="5">
        <v>25</v>
      </c>
      <c r="P823">
        <f t="shared" si="136"/>
        <v>75</v>
      </c>
      <c r="Q823" s="14" t="e">
        <f>P823*#REF!</f>
        <v>#REF!</v>
      </c>
      <c r="R823" s="14" t="e">
        <f>P823*#REF!</f>
        <v>#REF!</v>
      </c>
    </row>
    <row r="824" spans="1:18" x14ac:dyDescent="0.35">
      <c r="A824" s="2">
        <v>813</v>
      </c>
      <c r="B824" s="4">
        <f t="shared" si="130"/>
        <v>3</v>
      </c>
      <c r="C824" s="4">
        <f t="shared" si="131"/>
        <v>10</v>
      </c>
      <c r="D824" s="4">
        <f t="shared" si="132"/>
        <v>2023</v>
      </c>
      <c r="E824" s="4" t="str">
        <f t="shared" si="133"/>
        <v>Tuesday</v>
      </c>
      <c r="F824" s="4" t="str">
        <f t="shared" si="134"/>
        <v>October</v>
      </c>
      <c r="G824" s="4" t="str">
        <f t="shared" si="135"/>
        <v>2023</v>
      </c>
      <c r="H824" s="3">
        <v>45202</v>
      </c>
      <c r="I824" s="4" t="s">
        <v>838</v>
      </c>
      <c r="J824" s="4" t="s">
        <v>20</v>
      </c>
      <c r="K824" s="4" t="str" cm="1">
        <f t="array" ref="K824">_xlfn.IFS(L824&gt;50,"Senior", L824&gt;=30,"Adult", L824&lt;30,"Young Adult")</f>
        <v>Senior</v>
      </c>
      <c r="L824" s="4">
        <v>52</v>
      </c>
      <c r="M824" s="4" t="s">
        <v>26</v>
      </c>
      <c r="N824" s="4">
        <v>3</v>
      </c>
      <c r="O824" s="5">
        <v>50</v>
      </c>
      <c r="P824">
        <f t="shared" si="136"/>
        <v>150</v>
      </c>
      <c r="Q824" s="14" t="e">
        <f>P824*#REF!</f>
        <v>#REF!</v>
      </c>
      <c r="R824" s="14" t="e">
        <f>P824*#REF!</f>
        <v>#REF!</v>
      </c>
    </row>
    <row r="825" spans="1:18" x14ac:dyDescent="0.35">
      <c r="A825" s="2">
        <v>814</v>
      </c>
      <c r="B825" s="4">
        <f t="shared" si="130"/>
        <v>5</v>
      </c>
      <c r="C825" s="4">
        <f t="shared" si="131"/>
        <v>9</v>
      </c>
      <c r="D825" s="4">
        <f t="shared" si="132"/>
        <v>2023</v>
      </c>
      <c r="E825" s="4" t="str">
        <f t="shared" si="133"/>
        <v>Tuesday</v>
      </c>
      <c r="F825" s="4" t="str">
        <f t="shared" si="134"/>
        <v>September</v>
      </c>
      <c r="G825" s="4" t="str">
        <f t="shared" si="135"/>
        <v>2023</v>
      </c>
      <c r="H825" s="3">
        <v>45174</v>
      </c>
      <c r="I825" s="4" t="s">
        <v>839</v>
      </c>
      <c r="J825" s="4" t="s">
        <v>23</v>
      </c>
      <c r="K825" s="4" t="str" cm="1">
        <f t="array" ref="K825">_xlfn.IFS(L825&gt;50,"Senior", L825&gt;=30,"Adult", L825&lt;30,"Young Adult")</f>
        <v>Senior</v>
      </c>
      <c r="L825" s="4">
        <v>59</v>
      </c>
      <c r="M825" s="4" t="s">
        <v>24</v>
      </c>
      <c r="N825" s="4">
        <v>1</v>
      </c>
      <c r="O825" s="5">
        <v>500</v>
      </c>
      <c r="P825">
        <f t="shared" si="136"/>
        <v>500</v>
      </c>
      <c r="Q825" s="14" t="e">
        <f>P825*#REF!</f>
        <v>#REF!</v>
      </c>
      <c r="R825" s="14" t="e">
        <f>P825*#REF!</f>
        <v>#REF!</v>
      </c>
    </row>
    <row r="826" spans="1:18" x14ac:dyDescent="0.35">
      <c r="A826" s="2">
        <v>815</v>
      </c>
      <c r="B826" s="4">
        <f t="shared" si="130"/>
        <v>27</v>
      </c>
      <c r="C826" s="4">
        <f t="shared" si="131"/>
        <v>8</v>
      </c>
      <c r="D826" s="4">
        <f t="shared" si="132"/>
        <v>2023</v>
      </c>
      <c r="E826" s="4" t="str">
        <f t="shared" si="133"/>
        <v>Sunday</v>
      </c>
      <c r="F826" s="4" t="str">
        <f t="shared" si="134"/>
        <v>August</v>
      </c>
      <c r="G826" s="4" t="str">
        <f t="shared" si="135"/>
        <v>2023</v>
      </c>
      <c r="H826" s="3">
        <v>45165</v>
      </c>
      <c r="I826" s="4" t="s">
        <v>840</v>
      </c>
      <c r="J826" s="4" t="s">
        <v>23</v>
      </c>
      <c r="K826" s="4" t="str" cm="1">
        <f t="array" ref="K826">_xlfn.IFS(L826&gt;50,"Senior", L826&gt;=30,"Adult", L826&lt;30,"Young Adult")</f>
        <v>Senior</v>
      </c>
      <c r="L826" s="4">
        <v>51</v>
      </c>
      <c r="M826" s="4" t="s">
        <v>24</v>
      </c>
      <c r="N826" s="4">
        <v>3</v>
      </c>
      <c r="O826" s="5">
        <v>25</v>
      </c>
      <c r="P826">
        <f t="shared" si="136"/>
        <v>75</v>
      </c>
      <c r="Q826" s="14" t="e">
        <f>P826*#REF!</f>
        <v>#REF!</v>
      </c>
      <c r="R826" s="14" t="e">
        <f>P826*#REF!</f>
        <v>#REF!</v>
      </c>
    </row>
    <row r="827" spans="1:18" x14ac:dyDescent="0.35">
      <c r="A827" s="2">
        <v>816</v>
      </c>
      <c r="B827" s="4">
        <f t="shared" si="130"/>
        <v>12</v>
      </c>
      <c r="C827" s="4">
        <f t="shared" si="131"/>
        <v>8</v>
      </c>
      <c r="D827" s="4">
        <f t="shared" si="132"/>
        <v>2023</v>
      </c>
      <c r="E827" s="4" t="str">
        <f t="shared" si="133"/>
        <v>Saturday</v>
      </c>
      <c r="F827" s="4" t="str">
        <f t="shared" si="134"/>
        <v>August</v>
      </c>
      <c r="G827" s="4" t="str">
        <f t="shared" si="135"/>
        <v>2023</v>
      </c>
      <c r="H827" s="3">
        <v>45150</v>
      </c>
      <c r="I827" s="4" t="s">
        <v>841</v>
      </c>
      <c r="J827" s="4" t="s">
        <v>20</v>
      </c>
      <c r="K827" s="4" t="str" cm="1">
        <f t="array" ref="K827">_xlfn.IFS(L827&gt;50,"Senior", L827&gt;=30,"Adult", L827&lt;30,"Young Adult")</f>
        <v>Adult</v>
      </c>
      <c r="L827" s="4">
        <v>47</v>
      </c>
      <c r="M827" s="4" t="s">
        <v>21</v>
      </c>
      <c r="N827" s="4">
        <v>2</v>
      </c>
      <c r="O827" s="5">
        <v>500</v>
      </c>
      <c r="P827">
        <f t="shared" si="136"/>
        <v>1000</v>
      </c>
      <c r="Q827" s="14">
        <f t="shared" ref="Q827:Q828" si="143">P827*$I$4</f>
        <v>15</v>
      </c>
      <c r="R827" s="14">
        <f t="shared" ref="R827:R828" si="144">P827*$I$5</f>
        <v>20</v>
      </c>
    </row>
    <row r="828" spans="1:18" x14ac:dyDescent="0.35">
      <c r="A828" s="2">
        <v>817</v>
      </c>
      <c r="B828" s="4">
        <f t="shared" si="130"/>
        <v>31</v>
      </c>
      <c r="C828" s="4">
        <f t="shared" si="131"/>
        <v>10</v>
      </c>
      <c r="D828" s="4">
        <f t="shared" si="132"/>
        <v>2023</v>
      </c>
      <c r="E828" s="4" t="str">
        <f t="shared" si="133"/>
        <v>Tuesday</v>
      </c>
      <c r="F828" s="4" t="str">
        <f t="shared" si="134"/>
        <v>October</v>
      </c>
      <c r="G828" s="4" t="str">
        <f t="shared" si="135"/>
        <v>2023</v>
      </c>
      <c r="H828" s="3">
        <v>45230</v>
      </c>
      <c r="I828" s="4" t="s">
        <v>842</v>
      </c>
      <c r="J828" s="4" t="s">
        <v>20</v>
      </c>
      <c r="K828" s="4" t="str" cm="1">
        <f t="array" ref="K828">_xlfn.IFS(L828&gt;50,"Senior", L828&gt;=30,"Adult", L828&lt;30,"Young Adult")</f>
        <v>Adult</v>
      </c>
      <c r="L828" s="4">
        <v>30</v>
      </c>
      <c r="M828" s="4" t="s">
        <v>21</v>
      </c>
      <c r="N828" s="4">
        <v>4</v>
      </c>
      <c r="O828" s="5">
        <v>50</v>
      </c>
      <c r="P828">
        <f t="shared" si="136"/>
        <v>200</v>
      </c>
      <c r="Q828" s="14">
        <f t="shared" si="143"/>
        <v>3</v>
      </c>
      <c r="R828" s="14">
        <f t="shared" si="144"/>
        <v>4</v>
      </c>
    </row>
    <row r="829" spans="1:18" x14ac:dyDescent="0.35">
      <c r="A829" s="2">
        <v>818</v>
      </c>
      <c r="B829" s="4">
        <f t="shared" si="130"/>
        <v>18</v>
      </c>
      <c r="C829" s="4">
        <f t="shared" si="131"/>
        <v>5</v>
      </c>
      <c r="D829" s="4">
        <f t="shared" si="132"/>
        <v>2023</v>
      </c>
      <c r="E829" s="4" t="str">
        <f t="shared" si="133"/>
        <v>Thursday</v>
      </c>
      <c r="F829" s="4" t="str">
        <f t="shared" si="134"/>
        <v>May</v>
      </c>
      <c r="G829" s="4" t="str">
        <f t="shared" si="135"/>
        <v>2023</v>
      </c>
      <c r="H829" s="3">
        <v>45064</v>
      </c>
      <c r="I829" s="4" t="s">
        <v>843</v>
      </c>
      <c r="J829" s="4" t="s">
        <v>20</v>
      </c>
      <c r="K829" s="4" t="str" cm="1">
        <f t="array" ref="K829">_xlfn.IFS(L829&gt;50,"Senior", L829&gt;=30,"Adult", L829&lt;30,"Young Adult")</f>
        <v>Adult</v>
      </c>
      <c r="L829" s="4">
        <v>30</v>
      </c>
      <c r="M829" s="4" t="s">
        <v>26</v>
      </c>
      <c r="N829" s="4">
        <v>1</v>
      </c>
      <c r="O829" s="5">
        <v>500</v>
      </c>
      <c r="P829">
        <f t="shared" si="136"/>
        <v>500</v>
      </c>
      <c r="Q829" s="14" t="e">
        <f>P829*#REF!</f>
        <v>#REF!</v>
      </c>
      <c r="R829" s="14" t="e">
        <f>P829*#REF!</f>
        <v>#REF!</v>
      </c>
    </row>
    <row r="830" spans="1:18" x14ac:dyDescent="0.35">
      <c r="A830" s="2">
        <v>819</v>
      </c>
      <c r="B830" s="4">
        <f t="shared" si="130"/>
        <v>15</v>
      </c>
      <c r="C830" s="4">
        <f t="shared" si="131"/>
        <v>6</v>
      </c>
      <c r="D830" s="4">
        <f t="shared" si="132"/>
        <v>2023</v>
      </c>
      <c r="E830" s="4" t="str">
        <f t="shared" si="133"/>
        <v>Thursday</v>
      </c>
      <c r="F830" s="4" t="str">
        <f t="shared" si="134"/>
        <v>June</v>
      </c>
      <c r="G830" s="4" t="str">
        <f t="shared" si="135"/>
        <v>2023</v>
      </c>
      <c r="H830" s="3">
        <v>45092</v>
      </c>
      <c r="I830" s="4" t="s">
        <v>844</v>
      </c>
      <c r="J830" s="4" t="s">
        <v>23</v>
      </c>
      <c r="K830" s="4" t="str" cm="1">
        <f t="array" ref="K830">_xlfn.IFS(L830&gt;50,"Senior", L830&gt;=30,"Adult", L830&lt;30,"Young Adult")</f>
        <v>Adult</v>
      </c>
      <c r="L830" s="4">
        <v>35</v>
      </c>
      <c r="M830" s="4" t="s">
        <v>21</v>
      </c>
      <c r="N830" s="4">
        <v>2</v>
      </c>
      <c r="O830" s="5">
        <v>50</v>
      </c>
      <c r="P830">
        <f t="shared" si="136"/>
        <v>100</v>
      </c>
      <c r="Q830" s="14">
        <f>P830*$I$4</f>
        <v>1.5</v>
      </c>
      <c r="R830" s="14">
        <f>P830*$I$5</f>
        <v>2</v>
      </c>
    </row>
    <row r="831" spans="1:18" x14ac:dyDescent="0.35">
      <c r="A831" s="2">
        <v>820</v>
      </c>
      <c r="B831" s="4">
        <f t="shared" si="130"/>
        <v>6</v>
      </c>
      <c r="C831" s="4">
        <f t="shared" si="131"/>
        <v>5</v>
      </c>
      <c r="D831" s="4">
        <f t="shared" si="132"/>
        <v>2023</v>
      </c>
      <c r="E831" s="4" t="str">
        <f t="shared" si="133"/>
        <v>Saturday</v>
      </c>
      <c r="F831" s="4" t="str">
        <f t="shared" si="134"/>
        <v>May</v>
      </c>
      <c r="G831" s="4" t="str">
        <f t="shared" si="135"/>
        <v>2023</v>
      </c>
      <c r="H831" s="3">
        <v>45052</v>
      </c>
      <c r="I831" s="4" t="s">
        <v>845</v>
      </c>
      <c r="J831" s="4" t="s">
        <v>20</v>
      </c>
      <c r="K831" s="4" t="str" cm="1">
        <f t="array" ref="K831">_xlfn.IFS(L831&gt;50,"Senior", L831&gt;=30,"Adult", L831&lt;30,"Young Adult")</f>
        <v>Adult</v>
      </c>
      <c r="L831" s="4">
        <v>49</v>
      </c>
      <c r="M831" s="4" t="s">
        <v>26</v>
      </c>
      <c r="N831" s="4">
        <v>4</v>
      </c>
      <c r="O831" s="5">
        <v>50</v>
      </c>
      <c r="P831">
        <f t="shared" si="136"/>
        <v>200</v>
      </c>
      <c r="Q831" s="14" t="e">
        <f>P831*#REF!</f>
        <v>#REF!</v>
      </c>
      <c r="R831" s="14" t="e">
        <f>P831*#REF!</f>
        <v>#REF!</v>
      </c>
    </row>
    <row r="832" spans="1:18" x14ac:dyDescent="0.35">
      <c r="A832" s="2">
        <v>821</v>
      </c>
      <c r="B832" s="4">
        <f t="shared" si="130"/>
        <v>14</v>
      </c>
      <c r="C832" s="4">
        <f t="shared" si="131"/>
        <v>2</v>
      </c>
      <c r="D832" s="4">
        <f t="shared" si="132"/>
        <v>2023</v>
      </c>
      <c r="E832" s="4" t="str">
        <f t="shared" si="133"/>
        <v>Tuesday</v>
      </c>
      <c r="F832" s="4" t="str">
        <f t="shared" si="134"/>
        <v>February</v>
      </c>
      <c r="G832" s="4" t="str">
        <f t="shared" si="135"/>
        <v>2023</v>
      </c>
      <c r="H832" s="3">
        <v>44971</v>
      </c>
      <c r="I832" s="4" t="s">
        <v>846</v>
      </c>
      <c r="J832" s="4" t="s">
        <v>20</v>
      </c>
      <c r="K832" s="4" t="str" cm="1">
        <f t="array" ref="K832">_xlfn.IFS(L832&gt;50,"Senior", L832&gt;=30,"Adult", L832&lt;30,"Young Adult")</f>
        <v>Adult</v>
      </c>
      <c r="L832" s="4">
        <v>49</v>
      </c>
      <c r="M832" s="4" t="s">
        <v>26</v>
      </c>
      <c r="N832" s="4">
        <v>1</v>
      </c>
      <c r="O832" s="5">
        <v>300</v>
      </c>
      <c r="P832">
        <f t="shared" si="136"/>
        <v>300</v>
      </c>
      <c r="Q832" s="14" t="e">
        <f>P832*#REF!</f>
        <v>#REF!</v>
      </c>
      <c r="R832" s="14" t="e">
        <f>P832*#REF!</f>
        <v>#REF!</v>
      </c>
    </row>
    <row r="833" spans="1:18" x14ac:dyDescent="0.35">
      <c r="A833" s="2">
        <v>822</v>
      </c>
      <c r="B833" s="4">
        <f t="shared" si="130"/>
        <v>23</v>
      </c>
      <c r="C833" s="4">
        <f t="shared" si="131"/>
        <v>5</v>
      </c>
      <c r="D833" s="4">
        <f t="shared" si="132"/>
        <v>2023</v>
      </c>
      <c r="E833" s="4" t="str">
        <f t="shared" si="133"/>
        <v>Tuesday</v>
      </c>
      <c r="F833" s="4" t="str">
        <f t="shared" si="134"/>
        <v>May</v>
      </c>
      <c r="G833" s="4" t="str">
        <f t="shared" si="135"/>
        <v>2023</v>
      </c>
      <c r="H833" s="3">
        <v>45069</v>
      </c>
      <c r="I833" s="4" t="s">
        <v>847</v>
      </c>
      <c r="J833" s="4" t="s">
        <v>23</v>
      </c>
      <c r="K833" s="4" t="str" cm="1">
        <f t="array" ref="K833">_xlfn.IFS(L833&gt;50,"Senior", L833&gt;=30,"Adult", L833&lt;30,"Young Adult")</f>
        <v>Senior</v>
      </c>
      <c r="L833" s="4">
        <v>52</v>
      </c>
      <c r="M833" s="4" t="s">
        <v>21</v>
      </c>
      <c r="N833" s="4">
        <v>3</v>
      </c>
      <c r="O833" s="5">
        <v>50</v>
      </c>
      <c r="P833">
        <f t="shared" si="136"/>
        <v>150</v>
      </c>
      <c r="Q833" s="14">
        <f>P833*$I$4</f>
        <v>2.25</v>
      </c>
      <c r="R833" s="14">
        <f>P833*$I$5</f>
        <v>3</v>
      </c>
    </row>
    <row r="834" spans="1:18" x14ac:dyDescent="0.35">
      <c r="A834" s="2">
        <v>823</v>
      </c>
      <c r="B834" s="4">
        <f t="shared" si="130"/>
        <v>19</v>
      </c>
      <c r="C834" s="4">
        <f t="shared" si="131"/>
        <v>8</v>
      </c>
      <c r="D834" s="4">
        <f t="shared" si="132"/>
        <v>2023</v>
      </c>
      <c r="E834" s="4" t="str">
        <f t="shared" si="133"/>
        <v>Saturday</v>
      </c>
      <c r="F834" s="4" t="str">
        <f t="shared" si="134"/>
        <v>August</v>
      </c>
      <c r="G834" s="4" t="str">
        <f t="shared" si="135"/>
        <v>2023</v>
      </c>
      <c r="H834" s="3">
        <v>45157</v>
      </c>
      <c r="I834" s="4" t="s">
        <v>848</v>
      </c>
      <c r="J834" s="4" t="s">
        <v>23</v>
      </c>
      <c r="K834" s="4" t="str" cm="1">
        <f t="array" ref="K834">_xlfn.IFS(L834&gt;50,"Senior", L834&gt;=30,"Adult", L834&lt;30,"Young Adult")</f>
        <v>Senior</v>
      </c>
      <c r="L834" s="4">
        <v>56</v>
      </c>
      <c r="M834" s="4" t="s">
        <v>26</v>
      </c>
      <c r="N834" s="4">
        <v>2</v>
      </c>
      <c r="O834" s="5">
        <v>50</v>
      </c>
      <c r="P834">
        <f t="shared" si="136"/>
        <v>100</v>
      </c>
      <c r="Q834" s="14" t="e">
        <f>P834*#REF!</f>
        <v>#REF!</v>
      </c>
      <c r="R834" s="14" t="e">
        <f>P834*#REF!</f>
        <v>#REF!</v>
      </c>
    </row>
    <row r="835" spans="1:18" x14ac:dyDescent="0.35">
      <c r="A835" s="2">
        <v>824</v>
      </c>
      <c r="B835" s="4">
        <f t="shared" si="130"/>
        <v>5</v>
      </c>
      <c r="C835" s="4">
        <f t="shared" si="131"/>
        <v>5</v>
      </c>
      <c r="D835" s="4">
        <f t="shared" si="132"/>
        <v>2023</v>
      </c>
      <c r="E835" s="4" t="str">
        <f t="shared" si="133"/>
        <v>Friday</v>
      </c>
      <c r="F835" s="4" t="str">
        <f t="shared" si="134"/>
        <v>May</v>
      </c>
      <c r="G835" s="4" t="str">
        <f t="shared" si="135"/>
        <v>2023</v>
      </c>
      <c r="H835" s="3">
        <v>45051</v>
      </c>
      <c r="I835" s="4" t="s">
        <v>849</v>
      </c>
      <c r="J835" s="4" t="s">
        <v>20</v>
      </c>
      <c r="K835" s="4" t="str" cm="1">
        <f t="array" ref="K835">_xlfn.IFS(L835&gt;50,"Senior", L835&gt;=30,"Adult", L835&lt;30,"Young Adult")</f>
        <v>Senior</v>
      </c>
      <c r="L835" s="4">
        <v>63</v>
      </c>
      <c r="M835" s="4" t="s">
        <v>24</v>
      </c>
      <c r="N835" s="4">
        <v>4</v>
      </c>
      <c r="O835" s="5">
        <v>30</v>
      </c>
      <c r="P835">
        <f t="shared" si="136"/>
        <v>120</v>
      </c>
      <c r="Q835" s="14" t="e">
        <f>P835*#REF!</f>
        <v>#REF!</v>
      </c>
      <c r="R835" s="14" t="e">
        <f>P835*#REF!</f>
        <v>#REF!</v>
      </c>
    </row>
    <row r="836" spans="1:18" x14ac:dyDescent="0.35">
      <c r="A836" s="2">
        <v>825</v>
      </c>
      <c r="B836" s="4">
        <f t="shared" si="130"/>
        <v>26</v>
      </c>
      <c r="C836" s="4">
        <f t="shared" si="131"/>
        <v>8</v>
      </c>
      <c r="D836" s="4">
        <f t="shared" si="132"/>
        <v>2023</v>
      </c>
      <c r="E836" s="4" t="str">
        <f t="shared" si="133"/>
        <v>Saturday</v>
      </c>
      <c r="F836" s="4" t="str">
        <f t="shared" si="134"/>
        <v>August</v>
      </c>
      <c r="G836" s="4" t="str">
        <f t="shared" si="135"/>
        <v>2023</v>
      </c>
      <c r="H836" s="3">
        <v>45164</v>
      </c>
      <c r="I836" s="4" t="s">
        <v>850</v>
      </c>
      <c r="J836" s="4" t="s">
        <v>23</v>
      </c>
      <c r="K836" s="4" t="str" cm="1">
        <f t="array" ref="K836">_xlfn.IFS(L836&gt;50,"Senior", L836&gt;=30,"Adult", L836&lt;30,"Young Adult")</f>
        <v>Adult</v>
      </c>
      <c r="L836" s="4">
        <v>46</v>
      </c>
      <c r="M836" s="4" t="s">
        <v>21</v>
      </c>
      <c r="N836" s="4">
        <v>1</v>
      </c>
      <c r="O836" s="5">
        <v>25</v>
      </c>
      <c r="P836">
        <f t="shared" si="136"/>
        <v>25</v>
      </c>
      <c r="Q836" s="14">
        <f>P836*$I$4</f>
        <v>0.375</v>
      </c>
      <c r="R836" s="14">
        <f>P836*$I$5</f>
        <v>0.5</v>
      </c>
    </row>
    <row r="837" spans="1:18" x14ac:dyDescent="0.35">
      <c r="A837" s="2">
        <v>826</v>
      </c>
      <c r="B837" s="4">
        <f t="shared" si="130"/>
        <v>19</v>
      </c>
      <c r="C837" s="4">
        <f t="shared" si="131"/>
        <v>10</v>
      </c>
      <c r="D837" s="4">
        <f t="shared" si="132"/>
        <v>2023</v>
      </c>
      <c r="E837" s="4" t="str">
        <f t="shared" si="133"/>
        <v>Thursday</v>
      </c>
      <c r="F837" s="4" t="str">
        <f t="shared" si="134"/>
        <v>October</v>
      </c>
      <c r="G837" s="4" t="str">
        <f t="shared" si="135"/>
        <v>2023</v>
      </c>
      <c r="H837" s="3">
        <v>45218</v>
      </c>
      <c r="I837" s="4" t="s">
        <v>851</v>
      </c>
      <c r="J837" s="4" t="s">
        <v>23</v>
      </c>
      <c r="K837" s="4" t="str" cm="1">
        <f t="array" ref="K837">_xlfn.IFS(L837&gt;50,"Senior", L837&gt;=30,"Adult", L837&lt;30,"Young Adult")</f>
        <v>Adult</v>
      </c>
      <c r="L837" s="4">
        <v>46</v>
      </c>
      <c r="M837" s="4" t="s">
        <v>24</v>
      </c>
      <c r="N837" s="4">
        <v>1</v>
      </c>
      <c r="O837" s="5">
        <v>300</v>
      </c>
      <c r="P837">
        <f t="shared" si="136"/>
        <v>300</v>
      </c>
      <c r="Q837" s="14" t="e">
        <f>P837*#REF!</f>
        <v>#REF!</v>
      </c>
      <c r="R837" s="14" t="e">
        <f>P837*#REF!</f>
        <v>#REF!</v>
      </c>
    </row>
    <row r="838" spans="1:18" x14ac:dyDescent="0.35">
      <c r="A838" s="2">
        <v>827</v>
      </c>
      <c r="B838" s="4">
        <f t="shared" si="130"/>
        <v>9</v>
      </c>
      <c r="C838" s="4">
        <f t="shared" si="131"/>
        <v>11</v>
      </c>
      <c r="D838" s="4">
        <f t="shared" si="132"/>
        <v>2023</v>
      </c>
      <c r="E838" s="4" t="str">
        <f t="shared" si="133"/>
        <v>Thursday</v>
      </c>
      <c r="F838" s="4" t="str">
        <f t="shared" si="134"/>
        <v>November</v>
      </c>
      <c r="G838" s="4" t="str">
        <f t="shared" si="135"/>
        <v>2023</v>
      </c>
      <c r="H838" s="3">
        <v>45239</v>
      </c>
      <c r="I838" s="4" t="s">
        <v>852</v>
      </c>
      <c r="J838" s="4" t="s">
        <v>20</v>
      </c>
      <c r="K838" s="4" t="str" cm="1">
        <f t="array" ref="K838">_xlfn.IFS(L838&gt;50,"Senior", L838&gt;=30,"Adult", L838&lt;30,"Young Adult")</f>
        <v>Senior</v>
      </c>
      <c r="L838" s="4">
        <v>61</v>
      </c>
      <c r="M838" s="4" t="s">
        <v>21</v>
      </c>
      <c r="N838" s="4">
        <v>3</v>
      </c>
      <c r="O838" s="5">
        <v>300</v>
      </c>
      <c r="P838">
        <f t="shared" si="136"/>
        <v>900</v>
      </c>
      <c r="Q838" s="14">
        <f>P838*$I$4</f>
        <v>13.5</v>
      </c>
      <c r="R838" s="14">
        <f>P838*$I$5</f>
        <v>18</v>
      </c>
    </row>
    <row r="839" spans="1:18" x14ac:dyDescent="0.35">
      <c r="A839" s="2">
        <v>828</v>
      </c>
      <c r="B839" s="4">
        <f t="shared" si="130"/>
        <v>9</v>
      </c>
      <c r="C839" s="4">
        <f t="shared" si="131"/>
        <v>12</v>
      </c>
      <c r="D839" s="4">
        <f t="shared" si="132"/>
        <v>2023</v>
      </c>
      <c r="E839" s="4" t="str">
        <f t="shared" si="133"/>
        <v>Saturday</v>
      </c>
      <c r="F839" s="4" t="str">
        <f t="shared" si="134"/>
        <v>December</v>
      </c>
      <c r="G839" s="4" t="str">
        <f t="shared" si="135"/>
        <v>2023</v>
      </c>
      <c r="H839" s="3">
        <v>45269</v>
      </c>
      <c r="I839" s="4" t="s">
        <v>853</v>
      </c>
      <c r="J839" s="4" t="s">
        <v>23</v>
      </c>
      <c r="K839" s="4" t="str" cm="1">
        <f t="array" ref="K839">_xlfn.IFS(L839&gt;50,"Senior", L839&gt;=30,"Adult", L839&lt;30,"Young Adult")</f>
        <v>Adult</v>
      </c>
      <c r="L839" s="4">
        <v>33</v>
      </c>
      <c r="M839" s="4" t="s">
        <v>26</v>
      </c>
      <c r="N839" s="4">
        <v>4</v>
      </c>
      <c r="O839" s="5">
        <v>300</v>
      </c>
      <c r="P839">
        <f t="shared" si="136"/>
        <v>1200</v>
      </c>
      <c r="Q839" s="14" t="e">
        <f>P839*#REF!</f>
        <v>#REF!</v>
      </c>
      <c r="R839" s="14" t="e">
        <f>P839*#REF!</f>
        <v>#REF!</v>
      </c>
    </row>
    <row r="840" spans="1:18" x14ac:dyDescent="0.35">
      <c r="A840" s="2">
        <v>829</v>
      </c>
      <c r="B840" s="4">
        <f t="shared" si="130"/>
        <v>14</v>
      </c>
      <c r="C840" s="4">
        <f t="shared" si="131"/>
        <v>7</v>
      </c>
      <c r="D840" s="4">
        <f t="shared" si="132"/>
        <v>2023</v>
      </c>
      <c r="E840" s="4" t="str">
        <f t="shared" si="133"/>
        <v>Friday</v>
      </c>
      <c r="F840" s="4" t="str">
        <f t="shared" si="134"/>
        <v>July</v>
      </c>
      <c r="G840" s="4" t="str">
        <f t="shared" si="135"/>
        <v>2023</v>
      </c>
      <c r="H840" s="3">
        <v>45121</v>
      </c>
      <c r="I840" s="4" t="s">
        <v>854</v>
      </c>
      <c r="J840" s="4" t="s">
        <v>20</v>
      </c>
      <c r="K840" s="4" t="str" cm="1">
        <f t="array" ref="K840">_xlfn.IFS(L840&gt;50,"Senior", L840&gt;=30,"Adult", L840&lt;30,"Young Adult")</f>
        <v>Senior</v>
      </c>
      <c r="L840" s="4">
        <v>61</v>
      </c>
      <c r="M840" s="4" t="s">
        <v>21</v>
      </c>
      <c r="N840" s="4">
        <v>3</v>
      </c>
      <c r="O840" s="5">
        <v>30</v>
      </c>
      <c r="P840">
        <f t="shared" si="136"/>
        <v>90</v>
      </c>
      <c r="Q840" s="14">
        <f>P840*$I$4</f>
        <v>1.3499999999999999</v>
      </c>
      <c r="R840" s="14">
        <f>P840*$I$5</f>
        <v>1.8</v>
      </c>
    </row>
    <row r="841" spans="1:18" x14ac:dyDescent="0.35">
      <c r="A841" s="2">
        <v>830</v>
      </c>
      <c r="B841" s="4">
        <f t="shared" si="130"/>
        <v>22</v>
      </c>
      <c r="C841" s="4">
        <f t="shared" si="131"/>
        <v>6</v>
      </c>
      <c r="D841" s="4">
        <f t="shared" si="132"/>
        <v>2023</v>
      </c>
      <c r="E841" s="4" t="str">
        <f t="shared" si="133"/>
        <v>Thursday</v>
      </c>
      <c r="F841" s="4" t="str">
        <f t="shared" si="134"/>
        <v>June</v>
      </c>
      <c r="G841" s="4" t="str">
        <f t="shared" si="135"/>
        <v>2023</v>
      </c>
      <c r="H841" s="3">
        <v>45099</v>
      </c>
      <c r="I841" s="4" t="s">
        <v>855</v>
      </c>
      <c r="J841" s="4" t="s">
        <v>23</v>
      </c>
      <c r="K841" s="4" t="str" cm="1">
        <f t="array" ref="K841">_xlfn.IFS(L841&gt;50,"Senior", L841&gt;=30,"Adult", L841&lt;30,"Young Adult")</f>
        <v>Senior</v>
      </c>
      <c r="L841" s="4">
        <v>64</v>
      </c>
      <c r="M841" s="4" t="s">
        <v>24</v>
      </c>
      <c r="N841" s="4">
        <v>3</v>
      </c>
      <c r="O841" s="5">
        <v>50</v>
      </c>
      <c r="P841">
        <f t="shared" si="136"/>
        <v>150</v>
      </c>
      <c r="Q841" s="14" t="e">
        <f>P841*#REF!</f>
        <v>#REF!</v>
      </c>
      <c r="R841" s="14" t="e">
        <f>P841*#REF!</f>
        <v>#REF!</v>
      </c>
    </row>
    <row r="842" spans="1:18" x14ac:dyDescent="0.35">
      <c r="A842" s="2">
        <v>831</v>
      </c>
      <c r="B842" s="4">
        <f t="shared" si="130"/>
        <v>15</v>
      </c>
      <c r="C842" s="4">
        <f t="shared" si="131"/>
        <v>1</v>
      </c>
      <c r="D842" s="4">
        <f t="shared" si="132"/>
        <v>2023</v>
      </c>
      <c r="E842" s="4" t="str">
        <f t="shared" si="133"/>
        <v>Sunday</v>
      </c>
      <c r="F842" s="4" t="str">
        <f t="shared" si="134"/>
        <v>January</v>
      </c>
      <c r="G842" s="4" t="str">
        <f t="shared" si="135"/>
        <v>2023</v>
      </c>
      <c r="H842" s="3">
        <v>44941</v>
      </c>
      <c r="I842" s="4" t="s">
        <v>856</v>
      </c>
      <c r="J842" s="4" t="s">
        <v>20</v>
      </c>
      <c r="K842" s="4" t="str" cm="1">
        <f t="array" ref="K842">_xlfn.IFS(L842&gt;50,"Senior", L842&gt;=30,"Adult", L842&lt;30,"Young Adult")</f>
        <v>Young Adult</v>
      </c>
      <c r="L842" s="4">
        <v>27</v>
      </c>
      <c r="M842" s="4" t="s">
        <v>26</v>
      </c>
      <c r="N842" s="4">
        <v>4</v>
      </c>
      <c r="O842" s="5">
        <v>25</v>
      </c>
      <c r="P842">
        <f t="shared" si="136"/>
        <v>100</v>
      </c>
      <c r="Q842" s="14" t="e">
        <f>P842*#REF!</f>
        <v>#REF!</v>
      </c>
      <c r="R842" s="14" t="e">
        <f>P842*#REF!</f>
        <v>#REF!</v>
      </c>
    </row>
    <row r="843" spans="1:18" x14ac:dyDescent="0.35">
      <c r="A843" s="2">
        <v>832</v>
      </c>
      <c r="B843" s="4">
        <f t="shared" si="130"/>
        <v>11</v>
      </c>
      <c r="C843" s="4">
        <f t="shared" si="131"/>
        <v>9</v>
      </c>
      <c r="D843" s="4">
        <f t="shared" si="132"/>
        <v>2023</v>
      </c>
      <c r="E843" s="4" t="str">
        <f t="shared" si="133"/>
        <v>Monday</v>
      </c>
      <c r="F843" s="4" t="str">
        <f t="shared" si="134"/>
        <v>September</v>
      </c>
      <c r="G843" s="4" t="str">
        <f t="shared" si="135"/>
        <v>2023</v>
      </c>
      <c r="H843" s="3">
        <v>45180</v>
      </c>
      <c r="I843" s="4" t="s">
        <v>857</v>
      </c>
      <c r="J843" s="4" t="s">
        <v>20</v>
      </c>
      <c r="K843" s="4" t="str" cm="1">
        <f t="array" ref="K843">_xlfn.IFS(L843&gt;50,"Senior", L843&gt;=30,"Adult", L843&lt;30,"Young Adult")</f>
        <v>Adult</v>
      </c>
      <c r="L843" s="4">
        <v>47</v>
      </c>
      <c r="M843" s="4" t="s">
        <v>21</v>
      </c>
      <c r="N843" s="4">
        <v>4</v>
      </c>
      <c r="O843" s="5">
        <v>500</v>
      </c>
      <c r="P843">
        <f t="shared" si="136"/>
        <v>2000</v>
      </c>
      <c r="Q843" s="14">
        <f t="shared" ref="Q843:Q845" si="145">P843*$I$4</f>
        <v>30</v>
      </c>
      <c r="R843" s="14">
        <f t="shared" ref="R843:R845" si="146">P843*$I$5</f>
        <v>40</v>
      </c>
    </row>
    <row r="844" spans="1:18" x14ac:dyDescent="0.35">
      <c r="A844" s="2">
        <v>833</v>
      </c>
      <c r="B844" s="4">
        <f t="shared" ref="B844:B907" si="147">DAY(H844)</f>
        <v>16</v>
      </c>
      <c r="C844" s="4">
        <f t="shared" ref="C844:C907" si="148">MONTH(H844)</f>
        <v>6</v>
      </c>
      <c r="D844" s="4">
        <f t="shared" ref="D844:D907" si="149">YEAR(H844)</f>
        <v>2023</v>
      </c>
      <c r="E844" s="4" t="str">
        <f t="shared" ref="E844:E907" si="150">TEXT(H844,"DDDD")</f>
        <v>Friday</v>
      </c>
      <c r="F844" s="4" t="str">
        <f t="shared" ref="F844:F907" si="151">TEXT(H844,"MMMM")</f>
        <v>June</v>
      </c>
      <c r="G844" s="4" t="str">
        <f t="shared" ref="G844:G907" si="152">TEXT(H844,"YYYY")</f>
        <v>2023</v>
      </c>
      <c r="H844" s="3">
        <v>45093</v>
      </c>
      <c r="I844" s="4" t="s">
        <v>858</v>
      </c>
      <c r="J844" s="4" t="s">
        <v>20</v>
      </c>
      <c r="K844" s="4" t="str" cm="1">
        <f t="array" ref="K844">_xlfn.IFS(L844&gt;50,"Senior", L844&gt;=30,"Adult", L844&lt;30,"Young Adult")</f>
        <v>Adult</v>
      </c>
      <c r="L844" s="4">
        <v>42</v>
      </c>
      <c r="M844" s="4" t="s">
        <v>21</v>
      </c>
      <c r="N844" s="4">
        <v>4</v>
      </c>
      <c r="O844" s="5">
        <v>50</v>
      </c>
      <c r="P844">
        <f t="shared" ref="P844:P907" si="153">O844*N844</f>
        <v>200</v>
      </c>
      <c r="Q844" s="14">
        <f t="shared" si="145"/>
        <v>3</v>
      </c>
      <c r="R844" s="14">
        <f t="shared" si="146"/>
        <v>4</v>
      </c>
    </row>
    <row r="845" spans="1:18" x14ac:dyDescent="0.35">
      <c r="A845" s="2">
        <v>834</v>
      </c>
      <c r="B845" s="4">
        <f t="shared" si="147"/>
        <v>4</v>
      </c>
      <c r="C845" s="4">
        <f t="shared" si="148"/>
        <v>4</v>
      </c>
      <c r="D845" s="4">
        <f t="shared" si="149"/>
        <v>2023</v>
      </c>
      <c r="E845" s="4" t="str">
        <f t="shared" si="150"/>
        <v>Tuesday</v>
      </c>
      <c r="F845" s="4" t="str">
        <f t="shared" si="151"/>
        <v>April</v>
      </c>
      <c r="G845" s="4" t="str">
        <f t="shared" si="152"/>
        <v>2023</v>
      </c>
      <c r="H845" s="3">
        <v>45020</v>
      </c>
      <c r="I845" s="4" t="s">
        <v>859</v>
      </c>
      <c r="J845" s="4" t="s">
        <v>23</v>
      </c>
      <c r="K845" s="4" t="str" cm="1">
        <f t="array" ref="K845">_xlfn.IFS(L845&gt;50,"Senior", L845&gt;=30,"Adult", L845&lt;30,"Young Adult")</f>
        <v>Senior</v>
      </c>
      <c r="L845" s="4">
        <v>56</v>
      </c>
      <c r="M845" s="4" t="s">
        <v>21</v>
      </c>
      <c r="N845" s="4">
        <v>2</v>
      </c>
      <c r="O845" s="5">
        <v>30</v>
      </c>
      <c r="P845">
        <f t="shared" si="153"/>
        <v>60</v>
      </c>
      <c r="Q845" s="14">
        <f t="shared" si="145"/>
        <v>0.89999999999999991</v>
      </c>
      <c r="R845" s="14">
        <f t="shared" si="146"/>
        <v>1.2</v>
      </c>
    </row>
    <row r="846" spans="1:18" x14ac:dyDescent="0.35">
      <c r="A846" s="2">
        <v>835</v>
      </c>
      <c r="B846" s="4">
        <f t="shared" si="147"/>
        <v>7</v>
      </c>
      <c r="C846" s="4">
        <f t="shared" si="148"/>
        <v>9</v>
      </c>
      <c r="D846" s="4">
        <f t="shared" si="149"/>
        <v>2023</v>
      </c>
      <c r="E846" s="4" t="str">
        <f t="shared" si="150"/>
        <v>Thursday</v>
      </c>
      <c r="F846" s="4" t="str">
        <f t="shared" si="151"/>
        <v>September</v>
      </c>
      <c r="G846" s="4" t="str">
        <f t="shared" si="152"/>
        <v>2023</v>
      </c>
      <c r="H846" s="3">
        <v>45176</v>
      </c>
      <c r="I846" s="4" t="s">
        <v>860</v>
      </c>
      <c r="J846" s="4" t="s">
        <v>20</v>
      </c>
      <c r="K846" s="4" t="str" cm="1">
        <f t="array" ref="K846">_xlfn.IFS(L846&gt;50,"Senior", L846&gt;=30,"Adult", L846&lt;30,"Young Adult")</f>
        <v>Adult</v>
      </c>
      <c r="L846" s="4">
        <v>37</v>
      </c>
      <c r="M846" s="4" t="s">
        <v>24</v>
      </c>
      <c r="N846" s="4">
        <v>4</v>
      </c>
      <c r="O846" s="5">
        <v>50</v>
      </c>
      <c r="P846">
        <f t="shared" si="153"/>
        <v>200</v>
      </c>
      <c r="Q846" s="14" t="e">
        <f>P846*#REF!</f>
        <v>#REF!</v>
      </c>
      <c r="R846" s="14" t="e">
        <f>P846*#REF!</f>
        <v>#REF!</v>
      </c>
    </row>
    <row r="847" spans="1:18" x14ac:dyDescent="0.35">
      <c r="A847" s="2">
        <v>836</v>
      </c>
      <c r="B847" s="4">
        <f t="shared" si="147"/>
        <v>19</v>
      </c>
      <c r="C847" s="4">
        <f t="shared" si="148"/>
        <v>4</v>
      </c>
      <c r="D847" s="4">
        <f t="shared" si="149"/>
        <v>2023</v>
      </c>
      <c r="E847" s="4" t="str">
        <f t="shared" si="150"/>
        <v>Wednesday</v>
      </c>
      <c r="F847" s="4" t="str">
        <f t="shared" si="151"/>
        <v>April</v>
      </c>
      <c r="G847" s="4" t="str">
        <f t="shared" si="152"/>
        <v>2023</v>
      </c>
      <c r="H847" s="3">
        <v>45035</v>
      </c>
      <c r="I847" s="4" t="s">
        <v>861</v>
      </c>
      <c r="J847" s="4" t="s">
        <v>23</v>
      </c>
      <c r="K847" s="4" t="str" cm="1">
        <f t="array" ref="K847">_xlfn.IFS(L847&gt;50,"Senior", L847&gt;=30,"Adult", L847&lt;30,"Young Adult")</f>
        <v>Young Adult</v>
      </c>
      <c r="L847" s="4">
        <v>22</v>
      </c>
      <c r="M847" s="4" t="s">
        <v>24</v>
      </c>
      <c r="N847" s="4">
        <v>1</v>
      </c>
      <c r="O847" s="5">
        <v>50</v>
      </c>
      <c r="P847">
        <f t="shared" si="153"/>
        <v>50</v>
      </c>
      <c r="Q847" s="14" t="e">
        <f>P847*#REF!</f>
        <v>#REF!</v>
      </c>
      <c r="R847" s="14" t="e">
        <f>P847*#REF!</f>
        <v>#REF!</v>
      </c>
    </row>
    <row r="848" spans="1:18" x14ac:dyDescent="0.35">
      <c r="A848" s="2">
        <v>837</v>
      </c>
      <c r="B848" s="4">
        <f t="shared" si="147"/>
        <v>1</v>
      </c>
      <c r="C848" s="4">
        <f t="shared" si="148"/>
        <v>7</v>
      </c>
      <c r="D848" s="4">
        <f t="shared" si="149"/>
        <v>2023</v>
      </c>
      <c r="E848" s="4" t="str">
        <f t="shared" si="150"/>
        <v>Saturday</v>
      </c>
      <c r="F848" s="4" t="str">
        <f t="shared" si="151"/>
        <v>July</v>
      </c>
      <c r="G848" s="4" t="str">
        <f t="shared" si="152"/>
        <v>2023</v>
      </c>
      <c r="H848" s="3">
        <v>45108</v>
      </c>
      <c r="I848" s="4" t="s">
        <v>862</v>
      </c>
      <c r="J848" s="4" t="s">
        <v>20</v>
      </c>
      <c r="K848" s="4" t="str" cm="1">
        <f t="array" ref="K848">_xlfn.IFS(L848&gt;50,"Senior", L848&gt;=30,"Adult", L848&lt;30,"Young Adult")</f>
        <v>Young Adult</v>
      </c>
      <c r="L848" s="4">
        <v>18</v>
      </c>
      <c r="M848" s="4" t="s">
        <v>21</v>
      </c>
      <c r="N848" s="4">
        <v>3</v>
      </c>
      <c r="O848" s="5">
        <v>30</v>
      </c>
      <c r="P848">
        <f t="shared" si="153"/>
        <v>90</v>
      </c>
      <c r="Q848" s="14">
        <f>P848*$I$4</f>
        <v>1.3499999999999999</v>
      </c>
      <c r="R848" s="14">
        <f>P848*$I$5</f>
        <v>1.8</v>
      </c>
    </row>
    <row r="849" spans="1:18" x14ac:dyDescent="0.35">
      <c r="A849" s="2">
        <v>838</v>
      </c>
      <c r="B849" s="4">
        <f t="shared" si="147"/>
        <v>13</v>
      </c>
      <c r="C849" s="4">
        <f t="shared" si="148"/>
        <v>5</v>
      </c>
      <c r="D849" s="4">
        <f t="shared" si="149"/>
        <v>2023</v>
      </c>
      <c r="E849" s="4" t="str">
        <f t="shared" si="150"/>
        <v>Saturday</v>
      </c>
      <c r="F849" s="4" t="str">
        <f t="shared" si="151"/>
        <v>May</v>
      </c>
      <c r="G849" s="4" t="str">
        <f t="shared" si="152"/>
        <v>2023</v>
      </c>
      <c r="H849" s="3">
        <v>45059</v>
      </c>
      <c r="I849" s="4" t="s">
        <v>863</v>
      </c>
      <c r="J849" s="4" t="s">
        <v>20</v>
      </c>
      <c r="K849" s="4" t="str" cm="1">
        <f t="array" ref="K849">_xlfn.IFS(L849&gt;50,"Senior", L849&gt;=30,"Adult", L849&lt;30,"Young Adult")</f>
        <v>Adult</v>
      </c>
      <c r="L849" s="4">
        <v>47</v>
      </c>
      <c r="M849" s="4" t="s">
        <v>26</v>
      </c>
      <c r="N849" s="4">
        <v>2</v>
      </c>
      <c r="O849" s="5">
        <v>300</v>
      </c>
      <c r="P849">
        <f t="shared" si="153"/>
        <v>600</v>
      </c>
      <c r="Q849" s="14" t="e">
        <f>P849*#REF!</f>
        <v>#REF!</v>
      </c>
      <c r="R849" s="14" t="e">
        <f>P849*#REF!</f>
        <v>#REF!</v>
      </c>
    </row>
    <row r="850" spans="1:18" x14ac:dyDescent="0.35">
      <c r="A850" s="2">
        <v>839</v>
      </c>
      <c r="B850" s="4">
        <f t="shared" si="147"/>
        <v>24</v>
      </c>
      <c r="C850" s="4">
        <f t="shared" si="148"/>
        <v>6</v>
      </c>
      <c r="D850" s="4">
        <f t="shared" si="149"/>
        <v>2023</v>
      </c>
      <c r="E850" s="4" t="str">
        <f t="shared" si="150"/>
        <v>Saturday</v>
      </c>
      <c r="F850" s="4" t="str">
        <f t="shared" si="151"/>
        <v>June</v>
      </c>
      <c r="G850" s="4" t="str">
        <f t="shared" si="152"/>
        <v>2023</v>
      </c>
      <c r="H850" s="3">
        <v>45101</v>
      </c>
      <c r="I850" s="4" t="s">
        <v>864</v>
      </c>
      <c r="J850" s="4" t="s">
        <v>23</v>
      </c>
      <c r="K850" s="4" t="str" cm="1">
        <f t="array" ref="K850">_xlfn.IFS(L850&gt;50,"Senior", L850&gt;=30,"Adult", L850&lt;30,"Young Adult")</f>
        <v>Young Adult</v>
      </c>
      <c r="L850" s="4">
        <v>20</v>
      </c>
      <c r="M850" s="4" t="s">
        <v>26</v>
      </c>
      <c r="N850" s="4">
        <v>4</v>
      </c>
      <c r="O850" s="5">
        <v>300</v>
      </c>
      <c r="P850">
        <f t="shared" si="153"/>
        <v>1200</v>
      </c>
      <c r="Q850" s="14" t="e">
        <f>P850*#REF!</f>
        <v>#REF!</v>
      </c>
      <c r="R850" s="14" t="e">
        <f>P850*#REF!</f>
        <v>#REF!</v>
      </c>
    </row>
    <row r="851" spans="1:18" x14ac:dyDescent="0.35">
      <c r="A851" s="2">
        <v>840</v>
      </c>
      <c r="B851" s="4">
        <f t="shared" si="147"/>
        <v>24</v>
      </c>
      <c r="C851" s="4">
        <f t="shared" si="148"/>
        <v>5</v>
      </c>
      <c r="D851" s="4">
        <f t="shared" si="149"/>
        <v>2023</v>
      </c>
      <c r="E851" s="4" t="str">
        <f t="shared" si="150"/>
        <v>Wednesday</v>
      </c>
      <c r="F851" s="4" t="str">
        <f t="shared" si="151"/>
        <v>May</v>
      </c>
      <c r="G851" s="4" t="str">
        <f t="shared" si="152"/>
        <v>2023</v>
      </c>
      <c r="H851" s="3">
        <v>45070</v>
      </c>
      <c r="I851" s="4" t="s">
        <v>865</v>
      </c>
      <c r="J851" s="4" t="s">
        <v>20</v>
      </c>
      <c r="K851" s="4" t="str" cm="1">
        <f t="array" ref="K851">_xlfn.IFS(L851&gt;50,"Senior", L851&gt;=30,"Adult", L851&lt;30,"Young Adult")</f>
        <v>Senior</v>
      </c>
      <c r="L851" s="4">
        <v>62</v>
      </c>
      <c r="M851" s="4" t="s">
        <v>24</v>
      </c>
      <c r="N851" s="4">
        <v>2</v>
      </c>
      <c r="O851" s="5">
        <v>25</v>
      </c>
      <c r="P851">
        <f t="shared" si="153"/>
        <v>50</v>
      </c>
      <c r="Q851" s="14" t="e">
        <f>P851*#REF!</f>
        <v>#REF!</v>
      </c>
      <c r="R851" s="14" t="e">
        <f>P851*#REF!</f>
        <v>#REF!</v>
      </c>
    </row>
    <row r="852" spans="1:18" x14ac:dyDescent="0.35">
      <c r="A852" s="2">
        <v>841</v>
      </c>
      <c r="B852" s="4">
        <f t="shared" si="147"/>
        <v>2</v>
      </c>
      <c r="C852" s="4">
        <f t="shared" si="148"/>
        <v>11</v>
      </c>
      <c r="D852" s="4">
        <f t="shared" si="149"/>
        <v>2023</v>
      </c>
      <c r="E852" s="4" t="str">
        <f t="shared" si="150"/>
        <v>Thursday</v>
      </c>
      <c r="F852" s="4" t="str">
        <f t="shared" si="151"/>
        <v>November</v>
      </c>
      <c r="G852" s="4" t="str">
        <f t="shared" si="152"/>
        <v>2023</v>
      </c>
      <c r="H852" s="3">
        <v>45232</v>
      </c>
      <c r="I852" s="4" t="s">
        <v>866</v>
      </c>
      <c r="J852" s="4" t="s">
        <v>20</v>
      </c>
      <c r="K852" s="4" t="str" cm="1">
        <f t="array" ref="K852">_xlfn.IFS(L852&gt;50,"Senior", L852&gt;=30,"Adult", L852&lt;30,"Young Adult")</f>
        <v>Adult</v>
      </c>
      <c r="L852" s="4">
        <v>31</v>
      </c>
      <c r="M852" s="4" t="s">
        <v>26</v>
      </c>
      <c r="N852" s="4">
        <v>4</v>
      </c>
      <c r="O852" s="5">
        <v>25</v>
      </c>
      <c r="P852">
        <f t="shared" si="153"/>
        <v>100</v>
      </c>
      <c r="Q852" s="14" t="e">
        <f>P852*#REF!</f>
        <v>#REF!</v>
      </c>
      <c r="R852" s="14" t="e">
        <f>P852*#REF!</f>
        <v>#REF!</v>
      </c>
    </row>
    <row r="853" spans="1:18" x14ac:dyDescent="0.35">
      <c r="A853" s="2">
        <v>842</v>
      </c>
      <c r="B853" s="4">
        <f t="shared" si="147"/>
        <v>26</v>
      </c>
      <c r="C853" s="4">
        <f t="shared" si="148"/>
        <v>12</v>
      </c>
      <c r="D853" s="4">
        <f t="shared" si="149"/>
        <v>2023</v>
      </c>
      <c r="E853" s="4" t="str">
        <f t="shared" si="150"/>
        <v>Tuesday</v>
      </c>
      <c r="F853" s="4" t="str">
        <f t="shared" si="151"/>
        <v>December</v>
      </c>
      <c r="G853" s="4" t="str">
        <f t="shared" si="152"/>
        <v>2023</v>
      </c>
      <c r="H853" s="3">
        <v>45286</v>
      </c>
      <c r="I853" s="4" t="s">
        <v>867</v>
      </c>
      <c r="J853" s="4" t="s">
        <v>23</v>
      </c>
      <c r="K853" s="4" t="str" cm="1">
        <f t="array" ref="K853">_xlfn.IFS(L853&gt;50,"Senior", L853&gt;=30,"Adult", L853&lt;30,"Young Adult")</f>
        <v>Adult</v>
      </c>
      <c r="L853" s="4">
        <v>47</v>
      </c>
      <c r="M853" s="4" t="s">
        <v>24</v>
      </c>
      <c r="N853" s="4">
        <v>2</v>
      </c>
      <c r="O853" s="5">
        <v>300</v>
      </c>
      <c r="P853">
        <f t="shared" si="153"/>
        <v>600</v>
      </c>
      <c r="Q853" s="14" t="e">
        <f>P853*#REF!</f>
        <v>#REF!</v>
      </c>
      <c r="R853" s="14" t="e">
        <f>P853*#REF!</f>
        <v>#REF!</v>
      </c>
    </row>
    <row r="854" spans="1:18" x14ac:dyDescent="0.35">
      <c r="A854" s="2">
        <v>843</v>
      </c>
      <c r="B854" s="4">
        <f t="shared" si="147"/>
        <v>22</v>
      </c>
      <c r="C854" s="4">
        <f t="shared" si="148"/>
        <v>5</v>
      </c>
      <c r="D854" s="4">
        <f t="shared" si="149"/>
        <v>2023</v>
      </c>
      <c r="E854" s="4" t="str">
        <f t="shared" si="150"/>
        <v>Monday</v>
      </c>
      <c r="F854" s="4" t="str">
        <f t="shared" si="151"/>
        <v>May</v>
      </c>
      <c r="G854" s="4" t="str">
        <f t="shared" si="152"/>
        <v>2023</v>
      </c>
      <c r="H854" s="3">
        <v>45068</v>
      </c>
      <c r="I854" s="4" t="s">
        <v>868</v>
      </c>
      <c r="J854" s="4" t="s">
        <v>20</v>
      </c>
      <c r="K854" s="4" t="str" cm="1">
        <f t="array" ref="K854">_xlfn.IFS(L854&gt;50,"Senior", L854&gt;=30,"Adult", L854&lt;30,"Young Adult")</f>
        <v>Young Adult</v>
      </c>
      <c r="L854" s="4">
        <v>21</v>
      </c>
      <c r="M854" s="4" t="s">
        <v>21</v>
      </c>
      <c r="N854" s="4">
        <v>3</v>
      </c>
      <c r="O854" s="5">
        <v>500</v>
      </c>
      <c r="P854">
        <f t="shared" si="153"/>
        <v>1500</v>
      </c>
      <c r="Q854" s="14">
        <f>P854*$I$4</f>
        <v>22.5</v>
      </c>
      <c r="R854" s="14">
        <f>P854*$I$5</f>
        <v>30</v>
      </c>
    </row>
    <row r="855" spans="1:18" x14ac:dyDescent="0.35">
      <c r="A855" s="2">
        <v>844</v>
      </c>
      <c r="B855" s="4">
        <f t="shared" si="147"/>
        <v>12</v>
      </c>
      <c r="C855" s="4">
        <f t="shared" si="148"/>
        <v>10</v>
      </c>
      <c r="D855" s="4">
        <f t="shared" si="149"/>
        <v>2023</v>
      </c>
      <c r="E855" s="4" t="str">
        <f t="shared" si="150"/>
        <v>Thursday</v>
      </c>
      <c r="F855" s="4" t="str">
        <f t="shared" si="151"/>
        <v>October</v>
      </c>
      <c r="G855" s="4" t="str">
        <f t="shared" si="152"/>
        <v>2023</v>
      </c>
      <c r="H855" s="3">
        <v>45211</v>
      </c>
      <c r="I855" s="4" t="s">
        <v>869</v>
      </c>
      <c r="J855" s="4" t="s">
        <v>20</v>
      </c>
      <c r="K855" s="4" t="str" cm="1">
        <f t="array" ref="K855">_xlfn.IFS(L855&gt;50,"Senior", L855&gt;=30,"Adult", L855&lt;30,"Young Adult")</f>
        <v>Adult</v>
      </c>
      <c r="L855" s="4">
        <v>35</v>
      </c>
      <c r="M855" s="4" t="s">
        <v>24</v>
      </c>
      <c r="N855" s="4">
        <v>3</v>
      </c>
      <c r="O855" s="5">
        <v>50</v>
      </c>
      <c r="P855">
        <f t="shared" si="153"/>
        <v>150</v>
      </c>
      <c r="Q855" s="14" t="e">
        <f>P855*#REF!</f>
        <v>#REF!</v>
      </c>
      <c r="R855" s="14" t="e">
        <f>P855*#REF!</f>
        <v>#REF!</v>
      </c>
    </row>
    <row r="856" spans="1:18" x14ac:dyDescent="0.35">
      <c r="A856" s="2">
        <v>845</v>
      </c>
      <c r="B856" s="4">
        <f t="shared" si="147"/>
        <v>6</v>
      </c>
      <c r="C856" s="4">
        <f t="shared" si="148"/>
        <v>1</v>
      </c>
      <c r="D856" s="4">
        <f t="shared" si="149"/>
        <v>2023</v>
      </c>
      <c r="E856" s="4" t="str">
        <f t="shared" si="150"/>
        <v>Friday</v>
      </c>
      <c r="F856" s="4" t="str">
        <f t="shared" si="151"/>
        <v>January</v>
      </c>
      <c r="G856" s="4" t="str">
        <f t="shared" si="152"/>
        <v>2023</v>
      </c>
      <c r="H856" s="3">
        <v>44932</v>
      </c>
      <c r="I856" s="4" t="s">
        <v>870</v>
      </c>
      <c r="J856" s="4" t="s">
        <v>20</v>
      </c>
      <c r="K856" s="4" t="str" cm="1">
        <f t="array" ref="K856">_xlfn.IFS(L856&gt;50,"Senior", L856&gt;=30,"Adult", L856&lt;30,"Young Adult")</f>
        <v>Senior</v>
      </c>
      <c r="L856" s="4">
        <v>54</v>
      </c>
      <c r="M856" s="4" t="s">
        <v>24</v>
      </c>
      <c r="N856" s="4">
        <v>1</v>
      </c>
      <c r="O856" s="5">
        <v>500</v>
      </c>
      <c r="P856">
        <f t="shared" si="153"/>
        <v>500</v>
      </c>
      <c r="Q856" s="14" t="e">
        <f>P856*#REF!</f>
        <v>#REF!</v>
      </c>
      <c r="R856" s="14" t="e">
        <f>P856*#REF!</f>
        <v>#REF!</v>
      </c>
    </row>
    <row r="857" spans="1:18" x14ac:dyDescent="0.35">
      <c r="A857" s="2">
        <v>846</v>
      </c>
      <c r="B857" s="4">
        <f t="shared" si="147"/>
        <v>22</v>
      </c>
      <c r="C857" s="4">
        <f t="shared" si="148"/>
        <v>9</v>
      </c>
      <c r="D857" s="4">
        <f t="shared" si="149"/>
        <v>2023</v>
      </c>
      <c r="E857" s="4" t="str">
        <f t="shared" si="150"/>
        <v>Friday</v>
      </c>
      <c r="F857" s="4" t="str">
        <f t="shared" si="151"/>
        <v>September</v>
      </c>
      <c r="G857" s="4" t="str">
        <f t="shared" si="152"/>
        <v>2023</v>
      </c>
      <c r="H857" s="3">
        <v>45191</v>
      </c>
      <c r="I857" s="4" t="s">
        <v>871</v>
      </c>
      <c r="J857" s="4" t="s">
        <v>20</v>
      </c>
      <c r="K857" s="4" t="str" cm="1">
        <f t="array" ref="K857">_xlfn.IFS(L857&gt;50,"Senior", L857&gt;=30,"Adult", L857&lt;30,"Young Adult")</f>
        <v>Adult</v>
      </c>
      <c r="L857" s="4">
        <v>42</v>
      </c>
      <c r="M857" s="4" t="s">
        <v>21</v>
      </c>
      <c r="N857" s="4">
        <v>1</v>
      </c>
      <c r="O857" s="5">
        <v>50</v>
      </c>
      <c r="P857">
        <f t="shared" si="153"/>
        <v>50</v>
      </c>
      <c r="Q857" s="14">
        <f>P857*$I$4</f>
        <v>0.75</v>
      </c>
      <c r="R857" s="14">
        <f>P857*$I$5</f>
        <v>1</v>
      </c>
    </row>
    <row r="858" spans="1:18" x14ac:dyDescent="0.35">
      <c r="A858" s="2">
        <v>847</v>
      </c>
      <c r="B858" s="4">
        <f t="shared" si="147"/>
        <v>8</v>
      </c>
      <c r="C858" s="4">
        <f t="shared" si="148"/>
        <v>4</v>
      </c>
      <c r="D858" s="4">
        <f t="shared" si="149"/>
        <v>2023</v>
      </c>
      <c r="E858" s="4" t="str">
        <f t="shared" si="150"/>
        <v>Saturday</v>
      </c>
      <c r="F858" s="4" t="str">
        <f t="shared" si="151"/>
        <v>April</v>
      </c>
      <c r="G858" s="4" t="str">
        <f t="shared" si="152"/>
        <v>2023</v>
      </c>
      <c r="H858" s="3">
        <v>45024</v>
      </c>
      <c r="I858" s="4" t="s">
        <v>872</v>
      </c>
      <c r="J858" s="4" t="s">
        <v>23</v>
      </c>
      <c r="K858" s="4" t="str" cm="1">
        <f t="array" ref="K858">_xlfn.IFS(L858&gt;50,"Senior", L858&gt;=30,"Adult", L858&lt;30,"Young Adult")</f>
        <v>Young Adult</v>
      </c>
      <c r="L858" s="4">
        <v>18</v>
      </c>
      <c r="M858" s="4" t="s">
        <v>26</v>
      </c>
      <c r="N858" s="4">
        <v>4</v>
      </c>
      <c r="O858" s="5">
        <v>300</v>
      </c>
      <c r="P858">
        <f t="shared" si="153"/>
        <v>1200</v>
      </c>
      <c r="Q858" s="14" t="e">
        <f>P858*#REF!</f>
        <v>#REF!</v>
      </c>
      <c r="R858" s="14" t="e">
        <f>P858*#REF!</f>
        <v>#REF!</v>
      </c>
    </row>
    <row r="859" spans="1:18" x14ac:dyDescent="0.35">
      <c r="A859" s="2">
        <v>848</v>
      </c>
      <c r="B859" s="4">
        <f t="shared" si="147"/>
        <v>13</v>
      </c>
      <c r="C859" s="4">
        <f t="shared" si="148"/>
        <v>2</v>
      </c>
      <c r="D859" s="4">
        <f t="shared" si="149"/>
        <v>2023</v>
      </c>
      <c r="E859" s="4" t="str">
        <f t="shared" si="150"/>
        <v>Monday</v>
      </c>
      <c r="F859" s="4" t="str">
        <f t="shared" si="151"/>
        <v>February</v>
      </c>
      <c r="G859" s="4" t="str">
        <f t="shared" si="152"/>
        <v>2023</v>
      </c>
      <c r="H859" s="3">
        <v>44970</v>
      </c>
      <c r="I859" s="4" t="s">
        <v>873</v>
      </c>
      <c r="J859" s="4" t="s">
        <v>23</v>
      </c>
      <c r="K859" s="4" t="str" cm="1">
        <f t="array" ref="K859">_xlfn.IFS(L859&gt;50,"Senior", L859&gt;=30,"Adult", L859&lt;30,"Young Adult")</f>
        <v>Senior</v>
      </c>
      <c r="L859" s="4">
        <v>63</v>
      </c>
      <c r="M859" s="4" t="s">
        <v>24</v>
      </c>
      <c r="N859" s="4">
        <v>3</v>
      </c>
      <c r="O859" s="5">
        <v>25</v>
      </c>
      <c r="P859">
        <f t="shared" si="153"/>
        <v>75</v>
      </c>
      <c r="Q859" s="14" t="e">
        <f>P859*#REF!</f>
        <v>#REF!</v>
      </c>
      <c r="R859" s="14" t="e">
        <f>P859*#REF!</f>
        <v>#REF!</v>
      </c>
    </row>
    <row r="860" spans="1:18" x14ac:dyDescent="0.35">
      <c r="A860" s="2">
        <v>849</v>
      </c>
      <c r="B860" s="4">
        <f t="shared" si="147"/>
        <v>4</v>
      </c>
      <c r="C860" s="4">
        <f t="shared" si="148"/>
        <v>5</v>
      </c>
      <c r="D860" s="4">
        <f t="shared" si="149"/>
        <v>2023</v>
      </c>
      <c r="E860" s="4" t="str">
        <f t="shared" si="150"/>
        <v>Thursday</v>
      </c>
      <c r="F860" s="4" t="str">
        <f t="shared" si="151"/>
        <v>May</v>
      </c>
      <c r="G860" s="4" t="str">
        <f t="shared" si="152"/>
        <v>2023</v>
      </c>
      <c r="H860" s="3">
        <v>45050</v>
      </c>
      <c r="I860" s="4" t="s">
        <v>874</v>
      </c>
      <c r="J860" s="4" t="s">
        <v>20</v>
      </c>
      <c r="K860" s="4" t="str" cm="1">
        <f t="array" ref="K860">_xlfn.IFS(L860&gt;50,"Senior", L860&gt;=30,"Adult", L860&lt;30,"Young Adult")</f>
        <v>Adult</v>
      </c>
      <c r="L860" s="4">
        <v>32</v>
      </c>
      <c r="M860" s="4" t="s">
        <v>24</v>
      </c>
      <c r="N860" s="4">
        <v>2</v>
      </c>
      <c r="O860" s="5">
        <v>25</v>
      </c>
      <c r="P860">
        <f t="shared" si="153"/>
        <v>50</v>
      </c>
      <c r="Q860" s="14" t="e">
        <f>P860*#REF!</f>
        <v>#REF!</v>
      </c>
      <c r="R860" s="14" t="e">
        <f>P860*#REF!</f>
        <v>#REF!</v>
      </c>
    </row>
    <row r="861" spans="1:18" x14ac:dyDescent="0.35">
      <c r="A861" s="2">
        <v>850</v>
      </c>
      <c r="B861" s="4">
        <f t="shared" si="147"/>
        <v>28</v>
      </c>
      <c r="C861" s="4">
        <f t="shared" si="148"/>
        <v>7</v>
      </c>
      <c r="D861" s="4">
        <f t="shared" si="149"/>
        <v>2023</v>
      </c>
      <c r="E861" s="4" t="str">
        <f t="shared" si="150"/>
        <v>Friday</v>
      </c>
      <c r="F861" s="4" t="str">
        <f t="shared" si="151"/>
        <v>July</v>
      </c>
      <c r="G861" s="4" t="str">
        <f t="shared" si="152"/>
        <v>2023</v>
      </c>
      <c r="H861" s="3">
        <v>45135</v>
      </c>
      <c r="I861" s="4" t="s">
        <v>875</v>
      </c>
      <c r="J861" s="4" t="s">
        <v>23</v>
      </c>
      <c r="K861" s="4" t="str" cm="1">
        <f t="array" ref="K861">_xlfn.IFS(L861&gt;50,"Senior", L861&gt;=30,"Adult", L861&lt;30,"Young Adult")</f>
        <v>Young Adult</v>
      </c>
      <c r="L861" s="4">
        <v>26</v>
      </c>
      <c r="M861" s="4" t="s">
        <v>21</v>
      </c>
      <c r="N861" s="4">
        <v>2</v>
      </c>
      <c r="O861" s="5">
        <v>500</v>
      </c>
      <c r="P861">
        <f t="shared" si="153"/>
        <v>1000</v>
      </c>
      <c r="Q861" s="14">
        <f>P861*$I$4</f>
        <v>15</v>
      </c>
      <c r="R861" s="14">
        <f>P861*$I$5</f>
        <v>20</v>
      </c>
    </row>
    <row r="862" spans="1:18" x14ac:dyDescent="0.35">
      <c r="A862" s="2">
        <v>851</v>
      </c>
      <c r="B862" s="4">
        <f t="shared" si="147"/>
        <v>8</v>
      </c>
      <c r="C862" s="4">
        <f t="shared" si="148"/>
        <v>9</v>
      </c>
      <c r="D862" s="4">
        <f t="shared" si="149"/>
        <v>2023</v>
      </c>
      <c r="E862" s="4" t="str">
        <f t="shared" si="150"/>
        <v>Friday</v>
      </c>
      <c r="F862" s="4" t="str">
        <f t="shared" si="151"/>
        <v>September</v>
      </c>
      <c r="G862" s="4" t="str">
        <f t="shared" si="152"/>
        <v>2023</v>
      </c>
      <c r="H862" s="3">
        <v>45177</v>
      </c>
      <c r="I862" s="4" t="s">
        <v>876</v>
      </c>
      <c r="J862" s="4" t="s">
        <v>20</v>
      </c>
      <c r="K862" s="4" t="str" cm="1">
        <f t="array" ref="K862">_xlfn.IFS(L862&gt;50,"Senior", L862&gt;=30,"Adult", L862&lt;30,"Young Adult")</f>
        <v>Adult</v>
      </c>
      <c r="L862" s="4">
        <v>32</v>
      </c>
      <c r="M862" s="4" t="s">
        <v>26</v>
      </c>
      <c r="N862" s="4">
        <v>2</v>
      </c>
      <c r="O862" s="5">
        <v>25</v>
      </c>
      <c r="P862">
        <f t="shared" si="153"/>
        <v>50</v>
      </c>
      <c r="Q862" s="14" t="e">
        <f>P862*#REF!</f>
        <v>#REF!</v>
      </c>
      <c r="R862" s="14" t="e">
        <f>P862*#REF!</f>
        <v>#REF!</v>
      </c>
    </row>
    <row r="863" spans="1:18" x14ac:dyDescent="0.35">
      <c r="A863" s="2">
        <v>852</v>
      </c>
      <c r="B863" s="4">
        <f t="shared" si="147"/>
        <v>12</v>
      </c>
      <c r="C863" s="4">
        <f t="shared" si="148"/>
        <v>10</v>
      </c>
      <c r="D863" s="4">
        <f t="shared" si="149"/>
        <v>2023</v>
      </c>
      <c r="E863" s="4" t="str">
        <f t="shared" si="150"/>
        <v>Thursday</v>
      </c>
      <c r="F863" s="4" t="str">
        <f t="shared" si="151"/>
        <v>October</v>
      </c>
      <c r="G863" s="4" t="str">
        <f t="shared" si="152"/>
        <v>2023</v>
      </c>
      <c r="H863" s="3">
        <v>45211</v>
      </c>
      <c r="I863" s="4" t="s">
        <v>877</v>
      </c>
      <c r="J863" s="4" t="s">
        <v>23</v>
      </c>
      <c r="K863" s="4" t="str" cm="1">
        <f t="array" ref="K863">_xlfn.IFS(L863&gt;50,"Senior", L863&gt;=30,"Adult", L863&lt;30,"Young Adult")</f>
        <v>Adult</v>
      </c>
      <c r="L863" s="4">
        <v>41</v>
      </c>
      <c r="M863" s="4" t="s">
        <v>24</v>
      </c>
      <c r="N863" s="4">
        <v>1</v>
      </c>
      <c r="O863" s="5">
        <v>300</v>
      </c>
      <c r="P863">
        <f t="shared" si="153"/>
        <v>300</v>
      </c>
      <c r="Q863" s="14" t="e">
        <f>P863*#REF!</f>
        <v>#REF!</v>
      </c>
      <c r="R863" s="14" t="e">
        <f>P863*#REF!</f>
        <v>#REF!</v>
      </c>
    </row>
    <row r="864" spans="1:18" x14ac:dyDescent="0.35">
      <c r="A864" s="2">
        <v>853</v>
      </c>
      <c r="B864" s="4">
        <f t="shared" si="147"/>
        <v>4</v>
      </c>
      <c r="C864" s="4">
        <f t="shared" si="148"/>
        <v>5</v>
      </c>
      <c r="D864" s="4">
        <f t="shared" si="149"/>
        <v>2023</v>
      </c>
      <c r="E864" s="4" t="str">
        <f t="shared" si="150"/>
        <v>Thursday</v>
      </c>
      <c r="F864" s="4" t="str">
        <f t="shared" si="151"/>
        <v>May</v>
      </c>
      <c r="G864" s="4" t="str">
        <f t="shared" si="152"/>
        <v>2023</v>
      </c>
      <c r="H864" s="3">
        <v>45050</v>
      </c>
      <c r="I864" s="4" t="s">
        <v>878</v>
      </c>
      <c r="J864" s="4" t="s">
        <v>20</v>
      </c>
      <c r="K864" s="4" t="str" cm="1">
        <f t="array" ref="K864">_xlfn.IFS(L864&gt;50,"Senior", L864&gt;=30,"Adult", L864&lt;30,"Young Adult")</f>
        <v>Young Adult</v>
      </c>
      <c r="L864" s="4">
        <v>21</v>
      </c>
      <c r="M864" s="4" t="s">
        <v>21</v>
      </c>
      <c r="N864" s="4">
        <v>2</v>
      </c>
      <c r="O864" s="5">
        <v>500</v>
      </c>
      <c r="P864">
        <f t="shared" si="153"/>
        <v>1000</v>
      </c>
      <c r="Q864" s="14">
        <f>P864*$I$4</f>
        <v>15</v>
      </c>
      <c r="R864" s="14">
        <f>P864*$I$5</f>
        <v>20</v>
      </c>
    </row>
    <row r="865" spans="1:18" x14ac:dyDescent="0.35">
      <c r="A865" s="2">
        <v>854</v>
      </c>
      <c r="B865" s="4">
        <f t="shared" si="147"/>
        <v>20</v>
      </c>
      <c r="C865" s="4">
        <f t="shared" si="148"/>
        <v>12</v>
      </c>
      <c r="D865" s="4">
        <f t="shared" si="149"/>
        <v>2023</v>
      </c>
      <c r="E865" s="4" t="str">
        <f t="shared" si="150"/>
        <v>Wednesday</v>
      </c>
      <c r="F865" s="4" t="str">
        <f t="shared" si="151"/>
        <v>December</v>
      </c>
      <c r="G865" s="4" t="str">
        <f t="shared" si="152"/>
        <v>2023</v>
      </c>
      <c r="H865" s="3">
        <v>45280</v>
      </c>
      <c r="I865" s="4" t="s">
        <v>879</v>
      </c>
      <c r="J865" s="4" t="s">
        <v>20</v>
      </c>
      <c r="K865" s="4" t="str" cm="1">
        <f t="array" ref="K865">_xlfn.IFS(L865&gt;50,"Senior", L865&gt;=30,"Adult", L865&lt;30,"Young Adult")</f>
        <v>Young Adult</v>
      </c>
      <c r="L865" s="4">
        <v>29</v>
      </c>
      <c r="M865" s="4" t="s">
        <v>24</v>
      </c>
      <c r="N865" s="4">
        <v>1</v>
      </c>
      <c r="O865" s="5">
        <v>50</v>
      </c>
      <c r="P865">
        <f t="shared" si="153"/>
        <v>50</v>
      </c>
      <c r="Q865" s="14" t="e">
        <f>P865*#REF!</f>
        <v>#REF!</v>
      </c>
      <c r="R865" s="14" t="e">
        <f>P865*#REF!</f>
        <v>#REF!</v>
      </c>
    </row>
    <row r="866" spans="1:18" x14ac:dyDescent="0.35">
      <c r="A866" s="2">
        <v>855</v>
      </c>
      <c r="B866" s="4">
        <f t="shared" si="147"/>
        <v>1</v>
      </c>
      <c r="C866" s="4">
        <f t="shared" si="148"/>
        <v>9</v>
      </c>
      <c r="D866" s="4">
        <f t="shared" si="149"/>
        <v>2023</v>
      </c>
      <c r="E866" s="4" t="str">
        <f t="shared" si="150"/>
        <v>Friday</v>
      </c>
      <c r="F866" s="4" t="str">
        <f t="shared" si="151"/>
        <v>September</v>
      </c>
      <c r="G866" s="4" t="str">
        <f t="shared" si="152"/>
        <v>2023</v>
      </c>
      <c r="H866" s="3">
        <v>45170</v>
      </c>
      <c r="I866" s="4" t="s">
        <v>880</v>
      </c>
      <c r="J866" s="4" t="s">
        <v>20</v>
      </c>
      <c r="K866" s="4" t="str" cm="1">
        <f t="array" ref="K866">_xlfn.IFS(L866&gt;50,"Senior", L866&gt;=30,"Adult", L866&lt;30,"Young Adult")</f>
        <v>Senior</v>
      </c>
      <c r="L866" s="4">
        <v>54</v>
      </c>
      <c r="M866" s="4" t="s">
        <v>21</v>
      </c>
      <c r="N866" s="4">
        <v>1</v>
      </c>
      <c r="O866" s="5">
        <v>25</v>
      </c>
      <c r="P866">
        <f t="shared" si="153"/>
        <v>25</v>
      </c>
      <c r="Q866" s="14">
        <f>P866*$I$4</f>
        <v>0.375</v>
      </c>
      <c r="R866" s="14">
        <f>P866*$I$5</f>
        <v>0.5</v>
      </c>
    </row>
    <row r="867" spans="1:18" x14ac:dyDescent="0.35">
      <c r="A867" s="2">
        <v>856</v>
      </c>
      <c r="B867" s="4">
        <f t="shared" si="147"/>
        <v>27</v>
      </c>
      <c r="C867" s="4">
        <f t="shared" si="148"/>
        <v>11</v>
      </c>
      <c r="D867" s="4">
        <f t="shared" si="149"/>
        <v>2023</v>
      </c>
      <c r="E867" s="4" t="str">
        <f t="shared" si="150"/>
        <v>Monday</v>
      </c>
      <c r="F867" s="4" t="str">
        <f t="shared" si="151"/>
        <v>November</v>
      </c>
      <c r="G867" s="4" t="str">
        <f t="shared" si="152"/>
        <v>2023</v>
      </c>
      <c r="H867" s="3">
        <v>45257</v>
      </c>
      <c r="I867" s="4" t="s">
        <v>881</v>
      </c>
      <c r="J867" s="4" t="s">
        <v>20</v>
      </c>
      <c r="K867" s="4" t="str" cm="1">
        <f t="array" ref="K867">_xlfn.IFS(L867&gt;50,"Senior", L867&gt;=30,"Adult", L867&lt;30,"Young Adult")</f>
        <v>Senior</v>
      </c>
      <c r="L867" s="4">
        <v>54</v>
      </c>
      <c r="M867" s="4" t="s">
        <v>26</v>
      </c>
      <c r="N867" s="4">
        <v>4</v>
      </c>
      <c r="O867" s="5">
        <v>30</v>
      </c>
      <c r="P867">
        <f t="shared" si="153"/>
        <v>120</v>
      </c>
      <c r="Q867" s="14" t="e">
        <f>P867*#REF!</f>
        <v>#REF!</v>
      </c>
      <c r="R867" s="14" t="e">
        <f>P867*#REF!</f>
        <v>#REF!</v>
      </c>
    </row>
    <row r="868" spans="1:18" x14ac:dyDescent="0.35">
      <c r="A868" s="2">
        <v>857</v>
      </c>
      <c r="B868" s="4">
        <f t="shared" si="147"/>
        <v>31</v>
      </c>
      <c r="C868" s="4">
        <f t="shared" si="148"/>
        <v>12</v>
      </c>
      <c r="D868" s="4">
        <f t="shared" si="149"/>
        <v>2023</v>
      </c>
      <c r="E868" s="4" t="str">
        <f t="shared" si="150"/>
        <v>Sunday</v>
      </c>
      <c r="F868" s="4" t="str">
        <f t="shared" si="151"/>
        <v>December</v>
      </c>
      <c r="G868" s="4" t="str">
        <f t="shared" si="152"/>
        <v>2023</v>
      </c>
      <c r="H868" s="3">
        <v>45291</v>
      </c>
      <c r="I868" s="4" t="s">
        <v>882</v>
      </c>
      <c r="J868" s="4" t="s">
        <v>20</v>
      </c>
      <c r="K868" s="4" t="str" cm="1">
        <f t="array" ref="K868">_xlfn.IFS(L868&gt;50,"Senior", L868&gt;=30,"Adult", L868&lt;30,"Young Adult")</f>
        <v>Senior</v>
      </c>
      <c r="L868" s="4">
        <v>60</v>
      </c>
      <c r="M868" s="4" t="s">
        <v>26</v>
      </c>
      <c r="N868" s="4">
        <v>2</v>
      </c>
      <c r="O868" s="5">
        <v>25</v>
      </c>
      <c r="P868">
        <f t="shared" si="153"/>
        <v>50</v>
      </c>
      <c r="Q868" s="14" t="e">
        <f>P868*#REF!</f>
        <v>#REF!</v>
      </c>
      <c r="R868" s="14" t="e">
        <f>P868*#REF!</f>
        <v>#REF!</v>
      </c>
    </row>
    <row r="869" spans="1:18" x14ac:dyDescent="0.35">
      <c r="A869" s="2">
        <v>858</v>
      </c>
      <c r="B869" s="4">
        <f t="shared" si="147"/>
        <v>9</v>
      </c>
      <c r="C869" s="4">
        <f t="shared" si="148"/>
        <v>9</v>
      </c>
      <c r="D869" s="4">
        <f t="shared" si="149"/>
        <v>2023</v>
      </c>
      <c r="E869" s="4" t="str">
        <f t="shared" si="150"/>
        <v>Saturday</v>
      </c>
      <c r="F869" s="4" t="str">
        <f t="shared" si="151"/>
        <v>September</v>
      </c>
      <c r="G869" s="4" t="str">
        <f t="shared" si="152"/>
        <v>2023</v>
      </c>
      <c r="H869" s="3">
        <v>45178</v>
      </c>
      <c r="I869" s="4" t="s">
        <v>883</v>
      </c>
      <c r="J869" s="4" t="s">
        <v>20</v>
      </c>
      <c r="K869" s="4" t="str" cm="1">
        <f t="array" ref="K869">_xlfn.IFS(L869&gt;50,"Senior", L869&gt;=30,"Adult", L869&lt;30,"Young Adult")</f>
        <v>Young Adult</v>
      </c>
      <c r="L869" s="4">
        <v>23</v>
      </c>
      <c r="M869" s="4" t="s">
        <v>26</v>
      </c>
      <c r="N869" s="4">
        <v>2</v>
      </c>
      <c r="O869" s="5">
        <v>50</v>
      </c>
      <c r="P869">
        <f t="shared" si="153"/>
        <v>100</v>
      </c>
      <c r="Q869" s="14" t="e">
        <f>P869*#REF!</f>
        <v>#REF!</v>
      </c>
      <c r="R869" s="14" t="e">
        <f>P869*#REF!</f>
        <v>#REF!</v>
      </c>
    </row>
    <row r="870" spans="1:18" x14ac:dyDescent="0.35">
      <c r="A870" s="2">
        <v>859</v>
      </c>
      <c r="B870" s="4">
        <f t="shared" si="147"/>
        <v>18</v>
      </c>
      <c r="C870" s="4">
        <f t="shared" si="148"/>
        <v>8</v>
      </c>
      <c r="D870" s="4">
        <f t="shared" si="149"/>
        <v>2023</v>
      </c>
      <c r="E870" s="4" t="str">
        <f t="shared" si="150"/>
        <v>Friday</v>
      </c>
      <c r="F870" s="4" t="str">
        <f t="shared" si="151"/>
        <v>August</v>
      </c>
      <c r="G870" s="4" t="str">
        <f t="shared" si="152"/>
        <v>2023</v>
      </c>
      <c r="H870" s="3">
        <v>45156</v>
      </c>
      <c r="I870" s="4" t="s">
        <v>884</v>
      </c>
      <c r="J870" s="4" t="s">
        <v>23</v>
      </c>
      <c r="K870" s="4" t="str" cm="1">
        <f t="array" ref="K870">_xlfn.IFS(L870&gt;50,"Senior", L870&gt;=30,"Adult", L870&lt;30,"Young Adult")</f>
        <v>Senior</v>
      </c>
      <c r="L870" s="4">
        <v>56</v>
      </c>
      <c r="M870" s="4" t="s">
        <v>26</v>
      </c>
      <c r="N870" s="4">
        <v>3</v>
      </c>
      <c r="O870" s="5">
        <v>500</v>
      </c>
      <c r="P870">
        <f t="shared" si="153"/>
        <v>1500</v>
      </c>
      <c r="Q870" s="14" t="e">
        <f>P870*#REF!</f>
        <v>#REF!</v>
      </c>
      <c r="R870" s="14" t="e">
        <f>P870*#REF!</f>
        <v>#REF!</v>
      </c>
    </row>
    <row r="871" spans="1:18" x14ac:dyDescent="0.35">
      <c r="A871" s="2">
        <v>860</v>
      </c>
      <c r="B871" s="4">
        <f t="shared" si="147"/>
        <v>9</v>
      </c>
      <c r="C871" s="4">
        <f t="shared" si="148"/>
        <v>1</v>
      </c>
      <c r="D871" s="4">
        <f t="shared" si="149"/>
        <v>2023</v>
      </c>
      <c r="E871" s="4" t="str">
        <f t="shared" si="150"/>
        <v>Monday</v>
      </c>
      <c r="F871" s="4" t="str">
        <f t="shared" si="151"/>
        <v>January</v>
      </c>
      <c r="G871" s="4" t="str">
        <f t="shared" si="152"/>
        <v>2023</v>
      </c>
      <c r="H871" s="3">
        <v>44935</v>
      </c>
      <c r="I871" s="4" t="s">
        <v>885</v>
      </c>
      <c r="J871" s="4" t="s">
        <v>20</v>
      </c>
      <c r="K871" s="4" t="str" cm="1">
        <f t="array" ref="K871">_xlfn.IFS(L871&gt;50,"Senior", L871&gt;=30,"Adult", L871&lt;30,"Young Adult")</f>
        <v>Senior</v>
      </c>
      <c r="L871" s="4">
        <v>63</v>
      </c>
      <c r="M871" s="4" t="s">
        <v>24</v>
      </c>
      <c r="N871" s="4">
        <v>4</v>
      </c>
      <c r="O871" s="5">
        <v>50</v>
      </c>
      <c r="P871">
        <f t="shared" si="153"/>
        <v>200</v>
      </c>
      <c r="Q871" s="14" t="e">
        <f>P871*#REF!</f>
        <v>#REF!</v>
      </c>
      <c r="R871" s="14" t="e">
        <f>P871*#REF!</f>
        <v>#REF!</v>
      </c>
    </row>
    <row r="872" spans="1:18" x14ac:dyDescent="0.35">
      <c r="A872" s="2">
        <v>861</v>
      </c>
      <c r="B872" s="4">
        <f t="shared" si="147"/>
        <v>17</v>
      </c>
      <c r="C872" s="4">
        <f t="shared" si="148"/>
        <v>2</v>
      </c>
      <c r="D872" s="4">
        <f t="shared" si="149"/>
        <v>2023</v>
      </c>
      <c r="E872" s="4" t="str">
        <f t="shared" si="150"/>
        <v>Friday</v>
      </c>
      <c r="F872" s="4" t="str">
        <f t="shared" si="151"/>
        <v>February</v>
      </c>
      <c r="G872" s="4" t="str">
        <f t="shared" si="152"/>
        <v>2023</v>
      </c>
      <c r="H872" s="3">
        <v>44974</v>
      </c>
      <c r="I872" s="4" t="s">
        <v>886</v>
      </c>
      <c r="J872" s="4" t="s">
        <v>23</v>
      </c>
      <c r="K872" s="4" t="str" cm="1">
        <f t="array" ref="K872">_xlfn.IFS(L872&gt;50,"Senior", L872&gt;=30,"Adult", L872&lt;30,"Young Adult")</f>
        <v>Adult</v>
      </c>
      <c r="L872" s="4">
        <v>41</v>
      </c>
      <c r="M872" s="4" t="s">
        <v>24</v>
      </c>
      <c r="N872" s="4">
        <v>3</v>
      </c>
      <c r="O872" s="5">
        <v>30</v>
      </c>
      <c r="P872">
        <f t="shared" si="153"/>
        <v>90</v>
      </c>
      <c r="Q872" s="14" t="e">
        <f>P872*#REF!</f>
        <v>#REF!</v>
      </c>
      <c r="R872" s="14" t="e">
        <f>P872*#REF!</f>
        <v>#REF!</v>
      </c>
    </row>
    <row r="873" spans="1:18" x14ac:dyDescent="0.35">
      <c r="A873" s="2">
        <v>862</v>
      </c>
      <c r="B873" s="4">
        <f t="shared" si="147"/>
        <v>31</v>
      </c>
      <c r="C873" s="4">
        <f t="shared" si="148"/>
        <v>5</v>
      </c>
      <c r="D873" s="4">
        <f t="shared" si="149"/>
        <v>2023</v>
      </c>
      <c r="E873" s="4" t="str">
        <f t="shared" si="150"/>
        <v>Wednesday</v>
      </c>
      <c r="F873" s="4" t="str">
        <f t="shared" si="151"/>
        <v>May</v>
      </c>
      <c r="G873" s="4" t="str">
        <f t="shared" si="152"/>
        <v>2023</v>
      </c>
      <c r="H873" s="3">
        <v>45077</v>
      </c>
      <c r="I873" s="4" t="s">
        <v>887</v>
      </c>
      <c r="J873" s="4" t="s">
        <v>20</v>
      </c>
      <c r="K873" s="4" t="str" cm="1">
        <f t="array" ref="K873">_xlfn.IFS(L873&gt;50,"Senior", L873&gt;=30,"Adult", L873&lt;30,"Young Adult")</f>
        <v>Young Adult</v>
      </c>
      <c r="L873" s="4">
        <v>28</v>
      </c>
      <c r="M873" s="4" t="s">
        <v>26</v>
      </c>
      <c r="N873" s="4">
        <v>4</v>
      </c>
      <c r="O873" s="5">
        <v>300</v>
      </c>
      <c r="P873">
        <f t="shared" si="153"/>
        <v>1200</v>
      </c>
      <c r="Q873" s="14" t="e">
        <f>P873*#REF!</f>
        <v>#REF!</v>
      </c>
      <c r="R873" s="14" t="e">
        <f>P873*#REF!</f>
        <v>#REF!</v>
      </c>
    </row>
    <row r="874" spans="1:18" x14ac:dyDescent="0.35">
      <c r="A874" s="2">
        <v>863</v>
      </c>
      <c r="B874" s="4">
        <f t="shared" si="147"/>
        <v>24</v>
      </c>
      <c r="C874" s="4">
        <f t="shared" si="148"/>
        <v>4</v>
      </c>
      <c r="D874" s="4">
        <f t="shared" si="149"/>
        <v>2023</v>
      </c>
      <c r="E874" s="4" t="str">
        <f t="shared" si="150"/>
        <v>Monday</v>
      </c>
      <c r="F874" s="4" t="str">
        <f t="shared" si="151"/>
        <v>April</v>
      </c>
      <c r="G874" s="4" t="str">
        <f t="shared" si="152"/>
        <v>2023</v>
      </c>
      <c r="H874" s="3">
        <v>45040</v>
      </c>
      <c r="I874" s="4" t="s">
        <v>888</v>
      </c>
      <c r="J874" s="4" t="s">
        <v>23</v>
      </c>
      <c r="K874" s="4" t="str" cm="1">
        <f t="array" ref="K874">_xlfn.IFS(L874&gt;50,"Senior", L874&gt;=30,"Adult", L874&lt;30,"Young Adult")</f>
        <v>Adult</v>
      </c>
      <c r="L874" s="4">
        <v>30</v>
      </c>
      <c r="M874" s="4" t="s">
        <v>26</v>
      </c>
      <c r="N874" s="4">
        <v>2</v>
      </c>
      <c r="O874" s="5">
        <v>25</v>
      </c>
      <c r="P874">
        <f t="shared" si="153"/>
        <v>50</v>
      </c>
      <c r="Q874" s="14" t="e">
        <f>P874*#REF!</f>
        <v>#REF!</v>
      </c>
      <c r="R874" s="14" t="e">
        <f>P874*#REF!</f>
        <v>#REF!</v>
      </c>
    </row>
    <row r="875" spans="1:18" x14ac:dyDescent="0.35">
      <c r="A875" s="2">
        <v>864</v>
      </c>
      <c r="B875" s="4">
        <f t="shared" si="147"/>
        <v>27</v>
      </c>
      <c r="C875" s="4">
        <f t="shared" si="148"/>
        <v>7</v>
      </c>
      <c r="D875" s="4">
        <f t="shared" si="149"/>
        <v>2023</v>
      </c>
      <c r="E875" s="4" t="str">
        <f t="shared" si="150"/>
        <v>Thursday</v>
      </c>
      <c r="F875" s="4" t="str">
        <f t="shared" si="151"/>
        <v>July</v>
      </c>
      <c r="G875" s="4" t="str">
        <f t="shared" si="152"/>
        <v>2023</v>
      </c>
      <c r="H875" s="3">
        <v>45134</v>
      </c>
      <c r="I875" s="4" t="s">
        <v>889</v>
      </c>
      <c r="J875" s="4" t="s">
        <v>23</v>
      </c>
      <c r="K875" s="4" t="str" cm="1">
        <f t="array" ref="K875">_xlfn.IFS(L875&gt;50,"Senior", L875&gt;=30,"Adult", L875&lt;30,"Young Adult")</f>
        <v>Senior</v>
      </c>
      <c r="L875" s="4">
        <v>51</v>
      </c>
      <c r="M875" s="4" t="s">
        <v>26</v>
      </c>
      <c r="N875" s="4">
        <v>1</v>
      </c>
      <c r="O875" s="5">
        <v>500</v>
      </c>
      <c r="P875">
        <f t="shared" si="153"/>
        <v>500</v>
      </c>
      <c r="Q875" s="14" t="e">
        <f>P875*#REF!</f>
        <v>#REF!</v>
      </c>
      <c r="R875" s="14" t="e">
        <f>P875*#REF!</f>
        <v>#REF!</v>
      </c>
    </row>
    <row r="876" spans="1:18" x14ac:dyDescent="0.35">
      <c r="A876" s="2">
        <v>865</v>
      </c>
      <c r="B876" s="4">
        <f t="shared" si="147"/>
        <v>21</v>
      </c>
      <c r="C876" s="4">
        <f t="shared" si="148"/>
        <v>12</v>
      </c>
      <c r="D876" s="4">
        <f t="shared" si="149"/>
        <v>2023</v>
      </c>
      <c r="E876" s="4" t="str">
        <f t="shared" si="150"/>
        <v>Thursday</v>
      </c>
      <c r="F876" s="4" t="str">
        <f t="shared" si="151"/>
        <v>December</v>
      </c>
      <c r="G876" s="4" t="str">
        <f t="shared" si="152"/>
        <v>2023</v>
      </c>
      <c r="H876" s="3">
        <v>45281</v>
      </c>
      <c r="I876" s="4" t="s">
        <v>890</v>
      </c>
      <c r="J876" s="4" t="s">
        <v>23</v>
      </c>
      <c r="K876" s="4" t="str" cm="1">
        <f t="array" ref="K876">_xlfn.IFS(L876&gt;50,"Senior", L876&gt;=30,"Adult", L876&lt;30,"Young Adult")</f>
        <v>Adult</v>
      </c>
      <c r="L876" s="4">
        <v>42</v>
      </c>
      <c r="M876" s="4" t="s">
        <v>24</v>
      </c>
      <c r="N876" s="4">
        <v>1</v>
      </c>
      <c r="O876" s="5">
        <v>300</v>
      </c>
      <c r="P876">
        <f t="shared" si="153"/>
        <v>300</v>
      </c>
      <c r="Q876" s="14" t="e">
        <f>P876*#REF!</f>
        <v>#REF!</v>
      </c>
      <c r="R876" s="14" t="e">
        <f>P876*#REF!</f>
        <v>#REF!</v>
      </c>
    </row>
    <row r="877" spans="1:18" x14ac:dyDescent="0.35">
      <c r="A877" s="2">
        <v>866</v>
      </c>
      <c r="B877" s="4">
        <f t="shared" si="147"/>
        <v>5</v>
      </c>
      <c r="C877" s="4">
        <f t="shared" si="148"/>
        <v>5</v>
      </c>
      <c r="D877" s="4">
        <f t="shared" si="149"/>
        <v>2023</v>
      </c>
      <c r="E877" s="4" t="str">
        <f t="shared" si="150"/>
        <v>Friday</v>
      </c>
      <c r="F877" s="4" t="str">
        <f t="shared" si="151"/>
        <v>May</v>
      </c>
      <c r="G877" s="4" t="str">
        <f t="shared" si="152"/>
        <v>2023</v>
      </c>
      <c r="H877" s="3">
        <v>45051</v>
      </c>
      <c r="I877" s="4" t="s">
        <v>891</v>
      </c>
      <c r="J877" s="4" t="s">
        <v>20</v>
      </c>
      <c r="K877" s="4" t="str" cm="1">
        <f t="array" ref="K877">_xlfn.IFS(L877&gt;50,"Senior", L877&gt;=30,"Adult", L877&lt;30,"Young Adult")</f>
        <v>Young Adult</v>
      </c>
      <c r="L877" s="4">
        <v>24</v>
      </c>
      <c r="M877" s="4" t="s">
        <v>26</v>
      </c>
      <c r="N877" s="4">
        <v>1</v>
      </c>
      <c r="O877" s="5">
        <v>50</v>
      </c>
      <c r="P877">
        <f t="shared" si="153"/>
        <v>50</v>
      </c>
      <c r="Q877" s="14" t="e">
        <f>P877*#REF!</f>
        <v>#REF!</v>
      </c>
      <c r="R877" s="14" t="e">
        <f>P877*#REF!</f>
        <v>#REF!</v>
      </c>
    </row>
    <row r="878" spans="1:18" x14ac:dyDescent="0.35">
      <c r="A878" s="2">
        <v>867</v>
      </c>
      <c r="B878" s="4">
        <f t="shared" si="147"/>
        <v>6</v>
      </c>
      <c r="C878" s="4">
        <f t="shared" si="148"/>
        <v>6</v>
      </c>
      <c r="D878" s="4">
        <f t="shared" si="149"/>
        <v>2023</v>
      </c>
      <c r="E878" s="4" t="str">
        <f t="shared" si="150"/>
        <v>Tuesday</v>
      </c>
      <c r="F878" s="4" t="str">
        <f t="shared" si="151"/>
        <v>June</v>
      </c>
      <c r="G878" s="4" t="str">
        <f t="shared" si="152"/>
        <v>2023</v>
      </c>
      <c r="H878" s="3">
        <v>45083</v>
      </c>
      <c r="I878" s="4" t="s">
        <v>892</v>
      </c>
      <c r="J878" s="4" t="s">
        <v>20</v>
      </c>
      <c r="K878" s="4" t="str" cm="1">
        <f t="array" ref="K878">_xlfn.IFS(L878&gt;50,"Senior", L878&gt;=30,"Adult", L878&lt;30,"Young Adult")</f>
        <v>Young Adult</v>
      </c>
      <c r="L878" s="4">
        <v>21</v>
      </c>
      <c r="M878" s="4" t="s">
        <v>26</v>
      </c>
      <c r="N878" s="4">
        <v>1</v>
      </c>
      <c r="O878" s="5">
        <v>500</v>
      </c>
      <c r="P878">
        <f t="shared" si="153"/>
        <v>500</v>
      </c>
      <c r="Q878" s="14" t="e">
        <f>P878*#REF!</f>
        <v>#REF!</v>
      </c>
      <c r="R878" s="14" t="e">
        <f>P878*#REF!</f>
        <v>#REF!</v>
      </c>
    </row>
    <row r="879" spans="1:18" x14ac:dyDescent="0.35">
      <c r="A879" s="2">
        <v>868</v>
      </c>
      <c r="B879" s="4">
        <f t="shared" si="147"/>
        <v>6</v>
      </c>
      <c r="C879" s="4">
        <f t="shared" si="148"/>
        <v>12</v>
      </c>
      <c r="D879" s="4">
        <f t="shared" si="149"/>
        <v>2023</v>
      </c>
      <c r="E879" s="4" t="str">
        <f t="shared" si="150"/>
        <v>Wednesday</v>
      </c>
      <c r="F879" s="4" t="str">
        <f t="shared" si="151"/>
        <v>December</v>
      </c>
      <c r="G879" s="4" t="str">
        <f t="shared" si="152"/>
        <v>2023</v>
      </c>
      <c r="H879" s="3">
        <v>45266</v>
      </c>
      <c r="I879" s="4" t="s">
        <v>893</v>
      </c>
      <c r="J879" s="4" t="s">
        <v>23</v>
      </c>
      <c r="K879" s="4" t="str" cm="1">
        <f t="array" ref="K879">_xlfn.IFS(L879&gt;50,"Senior", L879&gt;=30,"Adult", L879&lt;30,"Young Adult")</f>
        <v>Young Adult</v>
      </c>
      <c r="L879" s="4">
        <v>25</v>
      </c>
      <c r="M879" s="4" t="s">
        <v>26</v>
      </c>
      <c r="N879" s="4">
        <v>1</v>
      </c>
      <c r="O879" s="5">
        <v>300</v>
      </c>
      <c r="P879">
        <f t="shared" si="153"/>
        <v>300</v>
      </c>
      <c r="Q879" s="14" t="e">
        <f>P879*#REF!</f>
        <v>#REF!</v>
      </c>
      <c r="R879" s="14" t="e">
        <f>P879*#REF!</f>
        <v>#REF!</v>
      </c>
    </row>
    <row r="880" spans="1:18" x14ac:dyDescent="0.35">
      <c r="A880" s="2">
        <v>869</v>
      </c>
      <c r="B880" s="4">
        <f t="shared" si="147"/>
        <v>25</v>
      </c>
      <c r="C880" s="4">
        <f t="shared" si="148"/>
        <v>10</v>
      </c>
      <c r="D880" s="4">
        <f t="shared" si="149"/>
        <v>2023</v>
      </c>
      <c r="E880" s="4" t="str">
        <f t="shared" si="150"/>
        <v>Wednesday</v>
      </c>
      <c r="F880" s="4" t="str">
        <f t="shared" si="151"/>
        <v>October</v>
      </c>
      <c r="G880" s="4" t="str">
        <f t="shared" si="152"/>
        <v>2023</v>
      </c>
      <c r="H880" s="3">
        <v>45224</v>
      </c>
      <c r="I880" s="4" t="s">
        <v>894</v>
      </c>
      <c r="J880" s="4" t="s">
        <v>20</v>
      </c>
      <c r="K880" s="4" t="str" cm="1">
        <f t="array" ref="K880">_xlfn.IFS(L880&gt;50,"Senior", L880&gt;=30,"Adult", L880&lt;30,"Young Adult")</f>
        <v>Adult</v>
      </c>
      <c r="L880" s="4">
        <v>37</v>
      </c>
      <c r="M880" s="4" t="s">
        <v>21</v>
      </c>
      <c r="N880" s="4">
        <v>3</v>
      </c>
      <c r="O880" s="5">
        <v>500</v>
      </c>
      <c r="P880">
        <f t="shared" si="153"/>
        <v>1500</v>
      </c>
      <c r="Q880" s="14">
        <f>P880*$I$4</f>
        <v>22.5</v>
      </c>
      <c r="R880" s="14">
        <f>P880*$I$5</f>
        <v>30</v>
      </c>
    </row>
    <row r="881" spans="1:18" x14ac:dyDescent="0.35">
      <c r="A881" s="2">
        <v>870</v>
      </c>
      <c r="B881" s="4">
        <f t="shared" si="147"/>
        <v>8</v>
      </c>
      <c r="C881" s="4">
        <f t="shared" si="148"/>
        <v>7</v>
      </c>
      <c r="D881" s="4">
        <f t="shared" si="149"/>
        <v>2023</v>
      </c>
      <c r="E881" s="4" t="str">
        <f t="shared" si="150"/>
        <v>Saturday</v>
      </c>
      <c r="F881" s="4" t="str">
        <f t="shared" si="151"/>
        <v>July</v>
      </c>
      <c r="G881" s="4" t="str">
        <f t="shared" si="152"/>
        <v>2023</v>
      </c>
      <c r="H881" s="3">
        <v>45115</v>
      </c>
      <c r="I881" s="4" t="s">
        <v>895</v>
      </c>
      <c r="J881" s="4" t="s">
        <v>23</v>
      </c>
      <c r="K881" s="4" t="str" cm="1">
        <f t="array" ref="K881">_xlfn.IFS(L881&gt;50,"Senior", L881&gt;=30,"Adult", L881&lt;30,"Young Adult")</f>
        <v>Adult</v>
      </c>
      <c r="L881" s="4">
        <v>46</v>
      </c>
      <c r="M881" s="4" t="s">
        <v>26</v>
      </c>
      <c r="N881" s="4">
        <v>4</v>
      </c>
      <c r="O881" s="5">
        <v>30</v>
      </c>
      <c r="P881">
        <f t="shared" si="153"/>
        <v>120</v>
      </c>
      <c r="Q881" s="14" t="e">
        <f>P881*#REF!</f>
        <v>#REF!</v>
      </c>
      <c r="R881" s="14" t="e">
        <f>P881*#REF!</f>
        <v>#REF!</v>
      </c>
    </row>
    <row r="882" spans="1:18" x14ac:dyDescent="0.35">
      <c r="A882" s="2">
        <v>871</v>
      </c>
      <c r="B882" s="4">
        <f t="shared" si="147"/>
        <v>31</v>
      </c>
      <c r="C882" s="4">
        <f t="shared" si="148"/>
        <v>8</v>
      </c>
      <c r="D882" s="4">
        <f t="shared" si="149"/>
        <v>2023</v>
      </c>
      <c r="E882" s="4" t="str">
        <f t="shared" si="150"/>
        <v>Thursday</v>
      </c>
      <c r="F882" s="4" t="str">
        <f t="shared" si="151"/>
        <v>August</v>
      </c>
      <c r="G882" s="4" t="str">
        <f t="shared" si="152"/>
        <v>2023</v>
      </c>
      <c r="H882" s="3">
        <v>45169</v>
      </c>
      <c r="I882" s="4" t="s">
        <v>896</v>
      </c>
      <c r="J882" s="4" t="s">
        <v>20</v>
      </c>
      <c r="K882" s="4" t="str" cm="1">
        <f t="array" ref="K882">_xlfn.IFS(L882&gt;50,"Senior", L882&gt;=30,"Adult", L882&lt;30,"Young Adult")</f>
        <v>Senior</v>
      </c>
      <c r="L882" s="4">
        <v>62</v>
      </c>
      <c r="M882" s="4" t="s">
        <v>21</v>
      </c>
      <c r="N882" s="4">
        <v>2</v>
      </c>
      <c r="O882" s="5">
        <v>30</v>
      </c>
      <c r="P882">
        <f t="shared" si="153"/>
        <v>60</v>
      </c>
      <c r="Q882" s="14">
        <f t="shared" ref="Q882:Q883" si="154">P882*$I$4</f>
        <v>0.89999999999999991</v>
      </c>
      <c r="R882" s="14">
        <f t="shared" ref="R882:R883" si="155">P882*$I$5</f>
        <v>1.2</v>
      </c>
    </row>
    <row r="883" spans="1:18" x14ac:dyDescent="0.35">
      <c r="A883" s="2">
        <v>872</v>
      </c>
      <c r="B883" s="4">
        <f t="shared" si="147"/>
        <v>11</v>
      </c>
      <c r="C883" s="4">
        <f t="shared" si="148"/>
        <v>10</v>
      </c>
      <c r="D883" s="4">
        <f t="shared" si="149"/>
        <v>2023</v>
      </c>
      <c r="E883" s="4" t="str">
        <f t="shared" si="150"/>
        <v>Wednesday</v>
      </c>
      <c r="F883" s="4" t="str">
        <f t="shared" si="151"/>
        <v>October</v>
      </c>
      <c r="G883" s="4" t="str">
        <f t="shared" si="152"/>
        <v>2023</v>
      </c>
      <c r="H883" s="3">
        <v>45210</v>
      </c>
      <c r="I883" s="4" t="s">
        <v>897</v>
      </c>
      <c r="J883" s="4" t="s">
        <v>23</v>
      </c>
      <c r="K883" s="4" t="str" cm="1">
        <f t="array" ref="K883">_xlfn.IFS(L883&gt;50,"Senior", L883&gt;=30,"Adult", L883&lt;30,"Young Adult")</f>
        <v>Senior</v>
      </c>
      <c r="L883" s="4">
        <v>63</v>
      </c>
      <c r="M883" s="4" t="s">
        <v>21</v>
      </c>
      <c r="N883" s="4">
        <v>3</v>
      </c>
      <c r="O883" s="5">
        <v>25</v>
      </c>
      <c r="P883">
        <f t="shared" si="153"/>
        <v>75</v>
      </c>
      <c r="Q883" s="14">
        <f t="shared" si="154"/>
        <v>1.125</v>
      </c>
      <c r="R883" s="14">
        <f t="shared" si="155"/>
        <v>1.5</v>
      </c>
    </row>
    <row r="884" spans="1:18" x14ac:dyDescent="0.35">
      <c r="A884" s="2">
        <v>873</v>
      </c>
      <c r="B884" s="4">
        <f t="shared" si="147"/>
        <v>29</v>
      </c>
      <c r="C884" s="4">
        <f t="shared" si="148"/>
        <v>9</v>
      </c>
      <c r="D884" s="4">
        <f t="shared" si="149"/>
        <v>2023</v>
      </c>
      <c r="E884" s="4" t="str">
        <f t="shared" si="150"/>
        <v>Friday</v>
      </c>
      <c r="F884" s="4" t="str">
        <f t="shared" si="151"/>
        <v>September</v>
      </c>
      <c r="G884" s="4" t="str">
        <f t="shared" si="152"/>
        <v>2023</v>
      </c>
      <c r="H884" s="3">
        <v>45198</v>
      </c>
      <c r="I884" s="4" t="s">
        <v>898</v>
      </c>
      <c r="J884" s="4" t="s">
        <v>23</v>
      </c>
      <c r="K884" s="4" t="str" cm="1">
        <f t="array" ref="K884">_xlfn.IFS(L884&gt;50,"Senior", L884&gt;=30,"Adult", L884&lt;30,"Young Adult")</f>
        <v>Young Adult</v>
      </c>
      <c r="L884" s="4">
        <v>27</v>
      </c>
      <c r="M884" s="4" t="s">
        <v>26</v>
      </c>
      <c r="N884" s="4">
        <v>4</v>
      </c>
      <c r="O884" s="5">
        <v>25</v>
      </c>
      <c r="P884">
        <f t="shared" si="153"/>
        <v>100</v>
      </c>
      <c r="Q884" s="14" t="e">
        <f>P884*#REF!</f>
        <v>#REF!</v>
      </c>
      <c r="R884" s="14" t="e">
        <f>P884*#REF!</f>
        <v>#REF!</v>
      </c>
    </row>
    <row r="885" spans="1:18" x14ac:dyDescent="0.35">
      <c r="A885" s="2">
        <v>874</v>
      </c>
      <c r="B885" s="4">
        <f t="shared" si="147"/>
        <v>26</v>
      </c>
      <c r="C885" s="4">
        <f t="shared" si="148"/>
        <v>6</v>
      </c>
      <c r="D885" s="4">
        <f t="shared" si="149"/>
        <v>2023</v>
      </c>
      <c r="E885" s="4" t="str">
        <f t="shared" si="150"/>
        <v>Monday</v>
      </c>
      <c r="F885" s="4" t="str">
        <f t="shared" si="151"/>
        <v>June</v>
      </c>
      <c r="G885" s="4" t="str">
        <f t="shared" si="152"/>
        <v>2023</v>
      </c>
      <c r="H885" s="3">
        <v>45103</v>
      </c>
      <c r="I885" s="4" t="s">
        <v>899</v>
      </c>
      <c r="J885" s="4" t="s">
        <v>20</v>
      </c>
      <c r="K885" s="4" t="str" cm="1">
        <f t="array" ref="K885">_xlfn.IFS(L885&gt;50,"Senior", L885&gt;=30,"Adult", L885&lt;30,"Young Adult")</f>
        <v>Senior</v>
      </c>
      <c r="L885" s="4">
        <v>60</v>
      </c>
      <c r="M885" s="4" t="s">
        <v>21</v>
      </c>
      <c r="N885" s="4">
        <v>1</v>
      </c>
      <c r="O885" s="5">
        <v>30</v>
      </c>
      <c r="P885">
        <f t="shared" si="153"/>
        <v>30</v>
      </c>
      <c r="Q885" s="14">
        <f>P885*$I$4</f>
        <v>0.44999999999999996</v>
      </c>
      <c r="R885" s="14">
        <f>P885*$I$5</f>
        <v>0.6</v>
      </c>
    </row>
    <row r="886" spans="1:18" x14ac:dyDescent="0.35">
      <c r="A886" s="2">
        <v>875</v>
      </c>
      <c r="B886" s="4">
        <f t="shared" si="147"/>
        <v>6</v>
      </c>
      <c r="C886" s="4">
        <f t="shared" si="148"/>
        <v>8</v>
      </c>
      <c r="D886" s="4">
        <f t="shared" si="149"/>
        <v>2023</v>
      </c>
      <c r="E886" s="4" t="str">
        <f t="shared" si="150"/>
        <v>Sunday</v>
      </c>
      <c r="F886" s="4" t="str">
        <f t="shared" si="151"/>
        <v>August</v>
      </c>
      <c r="G886" s="4" t="str">
        <f t="shared" si="152"/>
        <v>2023</v>
      </c>
      <c r="H886" s="3">
        <v>45144</v>
      </c>
      <c r="I886" s="4" t="s">
        <v>900</v>
      </c>
      <c r="J886" s="4" t="s">
        <v>23</v>
      </c>
      <c r="K886" s="4" t="str" cm="1">
        <f t="array" ref="K886">_xlfn.IFS(L886&gt;50,"Senior", L886&gt;=30,"Adult", L886&lt;30,"Young Adult")</f>
        <v>Senior</v>
      </c>
      <c r="L886" s="4">
        <v>51</v>
      </c>
      <c r="M886" s="4" t="s">
        <v>26</v>
      </c>
      <c r="N886" s="4">
        <v>4</v>
      </c>
      <c r="O886" s="5">
        <v>500</v>
      </c>
      <c r="P886">
        <f t="shared" si="153"/>
        <v>2000</v>
      </c>
      <c r="Q886" s="14" t="e">
        <f>P886*#REF!</f>
        <v>#REF!</v>
      </c>
      <c r="R886" s="14" t="e">
        <f>P886*#REF!</f>
        <v>#REF!</v>
      </c>
    </row>
    <row r="887" spans="1:18" x14ac:dyDescent="0.35">
      <c r="A887" s="2">
        <v>876</v>
      </c>
      <c r="B887" s="4">
        <f t="shared" si="147"/>
        <v>9</v>
      </c>
      <c r="C887" s="4">
        <f t="shared" si="148"/>
        <v>10</v>
      </c>
      <c r="D887" s="4">
        <f t="shared" si="149"/>
        <v>2023</v>
      </c>
      <c r="E887" s="4" t="str">
        <f t="shared" si="150"/>
        <v>Monday</v>
      </c>
      <c r="F887" s="4" t="str">
        <f t="shared" si="151"/>
        <v>October</v>
      </c>
      <c r="G887" s="4" t="str">
        <f t="shared" si="152"/>
        <v>2023</v>
      </c>
      <c r="H887" s="3">
        <v>45208</v>
      </c>
      <c r="I887" s="4" t="s">
        <v>901</v>
      </c>
      <c r="J887" s="4" t="s">
        <v>20</v>
      </c>
      <c r="K887" s="4" t="str" cm="1">
        <f t="array" ref="K887">_xlfn.IFS(L887&gt;50,"Senior", L887&gt;=30,"Adult", L887&lt;30,"Young Adult")</f>
        <v>Adult</v>
      </c>
      <c r="L887" s="4">
        <v>43</v>
      </c>
      <c r="M887" s="4" t="s">
        <v>24</v>
      </c>
      <c r="N887" s="4">
        <v>4</v>
      </c>
      <c r="O887" s="5">
        <v>30</v>
      </c>
      <c r="P887">
        <f t="shared" si="153"/>
        <v>120</v>
      </c>
      <c r="Q887" s="14" t="e">
        <f>P887*#REF!</f>
        <v>#REF!</v>
      </c>
      <c r="R887" s="14" t="e">
        <f>P887*#REF!</f>
        <v>#REF!</v>
      </c>
    </row>
    <row r="888" spans="1:18" x14ac:dyDescent="0.35">
      <c r="A888" s="2">
        <v>877</v>
      </c>
      <c r="B888" s="4">
        <f t="shared" si="147"/>
        <v>19</v>
      </c>
      <c r="C888" s="4">
        <f t="shared" si="148"/>
        <v>6</v>
      </c>
      <c r="D888" s="4">
        <f t="shared" si="149"/>
        <v>2023</v>
      </c>
      <c r="E888" s="4" t="str">
        <f t="shared" si="150"/>
        <v>Monday</v>
      </c>
      <c r="F888" s="4" t="str">
        <f t="shared" si="151"/>
        <v>June</v>
      </c>
      <c r="G888" s="4" t="str">
        <f t="shared" si="152"/>
        <v>2023</v>
      </c>
      <c r="H888" s="3">
        <v>45096</v>
      </c>
      <c r="I888" s="4" t="s">
        <v>902</v>
      </c>
      <c r="J888" s="4" t="s">
        <v>23</v>
      </c>
      <c r="K888" s="4" t="str" cm="1">
        <f t="array" ref="K888">_xlfn.IFS(L888&gt;50,"Senior", L888&gt;=30,"Adult", L888&lt;30,"Young Adult")</f>
        <v>Senior</v>
      </c>
      <c r="L888" s="4">
        <v>58</v>
      </c>
      <c r="M888" s="4" t="s">
        <v>24</v>
      </c>
      <c r="N888" s="4">
        <v>1</v>
      </c>
      <c r="O888" s="5">
        <v>25</v>
      </c>
      <c r="P888">
        <f t="shared" si="153"/>
        <v>25</v>
      </c>
      <c r="Q888" s="14" t="e">
        <f>P888*#REF!</f>
        <v>#REF!</v>
      </c>
      <c r="R888" s="14" t="e">
        <f>P888*#REF!</f>
        <v>#REF!</v>
      </c>
    </row>
    <row r="889" spans="1:18" x14ac:dyDescent="0.35">
      <c r="A889" s="2">
        <v>878</v>
      </c>
      <c r="B889" s="4">
        <f t="shared" si="147"/>
        <v>30</v>
      </c>
      <c r="C889" s="4">
        <f t="shared" si="148"/>
        <v>6</v>
      </c>
      <c r="D889" s="4">
        <f t="shared" si="149"/>
        <v>2023</v>
      </c>
      <c r="E889" s="4" t="str">
        <f t="shared" si="150"/>
        <v>Friday</v>
      </c>
      <c r="F889" s="4" t="str">
        <f t="shared" si="151"/>
        <v>June</v>
      </c>
      <c r="G889" s="4" t="str">
        <f t="shared" si="152"/>
        <v>2023</v>
      </c>
      <c r="H889" s="3">
        <v>45107</v>
      </c>
      <c r="I889" s="4" t="s">
        <v>903</v>
      </c>
      <c r="J889" s="4" t="s">
        <v>23</v>
      </c>
      <c r="K889" s="4" t="str" cm="1">
        <f t="array" ref="K889">_xlfn.IFS(L889&gt;50,"Senior", L889&gt;=30,"Adult", L889&lt;30,"Young Adult")</f>
        <v>Young Adult</v>
      </c>
      <c r="L889" s="4">
        <v>20</v>
      </c>
      <c r="M889" s="4" t="s">
        <v>24</v>
      </c>
      <c r="N889" s="4">
        <v>1</v>
      </c>
      <c r="O889" s="5">
        <v>30</v>
      </c>
      <c r="P889">
        <f t="shared" si="153"/>
        <v>30</v>
      </c>
      <c r="Q889" s="14" t="e">
        <f>P889*#REF!</f>
        <v>#REF!</v>
      </c>
      <c r="R889" s="14" t="e">
        <f>P889*#REF!</f>
        <v>#REF!</v>
      </c>
    </row>
    <row r="890" spans="1:18" x14ac:dyDescent="0.35">
      <c r="A890" s="2">
        <v>879</v>
      </c>
      <c r="B890" s="4">
        <f t="shared" si="147"/>
        <v>26</v>
      </c>
      <c r="C890" s="4">
        <f t="shared" si="148"/>
        <v>12</v>
      </c>
      <c r="D890" s="4">
        <f t="shared" si="149"/>
        <v>2023</v>
      </c>
      <c r="E890" s="4" t="str">
        <f t="shared" si="150"/>
        <v>Tuesday</v>
      </c>
      <c r="F890" s="4" t="str">
        <f t="shared" si="151"/>
        <v>December</v>
      </c>
      <c r="G890" s="4" t="str">
        <f t="shared" si="152"/>
        <v>2023</v>
      </c>
      <c r="H890" s="3">
        <v>45286</v>
      </c>
      <c r="I890" s="4" t="s">
        <v>904</v>
      </c>
      <c r="J890" s="4" t="s">
        <v>20</v>
      </c>
      <c r="K890" s="4" t="str" cm="1">
        <f t="array" ref="K890">_xlfn.IFS(L890&gt;50,"Senior", L890&gt;=30,"Adult", L890&lt;30,"Young Adult")</f>
        <v>Young Adult</v>
      </c>
      <c r="L890" s="4">
        <v>23</v>
      </c>
      <c r="M890" s="4" t="s">
        <v>24</v>
      </c>
      <c r="N890" s="4">
        <v>1</v>
      </c>
      <c r="O890" s="5">
        <v>30</v>
      </c>
      <c r="P890">
        <f t="shared" si="153"/>
        <v>30</v>
      </c>
      <c r="Q890" s="14" t="e">
        <f>P890*#REF!</f>
        <v>#REF!</v>
      </c>
      <c r="R890" s="14" t="e">
        <f>P890*#REF!</f>
        <v>#REF!</v>
      </c>
    </row>
    <row r="891" spans="1:18" x14ac:dyDescent="0.35">
      <c r="A891" s="2">
        <v>880</v>
      </c>
      <c r="B891" s="4">
        <f t="shared" si="147"/>
        <v>21</v>
      </c>
      <c r="C891" s="4">
        <f t="shared" si="148"/>
        <v>8</v>
      </c>
      <c r="D891" s="4">
        <f t="shared" si="149"/>
        <v>2023</v>
      </c>
      <c r="E891" s="4" t="str">
        <f t="shared" si="150"/>
        <v>Monday</v>
      </c>
      <c r="F891" s="4" t="str">
        <f t="shared" si="151"/>
        <v>August</v>
      </c>
      <c r="G891" s="4" t="str">
        <f t="shared" si="152"/>
        <v>2023</v>
      </c>
      <c r="H891" s="3">
        <v>45159</v>
      </c>
      <c r="I891" s="4" t="s">
        <v>905</v>
      </c>
      <c r="J891" s="4" t="s">
        <v>20</v>
      </c>
      <c r="K891" s="4" t="str" cm="1">
        <f t="array" ref="K891">_xlfn.IFS(L891&gt;50,"Senior", L891&gt;=30,"Adult", L891&lt;30,"Young Adult")</f>
        <v>Young Adult</v>
      </c>
      <c r="L891" s="4">
        <v>22</v>
      </c>
      <c r="M891" s="4" t="s">
        <v>21</v>
      </c>
      <c r="N891" s="4">
        <v>2</v>
      </c>
      <c r="O891" s="5">
        <v>500</v>
      </c>
      <c r="P891">
        <f t="shared" si="153"/>
        <v>1000</v>
      </c>
      <c r="Q891" s="14">
        <f>P891*$I$4</f>
        <v>15</v>
      </c>
      <c r="R891" s="14">
        <f>P891*$I$5</f>
        <v>20</v>
      </c>
    </row>
    <row r="892" spans="1:18" x14ac:dyDescent="0.35">
      <c r="A892" s="2">
        <v>881</v>
      </c>
      <c r="B892" s="4">
        <f t="shared" si="147"/>
        <v>19</v>
      </c>
      <c r="C892" s="4">
        <f t="shared" si="148"/>
        <v>5</v>
      </c>
      <c r="D892" s="4">
        <f t="shared" si="149"/>
        <v>2023</v>
      </c>
      <c r="E892" s="4" t="str">
        <f t="shared" si="150"/>
        <v>Friday</v>
      </c>
      <c r="F892" s="4" t="str">
        <f t="shared" si="151"/>
        <v>May</v>
      </c>
      <c r="G892" s="4" t="str">
        <f t="shared" si="152"/>
        <v>2023</v>
      </c>
      <c r="H892" s="3">
        <v>45065</v>
      </c>
      <c r="I892" s="4" t="s">
        <v>906</v>
      </c>
      <c r="J892" s="4" t="s">
        <v>20</v>
      </c>
      <c r="K892" s="4" t="str" cm="1">
        <f t="array" ref="K892">_xlfn.IFS(L892&gt;50,"Senior", L892&gt;=30,"Adult", L892&lt;30,"Young Adult")</f>
        <v>Young Adult</v>
      </c>
      <c r="L892" s="4">
        <v>22</v>
      </c>
      <c r="M892" s="4" t="s">
        <v>26</v>
      </c>
      <c r="N892" s="4">
        <v>1</v>
      </c>
      <c r="O892" s="5">
        <v>300</v>
      </c>
      <c r="P892">
        <f t="shared" si="153"/>
        <v>300</v>
      </c>
      <c r="Q892" s="14" t="e">
        <f>P892*#REF!</f>
        <v>#REF!</v>
      </c>
      <c r="R892" s="14" t="e">
        <f>P892*#REF!</f>
        <v>#REF!</v>
      </c>
    </row>
    <row r="893" spans="1:18" x14ac:dyDescent="0.35">
      <c r="A893" s="2">
        <v>882</v>
      </c>
      <c r="B893" s="4">
        <f t="shared" si="147"/>
        <v>6</v>
      </c>
      <c r="C893" s="4">
        <f t="shared" si="148"/>
        <v>6</v>
      </c>
      <c r="D893" s="4">
        <f t="shared" si="149"/>
        <v>2023</v>
      </c>
      <c r="E893" s="4" t="str">
        <f t="shared" si="150"/>
        <v>Tuesday</v>
      </c>
      <c r="F893" s="4" t="str">
        <f t="shared" si="151"/>
        <v>June</v>
      </c>
      <c r="G893" s="4" t="str">
        <f t="shared" si="152"/>
        <v>2023</v>
      </c>
      <c r="H893" s="3">
        <v>45083</v>
      </c>
      <c r="I893" s="4" t="s">
        <v>907</v>
      </c>
      <c r="J893" s="4" t="s">
        <v>23</v>
      </c>
      <c r="K893" s="4" t="str" cm="1">
        <f t="array" ref="K893">_xlfn.IFS(L893&gt;50,"Senior", L893&gt;=30,"Adult", L893&lt;30,"Young Adult")</f>
        <v>Senior</v>
      </c>
      <c r="L893" s="4">
        <v>64</v>
      </c>
      <c r="M893" s="4" t="s">
        <v>26</v>
      </c>
      <c r="N893" s="4">
        <v>2</v>
      </c>
      <c r="O893" s="5">
        <v>25</v>
      </c>
      <c r="P893">
        <f t="shared" si="153"/>
        <v>50</v>
      </c>
      <c r="Q893" s="14" t="e">
        <f>P893*#REF!</f>
        <v>#REF!</v>
      </c>
      <c r="R893" s="14" t="e">
        <f>P893*#REF!</f>
        <v>#REF!</v>
      </c>
    </row>
    <row r="894" spans="1:18" x14ac:dyDescent="0.35">
      <c r="A894" s="2">
        <v>883</v>
      </c>
      <c r="B894" s="4">
        <f t="shared" si="147"/>
        <v>9</v>
      </c>
      <c r="C894" s="4">
        <f t="shared" si="148"/>
        <v>5</v>
      </c>
      <c r="D894" s="4">
        <f t="shared" si="149"/>
        <v>2023</v>
      </c>
      <c r="E894" s="4" t="str">
        <f t="shared" si="150"/>
        <v>Tuesday</v>
      </c>
      <c r="F894" s="4" t="str">
        <f t="shared" si="151"/>
        <v>May</v>
      </c>
      <c r="G894" s="4" t="str">
        <f t="shared" si="152"/>
        <v>2023</v>
      </c>
      <c r="H894" s="3">
        <v>45055</v>
      </c>
      <c r="I894" s="4" t="s">
        <v>908</v>
      </c>
      <c r="J894" s="4" t="s">
        <v>20</v>
      </c>
      <c r="K894" s="4" t="str" cm="1">
        <f t="array" ref="K894">_xlfn.IFS(L894&gt;50,"Senior", L894&gt;=30,"Adult", L894&lt;30,"Young Adult")</f>
        <v>Adult</v>
      </c>
      <c r="L894" s="4">
        <v>40</v>
      </c>
      <c r="M894" s="4" t="s">
        <v>26</v>
      </c>
      <c r="N894" s="4">
        <v>1</v>
      </c>
      <c r="O894" s="5">
        <v>500</v>
      </c>
      <c r="P894">
        <f t="shared" si="153"/>
        <v>500</v>
      </c>
      <c r="Q894" s="14" t="e">
        <f>P894*#REF!</f>
        <v>#REF!</v>
      </c>
      <c r="R894" s="14" t="e">
        <f>P894*#REF!</f>
        <v>#REF!</v>
      </c>
    </row>
    <row r="895" spans="1:18" x14ac:dyDescent="0.35">
      <c r="A895" s="2">
        <v>884</v>
      </c>
      <c r="B895" s="4">
        <f t="shared" si="147"/>
        <v>29</v>
      </c>
      <c r="C895" s="4">
        <f t="shared" si="148"/>
        <v>4</v>
      </c>
      <c r="D895" s="4">
        <f t="shared" si="149"/>
        <v>2023</v>
      </c>
      <c r="E895" s="4" t="str">
        <f t="shared" si="150"/>
        <v>Saturday</v>
      </c>
      <c r="F895" s="4" t="str">
        <f t="shared" si="151"/>
        <v>April</v>
      </c>
      <c r="G895" s="4" t="str">
        <f t="shared" si="152"/>
        <v>2023</v>
      </c>
      <c r="H895" s="3">
        <v>45045</v>
      </c>
      <c r="I895" s="4" t="s">
        <v>909</v>
      </c>
      <c r="J895" s="4" t="s">
        <v>23</v>
      </c>
      <c r="K895" s="4" t="str" cm="1">
        <f t="array" ref="K895">_xlfn.IFS(L895&gt;50,"Senior", L895&gt;=30,"Adult", L895&lt;30,"Young Adult")</f>
        <v>Young Adult</v>
      </c>
      <c r="L895" s="4">
        <v>26</v>
      </c>
      <c r="M895" s="4" t="s">
        <v>24</v>
      </c>
      <c r="N895" s="4">
        <v>2</v>
      </c>
      <c r="O895" s="5">
        <v>30</v>
      </c>
      <c r="P895">
        <f t="shared" si="153"/>
        <v>60</v>
      </c>
      <c r="Q895" s="14" t="e">
        <f>P895*#REF!</f>
        <v>#REF!</v>
      </c>
      <c r="R895" s="14" t="e">
        <f>P895*#REF!</f>
        <v>#REF!</v>
      </c>
    </row>
    <row r="896" spans="1:18" x14ac:dyDescent="0.35">
      <c r="A896" s="2">
        <v>885</v>
      </c>
      <c r="B896" s="4">
        <f t="shared" si="147"/>
        <v>3</v>
      </c>
      <c r="C896" s="4">
        <f t="shared" si="148"/>
        <v>3</v>
      </c>
      <c r="D896" s="4">
        <f t="shared" si="149"/>
        <v>2023</v>
      </c>
      <c r="E896" s="4" t="str">
        <f t="shared" si="150"/>
        <v>Friday</v>
      </c>
      <c r="F896" s="4" t="str">
        <f t="shared" si="151"/>
        <v>March</v>
      </c>
      <c r="G896" s="4" t="str">
        <f t="shared" si="152"/>
        <v>2023</v>
      </c>
      <c r="H896" s="3">
        <v>44988</v>
      </c>
      <c r="I896" s="4" t="s">
        <v>910</v>
      </c>
      <c r="J896" s="4" t="s">
        <v>23</v>
      </c>
      <c r="K896" s="4" t="str" cm="1">
        <f t="array" ref="K896">_xlfn.IFS(L896&gt;50,"Senior", L896&gt;=30,"Adult", L896&lt;30,"Young Adult")</f>
        <v>Senior</v>
      </c>
      <c r="L896" s="4">
        <v>52</v>
      </c>
      <c r="M896" s="4" t="s">
        <v>24</v>
      </c>
      <c r="N896" s="4">
        <v>4</v>
      </c>
      <c r="O896" s="5">
        <v>30</v>
      </c>
      <c r="P896">
        <f t="shared" si="153"/>
        <v>120</v>
      </c>
      <c r="Q896" s="14" t="e">
        <f>P896*#REF!</f>
        <v>#REF!</v>
      </c>
      <c r="R896" s="14" t="e">
        <f>P896*#REF!</f>
        <v>#REF!</v>
      </c>
    </row>
    <row r="897" spans="1:18" x14ac:dyDescent="0.35">
      <c r="A897" s="2">
        <v>886</v>
      </c>
      <c r="B897" s="4">
        <f t="shared" si="147"/>
        <v>9</v>
      </c>
      <c r="C897" s="4">
        <f t="shared" si="148"/>
        <v>4</v>
      </c>
      <c r="D897" s="4">
        <f t="shared" si="149"/>
        <v>2023</v>
      </c>
      <c r="E897" s="4" t="str">
        <f t="shared" si="150"/>
        <v>Sunday</v>
      </c>
      <c r="F897" s="4" t="str">
        <f t="shared" si="151"/>
        <v>April</v>
      </c>
      <c r="G897" s="4" t="str">
        <f t="shared" si="152"/>
        <v>2023</v>
      </c>
      <c r="H897" s="3">
        <v>45025</v>
      </c>
      <c r="I897" s="4" t="s">
        <v>911</v>
      </c>
      <c r="J897" s="4" t="s">
        <v>20</v>
      </c>
      <c r="K897" s="4" t="str" cm="1">
        <f t="array" ref="K897">_xlfn.IFS(L897&gt;50,"Senior", L897&gt;=30,"Adult", L897&lt;30,"Young Adult")</f>
        <v>Adult</v>
      </c>
      <c r="L897" s="4">
        <v>37</v>
      </c>
      <c r="M897" s="4" t="s">
        <v>26</v>
      </c>
      <c r="N897" s="4">
        <v>3</v>
      </c>
      <c r="O897" s="5">
        <v>300</v>
      </c>
      <c r="P897">
        <f t="shared" si="153"/>
        <v>900</v>
      </c>
      <c r="Q897" s="14" t="e">
        <f>P897*#REF!</f>
        <v>#REF!</v>
      </c>
      <c r="R897" s="14" t="e">
        <f>P897*#REF!</f>
        <v>#REF!</v>
      </c>
    </row>
    <row r="898" spans="1:18" x14ac:dyDescent="0.35">
      <c r="A898" s="2">
        <v>887</v>
      </c>
      <c r="B898" s="4">
        <f t="shared" si="147"/>
        <v>11</v>
      </c>
      <c r="C898" s="4">
        <f t="shared" si="148"/>
        <v>6</v>
      </c>
      <c r="D898" s="4">
        <f t="shared" si="149"/>
        <v>2023</v>
      </c>
      <c r="E898" s="4" t="str">
        <f t="shared" si="150"/>
        <v>Sunday</v>
      </c>
      <c r="F898" s="4" t="str">
        <f t="shared" si="151"/>
        <v>June</v>
      </c>
      <c r="G898" s="4" t="str">
        <f t="shared" si="152"/>
        <v>2023</v>
      </c>
      <c r="H898" s="3">
        <v>45088</v>
      </c>
      <c r="I898" s="4" t="s">
        <v>912</v>
      </c>
      <c r="J898" s="4" t="s">
        <v>20</v>
      </c>
      <c r="K898" s="4" t="str" cm="1">
        <f t="array" ref="K898">_xlfn.IFS(L898&gt;50,"Senior", L898&gt;=30,"Adult", L898&lt;30,"Young Adult")</f>
        <v>Senior</v>
      </c>
      <c r="L898" s="4">
        <v>59</v>
      </c>
      <c r="M898" s="4" t="s">
        <v>24</v>
      </c>
      <c r="N898" s="4">
        <v>4</v>
      </c>
      <c r="O898" s="5">
        <v>25</v>
      </c>
      <c r="P898">
        <f t="shared" si="153"/>
        <v>100</v>
      </c>
      <c r="Q898" s="14" t="e">
        <f>P898*#REF!</f>
        <v>#REF!</v>
      </c>
      <c r="R898" s="14" t="e">
        <f>P898*#REF!</f>
        <v>#REF!</v>
      </c>
    </row>
    <row r="899" spans="1:18" x14ac:dyDescent="0.35">
      <c r="A899" s="2">
        <v>888</v>
      </c>
      <c r="B899" s="4">
        <f t="shared" si="147"/>
        <v>3</v>
      </c>
      <c r="C899" s="4">
        <f t="shared" si="148"/>
        <v>3</v>
      </c>
      <c r="D899" s="4">
        <f t="shared" si="149"/>
        <v>2023</v>
      </c>
      <c r="E899" s="4" t="str">
        <f t="shared" si="150"/>
        <v>Friday</v>
      </c>
      <c r="F899" s="4" t="str">
        <f t="shared" si="151"/>
        <v>March</v>
      </c>
      <c r="G899" s="4" t="str">
        <f t="shared" si="152"/>
        <v>2023</v>
      </c>
      <c r="H899" s="3">
        <v>44988</v>
      </c>
      <c r="I899" s="4" t="s">
        <v>913</v>
      </c>
      <c r="J899" s="4" t="s">
        <v>23</v>
      </c>
      <c r="K899" s="4" t="str" cm="1">
        <f t="array" ref="K899">_xlfn.IFS(L899&gt;50,"Senior", L899&gt;=30,"Adult", L899&lt;30,"Young Adult")</f>
        <v>Senior</v>
      </c>
      <c r="L899" s="4">
        <v>52</v>
      </c>
      <c r="M899" s="4" t="s">
        <v>26</v>
      </c>
      <c r="N899" s="4">
        <v>4</v>
      </c>
      <c r="O899" s="5">
        <v>25</v>
      </c>
      <c r="P899">
        <f t="shared" si="153"/>
        <v>100</v>
      </c>
      <c r="Q899" s="14" t="e">
        <f>P899*#REF!</f>
        <v>#REF!</v>
      </c>
      <c r="R899" s="14" t="e">
        <f>P899*#REF!</f>
        <v>#REF!</v>
      </c>
    </row>
    <row r="900" spans="1:18" x14ac:dyDescent="0.35">
      <c r="A900" s="2">
        <v>889</v>
      </c>
      <c r="B900" s="4">
        <f t="shared" si="147"/>
        <v>2</v>
      </c>
      <c r="C900" s="4">
        <f t="shared" si="148"/>
        <v>10</v>
      </c>
      <c r="D900" s="4">
        <f t="shared" si="149"/>
        <v>2023</v>
      </c>
      <c r="E900" s="4" t="str">
        <f t="shared" si="150"/>
        <v>Monday</v>
      </c>
      <c r="F900" s="4" t="str">
        <f t="shared" si="151"/>
        <v>October</v>
      </c>
      <c r="G900" s="4" t="str">
        <f t="shared" si="152"/>
        <v>2023</v>
      </c>
      <c r="H900" s="3">
        <v>45201</v>
      </c>
      <c r="I900" s="4" t="s">
        <v>914</v>
      </c>
      <c r="J900" s="4" t="s">
        <v>23</v>
      </c>
      <c r="K900" s="4" t="str" cm="1">
        <f t="array" ref="K900">_xlfn.IFS(L900&gt;50,"Senior", L900&gt;=30,"Adult", L900&lt;30,"Young Adult")</f>
        <v>Adult</v>
      </c>
      <c r="L900" s="4">
        <v>35</v>
      </c>
      <c r="M900" s="4" t="s">
        <v>26</v>
      </c>
      <c r="N900" s="4">
        <v>1</v>
      </c>
      <c r="O900" s="5">
        <v>50</v>
      </c>
      <c r="P900">
        <f t="shared" si="153"/>
        <v>50</v>
      </c>
      <c r="Q900" s="14" t="e">
        <f>P900*#REF!</f>
        <v>#REF!</v>
      </c>
      <c r="R900" s="14" t="e">
        <f>P900*#REF!</f>
        <v>#REF!</v>
      </c>
    </row>
    <row r="901" spans="1:18" x14ac:dyDescent="0.35">
      <c r="A901" s="2">
        <v>890</v>
      </c>
      <c r="B901" s="4">
        <f t="shared" si="147"/>
        <v>20</v>
      </c>
      <c r="C901" s="4">
        <f t="shared" si="148"/>
        <v>12</v>
      </c>
      <c r="D901" s="4">
        <f t="shared" si="149"/>
        <v>2023</v>
      </c>
      <c r="E901" s="4" t="str">
        <f t="shared" si="150"/>
        <v>Wednesday</v>
      </c>
      <c r="F901" s="4" t="str">
        <f t="shared" si="151"/>
        <v>December</v>
      </c>
      <c r="G901" s="4" t="str">
        <f t="shared" si="152"/>
        <v>2023</v>
      </c>
      <c r="H901" s="3">
        <v>45280</v>
      </c>
      <c r="I901" s="4" t="s">
        <v>915</v>
      </c>
      <c r="J901" s="4" t="s">
        <v>20</v>
      </c>
      <c r="K901" s="4" t="str" cm="1">
        <f t="array" ref="K901">_xlfn.IFS(L901&gt;50,"Senior", L901&gt;=30,"Adult", L901&lt;30,"Young Adult")</f>
        <v>Adult</v>
      </c>
      <c r="L901" s="4">
        <v>34</v>
      </c>
      <c r="M901" s="4" t="s">
        <v>26</v>
      </c>
      <c r="N901" s="4">
        <v>2</v>
      </c>
      <c r="O901" s="5">
        <v>25</v>
      </c>
      <c r="P901">
        <f t="shared" si="153"/>
        <v>50</v>
      </c>
      <c r="Q901" s="14" t="e">
        <f>P901*#REF!</f>
        <v>#REF!</v>
      </c>
      <c r="R901" s="14" t="e">
        <f>P901*#REF!</f>
        <v>#REF!</v>
      </c>
    </row>
    <row r="902" spans="1:18" x14ac:dyDescent="0.35">
      <c r="A902" s="2">
        <v>891</v>
      </c>
      <c r="B902" s="4">
        <f t="shared" si="147"/>
        <v>5</v>
      </c>
      <c r="C902" s="4">
        <f t="shared" si="148"/>
        <v>4</v>
      </c>
      <c r="D902" s="4">
        <f t="shared" si="149"/>
        <v>2023</v>
      </c>
      <c r="E902" s="4" t="str">
        <f t="shared" si="150"/>
        <v>Wednesday</v>
      </c>
      <c r="F902" s="4" t="str">
        <f t="shared" si="151"/>
        <v>April</v>
      </c>
      <c r="G902" s="4" t="str">
        <f t="shared" si="152"/>
        <v>2023</v>
      </c>
      <c r="H902" s="3">
        <v>45021</v>
      </c>
      <c r="I902" s="4" t="s">
        <v>916</v>
      </c>
      <c r="J902" s="4" t="s">
        <v>20</v>
      </c>
      <c r="K902" s="4" t="str" cm="1">
        <f t="array" ref="K902">_xlfn.IFS(L902&gt;50,"Senior", L902&gt;=30,"Adult", L902&lt;30,"Young Adult")</f>
        <v>Adult</v>
      </c>
      <c r="L902" s="4">
        <v>41</v>
      </c>
      <c r="M902" s="4" t="s">
        <v>26</v>
      </c>
      <c r="N902" s="4">
        <v>3</v>
      </c>
      <c r="O902" s="5">
        <v>300</v>
      </c>
      <c r="P902">
        <f t="shared" si="153"/>
        <v>900</v>
      </c>
      <c r="Q902" s="14" t="e">
        <f>P902*#REF!</f>
        <v>#REF!</v>
      </c>
      <c r="R902" s="14" t="e">
        <f>P902*#REF!</f>
        <v>#REF!</v>
      </c>
    </row>
    <row r="903" spans="1:18" x14ac:dyDescent="0.35">
      <c r="A903" s="2">
        <v>892</v>
      </c>
      <c r="B903" s="4">
        <f t="shared" si="147"/>
        <v>9</v>
      </c>
      <c r="C903" s="4">
        <f t="shared" si="148"/>
        <v>4</v>
      </c>
      <c r="D903" s="4">
        <f t="shared" si="149"/>
        <v>2023</v>
      </c>
      <c r="E903" s="4" t="str">
        <f t="shared" si="150"/>
        <v>Sunday</v>
      </c>
      <c r="F903" s="4" t="str">
        <f t="shared" si="151"/>
        <v>April</v>
      </c>
      <c r="G903" s="4" t="str">
        <f t="shared" si="152"/>
        <v>2023</v>
      </c>
      <c r="H903" s="3">
        <v>45025</v>
      </c>
      <c r="I903" s="4" t="s">
        <v>917</v>
      </c>
      <c r="J903" s="4" t="s">
        <v>20</v>
      </c>
      <c r="K903" s="4" t="str" cm="1">
        <f t="array" ref="K903">_xlfn.IFS(L903&gt;50,"Senior", L903&gt;=30,"Adult", L903&lt;30,"Young Adult")</f>
        <v>Young Adult</v>
      </c>
      <c r="L903" s="4">
        <v>20</v>
      </c>
      <c r="M903" s="4" t="s">
        <v>26</v>
      </c>
      <c r="N903" s="4">
        <v>1</v>
      </c>
      <c r="O903" s="5">
        <v>50</v>
      </c>
      <c r="P903">
        <f t="shared" si="153"/>
        <v>50</v>
      </c>
      <c r="Q903" s="14" t="e">
        <f>P903*#REF!</f>
        <v>#REF!</v>
      </c>
      <c r="R903" s="14" t="e">
        <f>P903*#REF!</f>
        <v>#REF!</v>
      </c>
    </row>
    <row r="904" spans="1:18" x14ac:dyDescent="0.35">
      <c r="A904" s="2">
        <v>893</v>
      </c>
      <c r="B904" s="4">
        <f t="shared" si="147"/>
        <v>21</v>
      </c>
      <c r="C904" s="4">
        <f t="shared" si="148"/>
        <v>4</v>
      </c>
      <c r="D904" s="4">
        <f t="shared" si="149"/>
        <v>2023</v>
      </c>
      <c r="E904" s="4" t="str">
        <f t="shared" si="150"/>
        <v>Friday</v>
      </c>
      <c r="F904" s="4" t="str">
        <f t="shared" si="151"/>
        <v>April</v>
      </c>
      <c r="G904" s="4" t="str">
        <f t="shared" si="152"/>
        <v>2023</v>
      </c>
      <c r="H904" s="3">
        <v>45037</v>
      </c>
      <c r="I904" s="4" t="s">
        <v>918</v>
      </c>
      <c r="J904" s="4" t="s">
        <v>20</v>
      </c>
      <c r="K904" s="4" t="str" cm="1">
        <f t="array" ref="K904">_xlfn.IFS(L904&gt;50,"Senior", L904&gt;=30,"Adult", L904&lt;30,"Young Adult")</f>
        <v>Adult</v>
      </c>
      <c r="L904" s="4">
        <v>49</v>
      </c>
      <c r="M904" s="4" t="s">
        <v>26</v>
      </c>
      <c r="N904" s="4">
        <v>1</v>
      </c>
      <c r="O904" s="5">
        <v>50</v>
      </c>
      <c r="P904">
        <f t="shared" si="153"/>
        <v>50</v>
      </c>
      <c r="Q904" s="14" t="e">
        <f>P904*#REF!</f>
        <v>#REF!</v>
      </c>
      <c r="R904" s="14" t="e">
        <f>P904*#REF!</f>
        <v>#REF!</v>
      </c>
    </row>
    <row r="905" spans="1:18" x14ac:dyDescent="0.35">
      <c r="A905" s="2">
        <v>894</v>
      </c>
      <c r="B905" s="4">
        <f t="shared" si="147"/>
        <v>5</v>
      </c>
      <c r="C905" s="4">
        <f t="shared" si="148"/>
        <v>9</v>
      </c>
      <c r="D905" s="4">
        <f t="shared" si="149"/>
        <v>2023</v>
      </c>
      <c r="E905" s="4" t="str">
        <f t="shared" si="150"/>
        <v>Tuesday</v>
      </c>
      <c r="F905" s="4" t="str">
        <f t="shared" si="151"/>
        <v>September</v>
      </c>
      <c r="G905" s="4" t="str">
        <f t="shared" si="152"/>
        <v>2023</v>
      </c>
      <c r="H905" s="3">
        <v>45174</v>
      </c>
      <c r="I905" s="4" t="s">
        <v>919</v>
      </c>
      <c r="J905" s="4" t="s">
        <v>20</v>
      </c>
      <c r="K905" s="4" t="str" cm="1">
        <f t="array" ref="K905">_xlfn.IFS(L905&gt;50,"Senior", L905&gt;=30,"Adult", L905&lt;30,"Young Adult")</f>
        <v>Senior</v>
      </c>
      <c r="L905" s="4">
        <v>52</v>
      </c>
      <c r="M905" s="4" t="s">
        <v>26</v>
      </c>
      <c r="N905" s="4">
        <v>1</v>
      </c>
      <c r="O905" s="5">
        <v>30</v>
      </c>
      <c r="P905">
        <f t="shared" si="153"/>
        <v>30</v>
      </c>
      <c r="Q905" s="14" t="e">
        <f>P905*#REF!</f>
        <v>#REF!</v>
      </c>
      <c r="R905" s="14" t="e">
        <f>P905*#REF!</f>
        <v>#REF!</v>
      </c>
    </row>
    <row r="906" spans="1:18" x14ac:dyDescent="0.35">
      <c r="A906" s="2">
        <v>895</v>
      </c>
      <c r="B906" s="4">
        <f t="shared" si="147"/>
        <v>22</v>
      </c>
      <c r="C906" s="4">
        <f t="shared" si="148"/>
        <v>5</v>
      </c>
      <c r="D906" s="4">
        <f t="shared" si="149"/>
        <v>2023</v>
      </c>
      <c r="E906" s="4" t="str">
        <f t="shared" si="150"/>
        <v>Monday</v>
      </c>
      <c r="F906" s="4" t="str">
        <f t="shared" si="151"/>
        <v>May</v>
      </c>
      <c r="G906" s="4" t="str">
        <f t="shared" si="152"/>
        <v>2023</v>
      </c>
      <c r="H906" s="3">
        <v>45068</v>
      </c>
      <c r="I906" s="4" t="s">
        <v>920</v>
      </c>
      <c r="J906" s="4" t="s">
        <v>23</v>
      </c>
      <c r="K906" s="4" t="str" cm="1">
        <f t="array" ref="K906">_xlfn.IFS(L906&gt;50,"Senior", L906&gt;=30,"Adult", L906&lt;30,"Young Adult")</f>
        <v>Senior</v>
      </c>
      <c r="L906" s="4">
        <v>55</v>
      </c>
      <c r="M906" s="4" t="s">
        <v>24</v>
      </c>
      <c r="N906" s="4">
        <v>4</v>
      </c>
      <c r="O906" s="5">
        <v>30</v>
      </c>
      <c r="P906">
        <f t="shared" si="153"/>
        <v>120</v>
      </c>
      <c r="Q906" s="14" t="e">
        <f>P906*#REF!</f>
        <v>#REF!</v>
      </c>
      <c r="R906" s="14" t="e">
        <f>P906*#REF!</f>
        <v>#REF!</v>
      </c>
    </row>
    <row r="907" spans="1:18" x14ac:dyDescent="0.35">
      <c r="A907" s="2">
        <v>896</v>
      </c>
      <c r="B907" s="4">
        <f t="shared" si="147"/>
        <v>29</v>
      </c>
      <c r="C907" s="4">
        <f t="shared" si="148"/>
        <v>10</v>
      </c>
      <c r="D907" s="4">
        <f t="shared" si="149"/>
        <v>2023</v>
      </c>
      <c r="E907" s="4" t="str">
        <f t="shared" si="150"/>
        <v>Sunday</v>
      </c>
      <c r="F907" s="4" t="str">
        <f t="shared" si="151"/>
        <v>October</v>
      </c>
      <c r="G907" s="4" t="str">
        <f t="shared" si="152"/>
        <v>2023</v>
      </c>
      <c r="H907" s="3">
        <v>45228</v>
      </c>
      <c r="I907" s="4" t="s">
        <v>921</v>
      </c>
      <c r="J907" s="4" t="s">
        <v>23</v>
      </c>
      <c r="K907" s="4" t="str" cm="1">
        <f t="array" ref="K907">_xlfn.IFS(L907&gt;50,"Senior", L907&gt;=30,"Adult", L907&lt;30,"Young Adult")</f>
        <v>Adult</v>
      </c>
      <c r="L907" s="4">
        <v>30</v>
      </c>
      <c r="M907" s="4" t="s">
        <v>26</v>
      </c>
      <c r="N907" s="4">
        <v>2</v>
      </c>
      <c r="O907" s="5">
        <v>25</v>
      </c>
      <c r="P907">
        <f t="shared" si="153"/>
        <v>50</v>
      </c>
      <c r="Q907" s="14" t="e">
        <f>P907*#REF!</f>
        <v>#REF!</v>
      </c>
      <c r="R907" s="14" t="e">
        <f>P907*#REF!</f>
        <v>#REF!</v>
      </c>
    </row>
    <row r="908" spans="1:18" x14ac:dyDescent="0.35">
      <c r="A908" s="2">
        <v>897</v>
      </c>
      <c r="B908" s="4">
        <f t="shared" ref="B908:B971" si="156">DAY(H908)</f>
        <v>26</v>
      </c>
      <c r="C908" s="4">
        <f t="shared" ref="C908:C971" si="157">MONTH(H908)</f>
        <v>9</v>
      </c>
      <c r="D908" s="4">
        <f t="shared" ref="D908:D971" si="158">YEAR(H908)</f>
        <v>2023</v>
      </c>
      <c r="E908" s="4" t="str">
        <f t="shared" ref="E908:E971" si="159">TEXT(H908,"DDDD")</f>
        <v>Tuesday</v>
      </c>
      <c r="F908" s="4" t="str">
        <f t="shared" ref="F908:F971" si="160">TEXT(H908,"MMMM")</f>
        <v>September</v>
      </c>
      <c r="G908" s="4" t="str">
        <f t="shared" ref="G908:G971" si="161">TEXT(H908,"YYYY")</f>
        <v>2023</v>
      </c>
      <c r="H908" s="3">
        <v>45195</v>
      </c>
      <c r="I908" s="4" t="s">
        <v>922</v>
      </c>
      <c r="J908" s="4" t="s">
        <v>23</v>
      </c>
      <c r="K908" s="4" t="str" cm="1">
        <f t="array" ref="K908">_xlfn.IFS(L908&gt;50,"Senior", L908&gt;=30,"Adult", L908&lt;30,"Young Adult")</f>
        <v>Senior</v>
      </c>
      <c r="L908" s="4">
        <v>64</v>
      </c>
      <c r="M908" s="4" t="s">
        <v>26</v>
      </c>
      <c r="N908" s="4">
        <v>2</v>
      </c>
      <c r="O908" s="5">
        <v>50</v>
      </c>
      <c r="P908">
        <f t="shared" ref="P908:P971" si="162">O908*N908</f>
        <v>100</v>
      </c>
      <c r="Q908" s="14" t="e">
        <f>P908*#REF!</f>
        <v>#REF!</v>
      </c>
      <c r="R908" s="14" t="e">
        <f>P908*#REF!</f>
        <v>#REF!</v>
      </c>
    </row>
    <row r="909" spans="1:18" x14ac:dyDescent="0.35">
      <c r="A909" s="2">
        <v>898</v>
      </c>
      <c r="B909" s="4">
        <f t="shared" si="156"/>
        <v>2</v>
      </c>
      <c r="C909" s="4">
        <f t="shared" si="157"/>
        <v>11</v>
      </c>
      <c r="D909" s="4">
        <f t="shared" si="158"/>
        <v>2023</v>
      </c>
      <c r="E909" s="4" t="str">
        <f t="shared" si="159"/>
        <v>Thursday</v>
      </c>
      <c r="F909" s="4" t="str">
        <f t="shared" si="160"/>
        <v>November</v>
      </c>
      <c r="G909" s="4" t="str">
        <f t="shared" si="161"/>
        <v>2023</v>
      </c>
      <c r="H909" s="3">
        <v>45232</v>
      </c>
      <c r="I909" s="4" t="s">
        <v>923</v>
      </c>
      <c r="J909" s="4" t="s">
        <v>23</v>
      </c>
      <c r="K909" s="4" t="str" cm="1">
        <f t="array" ref="K909">_xlfn.IFS(L909&gt;50,"Senior", L909&gt;=30,"Adult", L909&lt;30,"Young Adult")</f>
        <v>Adult</v>
      </c>
      <c r="L909" s="4">
        <v>42</v>
      </c>
      <c r="M909" s="4" t="s">
        <v>24</v>
      </c>
      <c r="N909" s="4">
        <v>3</v>
      </c>
      <c r="O909" s="5">
        <v>30</v>
      </c>
      <c r="P909">
        <f t="shared" si="162"/>
        <v>90</v>
      </c>
      <c r="Q909" s="14" t="e">
        <f>P909*#REF!</f>
        <v>#REF!</v>
      </c>
      <c r="R909" s="14" t="e">
        <f>P909*#REF!</f>
        <v>#REF!</v>
      </c>
    </row>
    <row r="910" spans="1:18" x14ac:dyDescent="0.35">
      <c r="A910" s="2">
        <v>899</v>
      </c>
      <c r="B910" s="4">
        <f t="shared" si="156"/>
        <v>25</v>
      </c>
      <c r="C910" s="4">
        <f t="shared" si="157"/>
        <v>5</v>
      </c>
      <c r="D910" s="4">
        <f t="shared" si="158"/>
        <v>2023</v>
      </c>
      <c r="E910" s="4" t="str">
        <f t="shared" si="159"/>
        <v>Thursday</v>
      </c>
      <c r="F910" s="4" t="str">
        <f t="shared" si="160"/>
        <v>May</v>
      </c>
      <c r="G910" s="4" t="str">
        <f t="shared" si="161"/>
        <v>2023</v>
      </c>
      <c r="H910" s="3">
        <v>45071</v>
      </c>
      <c r="I910" s="4" t="s">
        <v>924</v>
      </c>
      <c r="J910" s="4" t="s">
        <v>20</v>
      </c>
      <c r="K910" s="4" t="str" cm="1">
        <f t="array" ref="K910">_xlfn.IFS(L910&gt;50,"Senior", L910&gt;=30,"Adult", L910&lt;30,"Young Adult")</f>
        <v>Young Adult</v>
      </c>
      <c r="L910" s="4">
        <v>26</v>
      </c>
      <c r="M910" s="4" t="s">
        <v>24</v>
      </c>
      <c r="N910" s="4">
        <v>2</v>
      </c>
      <c r="O910" s="5">
        <v>300</v>
      </c>
      <c r="P910">
        <f t="shared" si="162"/>
        <v>600</v>
      </c>
      <c r="Q910" s="14" t="e">
        <f>P910*#REF!</f>
        <v>#REF!</v>
      </c>
      <c r="R910" s="14" t="e">
        <f>P910*#REF!</f>
        <v>#REF!</v>
      </c>
    </row>
    <row r="911" spans="1:18" x14ac:dyDescent="0.35">
      <c r="A911" s="2">
        <v>900</v>
      </c>
      <c r="B911" s="4">
        <f t="shared" si="156"/>
        <v>21</v>
      </c>
      <c r="C911" s="4">
        <f t="shared" si="157"/>
        <v>2</v>
      </c>
      <c r="D911" s="4">
        <f t="shared" si="158"/>
        <v>2023</v>
      </c>
      <c r="E911" s="4" t="str">
        <f t="shared" si="159"/>
        <v>Tuesday</v>
      </c>
      <c r="F911" s="4" t="str">
        <f t="shared" si="160"/>
        <v>February</v>
      </c>
      <c r="G911" s="4" t="str">
        <f t="shared" si="161"/>
        <v>2023</v>
      </c>
      <c r="H911" s="3">
        <v>44978</v>
      </c>
      <c r="I911" s="4" t="s">
        <v>925</v>
      </c>
      <c r="J911" s="4" t="s">
        <v>20</v>
      </c>
      <c r="K911" s="4" t="str" cm="1">
        <f t="array" ref="K911">_xlfn.IFS(L911&gt;50,"Senior", L911&gt;=30,"Adult", L911&lt;30,"Young Adult")</f>
        <v>Young Adult</v>
      </c>
      <c r="L911" s="4">
        <v>21</v>
      </c>
      <c r="M911" s="4" t="s">
        <v>24</v>
      </c>
      <c r="N911" s="4">
        <v>2</v>
      </c>
      <c r="O911" s="5">
        <v>30</v>
      </c>
      <c r="P911">
        <f t="shared" si="162"/>
        <v>60</v>
      </c>
      <c r="Q911" s="14" t="e">
        <f>P911*#REF!</f>
        <v>#REF!</v>
      </c>
      <c r="R911" s="14" t="e">
        <f>P911*#REF!</f>
        <v>#REF!</v>
      </c>
    </row>
    <row r="912" spans="1:18" x14ac:dyDescent="0.35">
      <c r="A912" s="2">
        <v>901</v>
      </c>
      <c r="B912" s="4">
        <f t="shared" si="156"/>
        <v>10</v>
      </c>
      <c r="C912" s="4">
        <f t="shared" si="157"/>
        <v>4</v>
      </c>
      <c r="D912" s="4">
        <f t="shared" si="158"/>
        <v>2023</v>
      </c>
      <c r="E912" s="4" t="str">
        <f t="shared" si="159"/>
        <v>Monday</v>
      </c>
      <c r="F912" s="4" t="str">
        <f t="shared" si="160"/>
        <v>April</v>
      </c>
      <c r="G912" s="4" t="str">
        <f t="shared" si="161"/>
        <v>2023</v>
      </c>
      <c r="H912" s="3">
        <v>45026</v>
      </c>
      <c r="I912" s="4" t="s">
        <v>926</v>
      </c>
      <c r="J912" s="4" t="s">
        <v>20</v>
      </c>
      <c r="K912" s="4" t="str" cm="1">
        <f t="array" ref="K912">_xlfn.IFS(L912&gt;50,"Senior", L912&gt;=30,"Adult", L912&lt;30,"Young Adult")</f>
        <v>Adult</v>
      </c>
      <c r="L912" s="4">
        <v>31</v>
      </c>
      <c r="M912" s="4" t="s">
        <v>26</v>
      </c>
      <c r="N912" s="4">
        <v>1</v>
      </c>
      <c r="O912" s="5">
        <v>30</v>
      </c>
      <c r="P912">
        <f t="shared" si="162"/>
        <v>30</v>
      </c>
      <c r="Q912" s="14" t="e">
        <f>P912*#REF!</f>
        <v>#REF!</v>
      </c>
      <c r="R912" s="14" t="e">
        <f>P912*#REF!</f>
        <v>#REF!</v>
      </c>
    </row>
    <row r="913" spans="1:18" x14ac:dyDescent="0.35">
      <c r="A913" s="2">
        <v>902</v>
      </c>
      <c r="B913" s="4">
        <f t="shared" si="156"/>
        <v>1</v>
      </c>
      <c r="C913" s="4">
        <f t="shared" si="157"/>
        <v>6</v>
      </c>
      <c r="D913" s="4">
        <f t="shared" si="158"/>
        <v>2023</v>
      </c>
      <c r="E913" s="4" t="str">
        <f t="shared" si="159"/>
        <v>Thursday</v>
      </c>
      <c r="F913" s="4" t="str">
        <f t="shared" si="160"/>
        <v>June</v>
      </c>
      <c r="G913" s="4" t="str">
        <f t="shared" si="161"/>
        <v>2023</v>
      </c>
      <c r="H913" s="3">
        <v>45078</v>
      </c>
      <c r="I913" s="4" t="s">
        <v>927</v>
      </c>
      <c r="J913" s="4" t="s">
        <v>23</v>
      </c>
      <c r="K913" s="4" t="str" cm="1">
        <f t="array" ref="K913">_xlfn.IFS(L913&gt;50,"Senior", L913&gt;=30,"Adult", L913&lt;30,"Young Adult")</f>
        <v>Senior</v>
      </c>
      <c r="L913" s="4">
        <v>54</v>
      </c>
      <c r="M913" s="4" t="s">
        <v>21</v>
      </c>
      <c r="N913" s="4">
        <v>1</v>
      </c>
      <c r="O913" s="5">
        <v>50</v>
      </c>
      <c r="P913">
        <f t="shared" si="162"/>
        <v>50</v>
      </c>
      <c r="Q913" s="14">
        <f t="shared" ref="Q913:Q914" si="163">P913*$I$4</f>
        <v>0.75</v>
      </c>
      <c r="R913" s="14">
        <f t="shared" ref="R913:R914" si="164">P913*$I$5</f>
        <v>1</v>
      </c>
    </row>
    <row r="914" spans="1:18" x14ac:dyDescent="0.35">
      <c r="A914" s="2">
        <v>903</v>
      </c>
      <c r="B914" s="4">
        <f t="shared" si="156"/>
        <v>27</v>
      </c>
      <c r="C914" s="4">
        <f t="shared" si="157"/>
        <v>4</v>
      </c>
      <c r="D914" s="4">
        <f t="shared" si="158"/>
        <v>2023</v>
      </c>
      <c r="E914" s="4" t="str">
        <f t="shared" si="159"/>
        <v>Thursday</v>
      </c>
      <c r="F914" s="4" t="str">
        <f t="shared" si="160"/>
        <v>April</v>
      </c>
      <c r="G914" s="4" t="str">
        <f t="shared" si="161"/>
        <v>2023</v>
      </c>
      <c r="H914" s="3">
        <v>45043</v>
      </c>
      <c r="I914" s="4" t="s">
        <v>928</v>
      </c>
      <c r="J914" s="4" t="s">
        <v>23</v>
      </c>
      <c r="K914" s="4" t="str" cm="1">
        <f t="array" ref="K914">_xlfn.IFS(L914&gt;50,"Senior", L914&gt;=30,"Adult", L914&lt;30,"Young Adult")</f>
        <v>Senior</v>
      </c>
      <c r="L914" s="4">
        <v>51</v>
      </c>
      <c r="M914" s="4" t="s">
        <v>21</v>
      </c>
      <c r="N914" s="4">
        <v>4</v>
      </c>
      <c r="O914" s="5">
        <v>50</v>
      </c>
      <c r="P914">
        <f t="shared" si="162"/>
        <v>200</v>
      </c>
      <c r="Q914" s="14">
        <f t="shared" si="163"/>
        <v>3</v>
      </c>
      <c r="R914" s="14">
        <f t="shared" si="164"/>
        <v>4</v>
      </c>
    </row>
    <row r="915" spans="1:18" x14ac:dyDescent="0.35">
      <c r="A915" s="2">
        <v>904</v>
      </c>
      <c r="B915" s="4">
        <f t="shared" si="156"/>
        <v>4</v>
      </c>
      <c r="C915" s="4">
        <f t="shared" si="157"/>
        <v>7</v>
      </c>
      <c r="D915" s="4">
        <f t="shared" si="158"/>
        <v>2023</v>
      </c>
      <c r="E915" s="4" t="str">
        <f t="shared" si="159"/>
        <v>Tuesday</v>
      </c>
      <c r="F915" s="4" t="str">
        <f t="shared" si="160"/>
        <v>July</v>
      </c>
      <c r="G915" s="4" t="str">
        <f t="shared" si="161"/>
        <v>2023</v>
      </c>
      <c r="H915" s="3">
        <v>45111</v>
      </c>
      <c r="I915" s="4" t="s">
        <v>929</v>
      </c>
      <c r="J915" s="4" t="s">
        <v>20</v>
      </c>
      <c r="K915" s="4" t="str" cm="1">
        <f t="array" ref="K915">_xlfn.IFS(L915&gt;50,"Senior", L915&gt;=30,"Adult", L915&lt;30,"Young Adult")</f>
        <v>Young Adult</v>
      </c>
      <c r="L915" s="4">
        <v>28</v>
      </c>
      <c r="M915" s="4" t="s">
        <v>24</v>
      </c>
      <c r="N915" s="4">
        <v>1</v>
      </c>
      <c r="O915" s="5">
        <v>500</v>
      </c>
      <c r="P915">
        <f t="shared" si="162"/>
        <v>500</v>
      </c>
      <c r="Q915" s="14" t="e">
        <f>P915*#REF!</f>
        <v>#REF!</v>
      </c>
      <c r="R915" s="14" t="e">
        <f>P915*#REF!</f>
        <v>#REF!</v>
      </c>
    </row>
    <row r="916" spans="1:18" x14ac:dyDescent="0.35">
      <c r="A916" s="2">
        <v>905</v>
      </c>
      <c r="B916" s="4">
        <f t="shared" si="156"/>
        <v>2</v>
      </c>
      <c r="C916" s="4">
        <f t="shared" si="157"/>
        <v>4</v>
      </c>
      <c r="D916" s="4">
        <f t="shared" si="158"/>
        <v>2023</v>
      </c>
      <c r="E916" s="4" t="str">
        <f t="shared" si="159"/>
        <v>Sunday</v>
      </c>
      <c r="F916" s="4" t="str">
        <f t="shared" si="160"/>
        <v>April</v>
      </c>
      <c r="G916" s="4" t="str">
        <f t="shared" si="161"/>
        <v>2023</v>
      </c>
      <c r="H916" s="3">
        <v>45018</v>
      </c>
      <c r="I916" s="4" t="s">
        <v>930</v>
      </c>
      <c r="J916" s="4" t="s">
        <v>20</v>
      </c>
      <c r="K916" s="4" t="str" cm="1">
        <f t="array" ref="K916">_xlfn.IFS(L916&gt;50,"Senior", L916&gt;=30,"Adult", L916&lt;30,"Young Adult")</f>
        <v>Senior</v>
      </c>
      <c r="L916" s="4">
        <v>58</v>
      </c>
      <c r="M916" s="4" t="s">
        <v>21</v>
      </c>
      <c r="N916" s="4">
        <v>1</v>
      </c>
      <c r="O916" s="5">
        <v>300</v>
      </c>
      <c r="P916">
        <f t="shared" si="162"/>
        <v>300</v>
      </c>
      <c r="Q916" s="14">
        <f>P916*$I$4</f>
        <v>4.5</v>
      </c>
      <c r="R916" s="14">
        <f>P916*$I$5</f>
        <v>6</v>
      </c>
    </row>
    <row r="917" spans="1:18" x14ac:dyDescent="0.35">
      <c r="A917" s="2">
        <v>906</v>
      </c>
      <c r="B917" s="4">
        <f t="shared" si="156"/>
        <v>4</v>
      </c>
      <c r="C917" s="4">
        <f t="shared" si="157"/>
        <v>6</v>
      </c>
      <c r="D917" s="4">
        <f t="shared" si="158"/>
        <v>2023</v>
      </c>
      <c r="E917" s="4" t="str">
        <f t="shared" si="159"/>
        <v>Sunday</v>
      </c>
      <c r="F917" s="4" t="str">
        <f t="shared" si="160"/>
        <v>June</v>
      </c>
      <c r="G917" s="4" t="str">
        <f t="shared" si="161"/>
        <v>2023</v>
      </c>
      <c r="H917" s="3">
        <v>45081</v>
      </c>
      <c r="I917" s="4" t="s">
        <v>931</v>
      </c>
      <c r="J917" s="4" t="s">
        <v>23</v>
      </c>
      <c r="K917" s="4" t="str" cm="1">
        <f t="array" ref="K917">_xlfn.IFS(L917&gt;50,"Senior", L917&gt;=30,"Adult", L917&lt;30,"Young Adult")</f>
        <v>Young Adult</v>
      </c>
      <c r="L917" s="4">
        <v>20</v>
      </c>
      <c r="M917" s="4" t="s">
        <v>24</v>
      </c>
      <c r="N917" s="4">
        <v>1</v>
      </c>
      <c r="O917" s="5">
        <v>50</v>
      </c>
      <c r="P917">
        <f t="shared" si="162"/>
        <v>50</v>
      </c>
      <c r="Q917" s="14" t="e">
        <f>P917*#REF!</f>
        <v>#REF!</v>
      </c>
      <c r="R917" s="14" t="e">
        <f>P917*#REF!</f>
        <v>#REF!</v>
      </c>
    </row>
    <row r="918" spans="1:18" x14ac:dyDescent="0.35">
      <c r="A918" s="2">
        <v>907</v>
      </c>
      <c r="B918" s="4">
        <f t="shared" si="156"/>
        <v>8</v>
      </c>
      <c r="C918" s="4">
        <f t="shared" si="157"/>
        <v>1</v>
      </c>
      <c r="D918" s="4">
        <f t="shared" si="158"/>
        <v>2023</v>
      </c>
      <c r="E918" s="4" t="str">
        <f t="shared" si="159"/>
        <v>Sunday</v>
      </c>
      <c r="F918" s="4" t="str">
        <f t="shared" si="160"/>
        <v>January</v>
      </c>
      <c r="G918" s="4" t="str">
        <f t="shared" si="161"/>
        <v>2023</v>
      </c>
      <c r="H918" s="3">
        <v>44934</v>
      </c>
      <c r="I918" s="4" t="s">
        <v>932</v>
      </c>
      <c r="J918" s="4" t="s">
        <v>23</v>
      </c>
      <c r="K918" s="4" t="str" cm="1">
        <f t="array" ref="K918">_xlfn.IFS(L918&gt;50,"Senior", L918&gt;=30,"Adult", L918&lt;30,"Young Adult")</f>
        <v>Adult</v>
      </c>
      <c r="L918" s="4">
        <v>45</v>
      </c>
      <c r="M918" s="4" t="s">
        <v>26</v>
      </c>
      <c r="N918" s="4">
        <v>1</v>
      </c>
      <c r="O918" s="5">
        <v>25</v>
      </c>
      <c r="P918">
        <f t="shared" si="162"/>
        <v>25</v>
      </c>
      <c r="Q918" s="14" t="e">
        <f>P918*#REF!</f>
        <v>#REF!</v>
      </c>
      <c r="R918" s="14" t="e">
        <f>P918*#REF!</f>
        <v>#REF!</v>
      </c>
    </row>
    <row r="919" spans="1:18" x14ac:dyDescent="0.35">
      <c r="A919" s="2">
        <v>908</v>
      </c>
      <c r="B919" s="4">
        <f t="shared" si="156"/>
        <v>29</v>
      </c>
      <c r="C919" s="4">
        <f t="shared" si="157"/>
        <v>12</v>
      </c>
      <c r="D919" s="4">
        <f t="shared" si="158"/>
        <v>2023</v>
      </c>
      <c r="E919" s="4" t="str">
        <f t="shared" si="159"/>
        <v>Friday</v>
      </c>
      <c r="F919" s="4" t="str">
        <f t="shared" si="160"/>
        <v>December</v>
      </c>
      <c r="G919" s="4" t="str">
        <f t="shared" si="161"/>
        <v>2023</v>
      </c>
      <c r="H919" s="3">
        <v>45289</v>
      </c>
      <c r="I919" s="4" t="s">
        <v>933</v>
      </c>
      <c r="J919" s="4" t="s">
        <v>20</v>
      </c>
      <c r="K919" s="4" t="str" cm="1">
        <f t="array" ref="K919">_xlfn.IFS(L919&gt;50,"Senior", L919&gt;=30,"Adult", L919&lt;30,"Young Adult")</f>
        <v>Adult</v>
      </c>
      <c r="L919" s="4">
        <v>46</v>
      </c>
      <c r="M919" s="4" t="s">
        <v>21</v>
      </c>
      <c r="N919" s="4">
        <v>4</v>
      </c>
      <c r="O919" s="5">
        <v>300</v>
      </c>
      <c r="P919">
        <f t="shared" si="162"/>
        <v>1200</v>
      </c>
      <c r="Q919" s="14">
        <f>P919*$I$4</f>
        <v>18</v>
      </c>
      <c r="R919" s="14">
        <f>P919*$I$5</f>
        <v>24</v>
      </c>
    </row>
    <row r="920" spans="1:18" x14ac:dyDescent="0.35">
      <c r="A920" s="2">
        <v>909</v>
      </c>
      <c r="B920" s="4">
        <f t="shared" si="156"/>
        <v>1</v>
      </c>
      <c r="C920" s="4">
        <f t="shared" si="157"/>
        <v>10</v>
      </c>
      <c r="D920" s="4">
        <f t="shared" si="158"/>
        <v>2023</v>
      </c>
      <c r="E920" s="4" t="str">
        <f t="shared" si="159"/>
        <v>Sunday</v>
      </c>
      <c r="F920" s="4" t="str">
        <f t="shared" si="160"/>
        <v>October</v>
      </c>
      <c r="G920" s="4" t="str">
        <f t="shared" si="161"/>
        <v>2023</v>
      </c>
      <c r="H920" s="3">
        <v>45200</v>
      </c>
      <c r="I920" s="4" t="s">
        <v>934</v>
      </c>
      <c r="J920" s="4" t="s">
        <v>20</v>
      </c>
      <c r="K920" s="4" t="str" cm="1">
        <f t="array" ref="K920">_xlfn.IFS(L920&gt;50,"Senior", L920&gt;=30,"Adult", L920&lt;30,"Young Adult")</f>
        <v>Young Adult</v>
      </c>
      <c r="L920" s="4">
        <v>26</v>
      </c>
      <c r="M920" s="4" t="s">
        <v>26</v>
      </c>
      <c r="N920" s="4">
        <v>1</v>
      </c>
      <c r="O920" s="5">
        <v>300</v>
      </c>
      <c r="P920">
        <f t="shared" si="162"/>
        <v>300</v>
      </c>
      <c r="Q920" s="14" t="e">
        <f>P920*#REF!</f>
        <v>#REF!</v>
      </c>
      <c r="R920" s="14" t="e">
        <f>P920*#REF!</f>
        <v>#REF!</v>
      </c>
    </row>
    <row r="921" spans="1:18" x14ac:dyDescent="0.35">
      <c r="A921" s="2">
        <v>910</v>
      </c>
      <c r="B921" s="4">
        <f t="shared" si="156"/>
        <v>6</v>
      </c>
      <c r="C921" s="4">
        <f t="shared" si="157"/>
        <v>3</v>
      </c>
      <c r="D921" s="4">
        <f t="shared" si="158"/>
        <v>2023</v>
      </c>
      <c r="E921" s="4" t="str">
        <f t="shared" si="159"/>
        <v>Monday</v>
      </c>
      <c r="F921" s="4" t="str">
        <f t="shared" si="160"/>
        <v>March</v>
      </c>
      <c r="G921" s="4" t="str">
        <f t="shared" si="161"/>
        <v>2023</v>
      </c>
      <c r="H921" s="3">
        <v>44991</v>
      </c>
      <c r="I921" s="4" t="s">
        <v>935</v>
      </c>
      <c r="J921" s="4" t="s">
        <v>23</v>
      </c>
      <c r="K921" s="4" t="str" cm="1">
        <f t="array" ref="K921">_xlfn.IFS(L921&gt;50,"Senior", L921&gt;=30,"Adult", L921&lt;30,"Young Adult")</f>
        <v>Young Adult</v>
      </c>
      <c r="L921" s="4">
        <v>20</v>
      </c>
      <c r="M921" s="4" t="s">
        <v>21</v>
      </c>
      <c r="N921" s="4">
        <v>3</v>
      </c>
      <c r="O921" s="5">
        <v>50</v>
      </c>
      <c r="P921">
        <f t="shared" si="162"/>
        <v>150</v>
      </c>
      <c r="Q921" s="14">
        <f>P921*$I$4</f>
        <v>2.25</v>
      </c>
      <c r="R921" s="14">
        <f>P921*$I$5</f>
        <v>3</v>
      </c>
    </row>
    <row r="922" spans="1:18" x14ac:dyDescent="0.35">
      <c r="A922" s="2">
        <v>911</v>
      </c>
      <c r="B922" s="4">
        <f t="shared" si="156"/>
        <v>21</v>
      </c>
      <c r="C922" s="4">
        <f t="shared" si="157"/>
        <v>5</v>
      </c>
      <c r="D922" s="4">
        <f t="shared" si="158"/>
        <v>2023</v>
      </c>
      <c r="E922" s="4" t="str">
        <f t="shared" si="159"/>
        <v>Sunday</v>
      </c>
      <c r="F922" s="4" t="str">
        <f t="shared" si="160"/>
        <v>May</v>
      </c>
      <c r="G922" s="4" t="str">
        <f t="shared" si="161"/>
        <v>2023</v>
      </c>
      <c r="H922" s="3">
        <v>45067</v>
      </c>
      <c r="I922" s="4" t="s">
        <v>936</v>
      </c>
      <c r="J922" s="4" t="s">
        <v>20</v>
      </c>
      <c r="K922" s="4" t="str" cm="1">
        <f t="array" ref="K922">_xlfn.IFS(L922&gt;50,"Senior", L922&gt;=30,"Adult", L922&lt;30,"Young Adult")</f>
        <v>Adult</v>
      </c>
      <c r="L922" s="4">
        <v>42</v>
      </c>
      <c r="M922" s="4" t="s">
        <v>26</v>
      </c>
      <c r="N922" s="4">
        <v>3</v>
      </c>
      <c r="O922" s="5">
        <v>300</v>
      </c>
      <c r="P922">
        <f t="shared" si="162"/>
        <v>900</v>
      </c>
      <c r="Q922" s="14" t="e">
        <f>P922*#REF!</f>
        <v>#REF!</v>
      </c>
      <c r="R922" s="14" t="e">
        <f>P922*#REF!</f>
        <v>#REF!</v>
      </c>
    </row>
    <row r="923" spans="1:18" x14ac:dyDescent="0.35">
      <c r="A923" s="2">
        <v>912</v>
      </c>
      <c r="B923" s="4">
        <f t="shared" si="156"/>
        <v>24</v>
      </c>
      <c r="C923" s="4">
        <f t="shared" si="157"/>
        <v>1</v>
      </c>
      <c r="D923" s="4">
        <f t="shared" si="158"/>
        <v>2023</v>
      </c>
      <c r="E923" s="4" t="str">
        <f t="shared" si="159"/>
        <v>Tuesday</v>
      </c>
      <c r="F923" s="4" t="str">
        <f t="shared" si="160"/>
        <v>January</v>
      </c>
      <c r="G923" s="4" t="str">
        <f t="shared" si="161"/>
        <v>2023</v>
      </c>
      <c r="H923" s="3">
        <v>44950</v>
      </c>
      <c r="I923" s="4" t="s">
        <v>937</v>
      </c>
      <c r="J923" s="4" t="s">
        <v>20</v>
      </c>
      <c r="K923" s="4" t="str" cm="1">
        <f t="array" ref="K923">_xlfn.IFS(L923&gt;50,"Senior", L923&gt;=30,"Adult", L923&lt;30,"Young Adult")</f>
        <v>Senior</v>
      </c>
      <c r="L923" s="4">
        <v>51</v>
      </c>
      <c r="M923" s="4" t="s">
        <v>21</v>
      </c>
      <c r="N923" s="4">
        <v>3</v>
      </c>
      <c r="O923" s="5">
        <v>50</v>
      </c>
      <c r="P923">
        <f t="shared" si="162"/>
        <v>150</v>
      </c>
      <c r="Q923" s="14">
        <f>P923*$I$4</f>
        <v>2.25</v>
      </c>
      <c r="R923" s="14">
        <f>P923*$I$5</f>
        <v>3</v>
      </c>
    </row>
    <row r="924" spans="1:18" x14ac:dyDescent="0.35">
      <c r="A924" s="2">
        <v>913</v>
      </c>
      <c r="B924" s="4">
        <f t="shared" si="156"/>
        <v>28</v>
      </c>
      <c r="C924" s="4">
        <f t="shared" si="157"/>
        <v>1</v>
      </c>
      <c r="D924" s="4">
        <f t="shared" si="158"/>
        <v>2023</v>
      </c>
      <c r="E924" s="4" t="str">
        <f t="shared" si="159"/>
        <v>Saturday</v>
      </c>
      <c r="F924" s="4" t="str">
        <f t="shared" si="160"/>
        <v>January</v>
      </c>
      <c r="G924" s="4" t="str">
        <f t="shared" si="161"/>
        <v>2023</v>
      </c>
      <c r="H924" s="3">
        <v>44954</v>
      </c>
      <c r="I924" s="4" t="s">
        <v>938</v>
      </c>
      <c r="J924" s="4" t="s">
        <v>20</v>
      </c>
      <c r="K924" s="4" t="str" cm="1">
        <f t="array" ref="K924">_xlfn.IFS(L924&gt;50,"Senior", L924&gt;=30,"Adult", L924&lt;30,"Young Adult")</f>
        <v>Young Adult</v>
      </c>
      <c r="L924" s="4">
        <v>29</v>
      </c>
      <c r="M924" s="4" t="s">
        <v>26</v>
      </c>
      <c r="N924" s="4">
        <v>3</v>
      </c>
      <c r="O924" s="5">
        <v>30</v>
      </c>
      <c r="P924">
        <f t="shared" si="162"/>
        <v>90</v>
      </c>
      <c r="Q924" s="14" t="e">
        <f>P924*#REF!</f>
        <v>#REF!</v>
      </c>
      <c r="R924" s="14" t="e">
        <f>P924*#REF!</f>
        <v>#REF!</v>
      </c>
    </row>
    <row r="925" spans="1:18" x14ac:dyDescent="0.35">
      <c r="A925" s="2">
        <v>914</v>
      </c>
      <c r="B925" s="4">
        <f t="shared" si="156"/>
        <v>11</v>
      </c>
      <c r="C925" s="4">
        <f t="shared" si="157"/>
        <v>10</v>
      </c>
      <c r="D925" s="4">
        <f t="shared" si="158"/>
        <v>2023</v>
      </c>
      <c r="E925" s="4" t="str">
        <f t="shared" si="159"/>
        <v>Wednesday</v>
      </c>
      <c r="F925" s="4" t="str">
        <f t="shared" si="160"/>
        <v>October</v>
      </c>
      <c r="G925" s="4" t="str">
        <f t="shared" si="161"/>
        <v>2023</v>
      </c>
      <c r="H925" s="3">
        <v>45210</v>
      </c>
      <c r="I925" s="4" t="s">
        <v>939</v>
      </c>
      <c r="J925" s="4" t="s">
        <v>23</v>
      </c>
      <c r="K925" s="4" t="str" cm="1">
        <f t="array" ref="K925">_xlfn.IFS(L925&gt;50,"Senior", L925&gt;=30,"Adult", L925&lt;30,"Young Adult")</f>
        <v>Senior</v>
      </c>
      <c r="L925" s="4">
        <v>59</v>
      </c>
      <c r="M925" s="4" t="s">
        <v>26</v>
      </c>
      <c r="N925" s="4">
        <v>1</v>
      </c>
      <c r="O925" s="5">
        <v>500</v>
      </c>
      <c r="P925">
        <f t="shared" si="162"/>
        <v>500</v>
      </c>
      <c r="Q925" s="14" t="e">
        <f>P925*#REF!</f>
        <v>#REF!</v>
      </c>
      <c r="R925" s="14" t="e">
        <f>P925*#REF!</f>
        <v>#REF!</v>
      </c>
    </row>
    <row r="926" spans="1:18" x14ac:dyDescent="0.35">
      <c r="A926" s="2">
        <v>915</v>
      </c>
      <c r="B926" s="4">
        <f t="shared" si="156"/>
        <v>30</v>
      </c>
      <c r="C926" s="4">
        <f t="shared" si="157"/>
        <v>5</v>
      </c>
      <c r="D926" s="4">
        <f t="shared" si="158"/>
        <v>2023</v>
      </c>
      <c r="E926" s="4" t="str">
        <f t="shared" si="159"/>
        <v>Tuesday</v>
      </c>
      <c r="F926" s="4" t="str">
        <f t="shared" si="160"/>
        <v>May</v>
      </c>
      <c r="G926" s="4" t="str">
        <f t="shared" si="161"/>
        <v>2023</v>
      </c>
      <c r="H926" s="3">
        <v>45076</v>
      </c>
      <c r="I926" s="4" t="s">
        <v>940</v>
      </c>
      <c r="J926" s="4" t="s">
        <v>23</v>
      </c>
      <c r="K926" s="4" t="str" cm="1">
        <f t="array" ref="K926">_xlfn.IFS(L926&gt;50,"Senior", L926&gt;=30,"Adult", L926&lt;30,"Young Adult")</f>
        <v>Young Adult</v>
      </c>
      <c r="L926" s="4">
        <v>26</v>
      </c>
      <c r="M926" s="4" t="s">
        <v>21</v>
      </c>
      <c r="N926" s="4">
        <v>3</v>
      </c>
      <c r="O926" s="5">
        <v>30</v>
      </c>
      <c r="P926">
        <f t="shared" si="162"/>
        <v>90</v>
      </c>
      <c r="Q926" s="14">
        <f>P926*$I$4</f>
        <v>1.3499999999999999</v>
      </c>
      <c r="R926" s="14">
        <f>P926*$I$5</f>
        <v>1.8</v>
      </c>
    </row>
    <row r="927" spans="1:18" x14ac:dyDescent="0.35">
      <c r="A927" s="2">
        <v>916</v>
      </c>
      <c r="B927" s="4">
        <f t="shared" si="156"/>
        <v>24</v>
      </c>
      <c r="C927" s="4">
        <f t="shared" si="157"/>
        <v>12</v>
      </c>
      <c r="D927" s="4">
        <f t="shared" si="158"/>
        <v>2023</v>
      </c>
      <c r="E927" s="4" t="str">
        <f t="shared" si="159"/>
        <v>Sunday</v>
      </c>
      <c r="F927" s="4" t="str">
        <f t="shared" si="160"/>
        <v>December</v>
      </c>
      <c r="G927" s="4" t="str">
        <f t="shared" si="161"/>
        <v>2023</v>
      </c>
      <c r="H927" s="3">
        <v>45284</v>
      </c>
      <c r="I927" s="4" t="s">
        <v>941</v>
      </c>
      <c r="J927" s="4" t="s">
        <v>23</v>
      </c>
      <c r="K927" s="4" t="str" cm="1">
        <f t="array" ref="K927">_xlfn.IFS(L927&gt;50,"Senior", L927&gt;=30,"Adult", L927&lt;30,"Young Adult")</f>
        <v>Adult</v>
      </c>
      <c r="L927" s="4">
        <v>32</v>
      </c>
      <c r="M927" s="4" t="s">
        <v>26</v>
      </c>
      <c r="N927" s="4">
        <v>1</v>
      </c>
      <c r="O927" s="5">
        <v>50</v>
      </c>
      <c r="P927">
        <f t="shared" si="162"/>
        <v>50</v>
      </c>
      <c r="Q927" s="14" t="e">
        <f>P927*#REF!</f>
        <v>#REF!</v>
      </c>
      <c r="R927" s="14" t="e">
        <f>P927*#REF!</f>
        <v>#REF!</v>
      </c>
    </row>
    <row r="928" spans="1:18" x14ac:dyDescent="0.35">
      <c r="A928" s="2">
        <v>917</v>
      </c>
      <c r="B928" s="4">
        <f t="shared" si="156"/>
        <v>6</v>
      </c>
      <c r="C928" s="4">
        <f t="shared" si="157"/>
        <v>3</v>
      </c>
      <c r="D928" s="4">
        <f t="shared" si="158"/>
        <v>2023</v>
      </c>
      <c r="E928" s="4" t="str">
        <f t="shared" si="159"/>
        <v>Monday</v>
      </c>
      <c r="F928" s="4" t="str">
        <f t="shared" si="160"/>
        <v>March</v>
      </c>
      <c r="G928" s="4" t="str">
        <f t="shared" si="161"/>
        <v>2023</v>
      </c>
      <c r="H928" s="3">
        <v>44991</v>
      </c>
      <c r="I928" s="4" t="s">
        <v>942</v>
      </c>
      <c r="J928" s="4" t="s">
        <v>23</v>
      </c>
      <c r="K928" s="4" t="str" cm="1">
        <f t="array" ref="K928">_xlfn.IFS(L928&gt;50,"Senior", L928&gt;=30,"Adult", L928&lt;30,"Young Adult")</f>
        <v>Senior</v>
      </c>
      <c r="L928" s="4">
        <v>57</v>
      </c>
      <c r="M928" s="4" t="s">
        <v>26</v>
      </c>
      <c r="N928" s="4">
        <v>4</v>
      </c>
      <c r="O928" s="5">
        <v>50</v>
      </c>
      <c r="P928">
        <f t="shared" si="162"/>
        <v>200</v>
      </c>
      <c r="Q928" s="14" t="e">
        <f>P928*#REF!</f>
        <v>#REF!</v>
      </c>
      <c r="R928" s="14" t="e">
        <f>P928*#REF!</f>
        <v>#REF!</v>
      </c>
    </row>
    <row r="929" spans="1:18" x14ac:dyDescent="0.35">
      <c r="A929" s="2">
        <v>918</v>
      </c>
      <c r="B929" s="4">
        <f t="shared" si="156"/>
        <v>23</v>
      </c>
      <c r="C929" s="4">
        <f t="shared" si="157"/>
        <v>11</v>
      </c>
      <c r="D929" s="4">
        <f t="shared" si="158"/>
        <v>2023</v>
      </c>
      <c r="E929" s="4" t="str">
        <f t="shared" si="159"/>
        <v>Thursday</v>
      </c>
      <c r="F929" s="4" t="str">
        <f t="shared" si="160"/>
        <v>November</v>
      </c>
      <c r="G929" s="4" t="str">
        <f t="shared" si="161"/>
        <v>2023</v>
      </c>
      <c r="H929" s="3">
        <v>45253</v>
      </c>
      <c r="I929" s="4" t="s">
        <v>943</v>
      </c>
      <c r="J929" s="4" t="s">
        <v>23</v>
      </c>
      <c r="K929" s="4" t="str" cm="1">
        <f t="array" ref="K929">_xlfn.IFS(L929&gt;50,"Senior", L929&gt;=30,"Adult", L929&lt;30,"Young Adult")</f>
        <v>Adult</v>
      </c>
      <c r="L929" s="4">
        <v>42</v>
      </c>
      <c r="M929" s="4" t="s">
        <v>26</v>
      </c>
      <c r="N929" s="4">
        <v>3</v>
      </c>
      <c r="O929" s="5">
        <v>30</v>
      </c>
      <c r="P929">
        <f t="shared" si="162"/>
        <v>90</v>
      </c>
      <c r="Q929" s="14" t="e">
        <f>P929*#REF!</f>
        <v>#REF!</v>
      </c>
      <c r="R929" s="14" t="e">
        <f>P929*#REF!</f>
        <v>#REF!</v>
      </c>
    </row>
    <row r="930" spans="1:18" x14ac:dyDescent="0.35">
      <c r="A930" s="2">
        <v>919</v>
      </c>
      <c r="B930" s="4">
        <f t="shared" si="156"/>
        <v>9</v>
      </c>
      <c r="C930" s="4">
        <f t="shared" si="157"/>
        <v>9</v>
      </c>
      <c r="D930" s="4">
        <f t="shared" si="158"/>
        <v>2023</v>
      </c>
      <c r="E930" s="4" t="str">
        <f t="shared" si="159"/>
        <v>Saturday</v>
      </c>
      <c r="F930" s="4" t="str">
        <f t="shared" si="160"/>
        <v>September</v>
      </c>
      <c r="G930" s="4" t="str">
        <f t="shared" si="161"/>
        <v>2023</v>
      </c>
      <c r="H930" s="3">
        <v>45178</v>
      </c>
      <c r="I930" s="4" t="s">
        <v>944</v>
      </c>
      <c r="J930" s="4" t="s">
        <v>23</v>
      </c>
      <c r="K930" s="4" t="str" cm="1">
        <f t="array" ref="K930">_xlfn.IFS(L930&gt;50,"Senior", L930&gt;=30,"Adult", L930&lt;30,"Young Adult")</f>
        <v>Young Adult</v>
      </c>
      <c r="L930" s="4">
        <v>22</v>
      </c>
      <c r="M930" s="4" t="s">
        <v>21</v>
      </c>
      <c r="N930" s="4">
        <v>2</v>
      </c>
      <c r="O930" s="5">
        <v>25</v>
      </c>
      <c r="P930">
        <f t="shared" si="162"/>
        <v>50</v>
      </c>
      <c r="Q930" s="14">
        <f t="shared" ref="Q930:Q931" si="165">P930*$I$4</f>
        <v>0.75</v>
      </c>
      <c r="R930" s="14">
        <f t="shared" ref="R930:R931" si="166">P930*$I$5</f>
        <v>1</v>
      </c>
    </row>
    <row r="931" spans="1:18" x14ac:dyDescent="0.35">
      <c r="A931" s="2">
        <v>920</v>
      </c>
      <c r="B931" s="4">
        <f t="shared" si="156"/>
        <v>22</v>
      </c>
      <c r="C931" s="4">
        <f t="shared" si="157"/>
        <v>2</v>
      </c>
      <c r="D931" s="4">
        <f t="shared" si="158"/>
        <v>2023</v>
      </c>
      <c r="E931" s="4" t="str">
        <f t="shared" si="159"/>
        <v>Wednesday</v>
      </c>
      <c r="F931" s="4" t="str">
        <f t="shared" si="160"/>
        <v>February</v>
      </c>
      <c r="G931" s="4" t="str">
        <f t="shared" si="161"/>
        <v>2023</v>
      </c>
      <c r="H931" s="3">
        <v>44979</v>
      </c>
      <c r="I931" s="4" t="s">
        <v>945</v>
      </c>
      <c r="J931" s="4" t="s">
        <v>23</v>
      </c>
      <c r="K931" s="4" t="str" cm="1">
        <f t="array" ref="K931">_xlfn.IFS(L931&gt;50,"Senior", L931&gt;=30,"Adult", L931&lt;30,"Young Adult")</f>
        <v>Young Adult</v>
      </c>
      <c r="L931" s="4">
        <v>28</v>
      </c>
      <c r="M931" s="4" t="s">
        <v>21</v>
      </c>
      <c r="N931" s="4">
        <v>3</v>
      </c>
      <c r="O931" s="5">
        <v>25</v>
      </c>
      <c r="P931">
        <f t="shared" si="162"/>
        <v>75</v>
      </c>
      <c r="Q931" s="14">
        <f t="shared" si="165"/>
        <v>1.125</v>
      </c>
      <c r="R931" s="14">
        <f t="shared" si="166"/>
        <v>1.5</v>
      </c>
    </row>
    <row r="932" spans="1:18" x14ac:dyDescent="0.35">
      <c r="A932" s="2">
        <v>921</v>
      </c>
      <c r="B932" s="4">
        <f t="shared" si="156"/>
        <v>7</v>
      </c>
      <c r="C932" s="4">
        <f t="shared" si="157"/>
        <v>1</v>
      </c>
      <c r="D932" s="4">
        <f t="shared" si="158"/>
        <v>2023</v>
      </c>
      <c r="E932" s="4" t="str">
        <f t="shared" si="159"/>
        <v>Saturday</v>
      </c>
      <c r="F932" s="4" t="str">
        <f t="shared" si="160"/>
        <v>January</v>
      </c>
      <c r="G932" s="4" t="str">
        <f t="shared" si="161"/>
        <v>2023</v>
      </c>
      <c r="H932" s="3">
        <v>44933</v>
      </c>
      <c r="I932" s="4" t="s">
        <v>946</v>
      </c>
      <c r="J932" s="4" t="s">
        <v>20</v>
      </c>
      <c r="K932" s="4" t="str" cm="1">
        <f t="array" ref="K932">_xlfn.IFS(L932&gt;50,"Senior", L932&gt;=30,"Adult", L932&lt;30,"Young Adult")</f>
        <v>Senior</v>
      </c>
      <c r="L932" s="4">
        <v>51</v>
      </c>
      <c r="M932" s="4" t="s">
        <v>26</v>
      </c>
      <c r="N932" s="4">
        <v>3</v>
      </c>
      <c r="O932" s="5">
        <v>25</v>
      </c>
      <c r="P932">
        <f t="shared" si="162"/>
        <v>75</v>
      </c>
      <c r="Q932" s="14" t="e">
        <f>P932*#REF!</f>
        <v>#REF!</v>
      </c>
      <c r="R932" s="14" t="e">
        <f>P932*#REF!</f>
        <v>#REF!</v>
      </c>
    </row>
    <row r="933" spans="1:18" x14ac:dyDescent="0.35">
      <c r="A933" s="2">
        <v>922</v>
      </c>
      <c r="B933" s="4">
        <f t="shared" si="156"/>
        <v>21</v>
      </c>
      <c r="C933" s="4">
        <f t="shared" si="157"/>
        <v>10</v>
      </c>
      <c r="D933" s="4">
        <f t="shared" si="158"/>
        <v>2023</v>
      </c>
      <c r="E933" s="4" t="str">
        <f t="shared" si="159"/>
        <v>Saturday</v>
      </c>
      <c r="F933" s="4" t="str">
        <f t="shared" si="160"/>
        <v>October</v>
      </c>
      <c r="G933" s="4" t="str">
        <f t="shared" si="161"/>
        <v>2023</v>
      </c>
      <c r="H933" s="3">
        <v>45220</v>
      </c>
      <c r="I933" s="4" t="s">
        <v>947</v>
      </c>
      <c r="J933" s="4" t="s">
        <v>20</v>
      </c>
      <c r="K933" s="4" t="str" cm="1">
        <f t="array" ref="K933">_xlfn.IFS(L933&gt;50,"Senior", L933&gt;=30,"Adult", L933&lt;30,"Young Adult")</f>
        <v>Adult</v>
      </c>
      <c r="L933" s="4">
        <v>41</v>
      </c>
      <c r="M933" s="4" t="s">
        <v>26</v>
      </c>
      <c r="N933" s="4">
        <v>1</v>
      </c>
      <c r="O933" s="5">
        <v>50</v>
      </c>
      <c r="P933">
        <f t="shared" si="162"/>
        <v>50</v>
      </c>
      <c r="Q933" s="14" t="e">
        <f>P933*#REF!</f>
        <v>#REF!</v>
      </c>
      <c r="R933" s="14" t="e">
        <f>P933*#REF!</f>
        <v>#REF!</v>
      </c>
    </row>
    <row r="934" spans="1:18" x14ac:dyDescent="0.35">
      <c r="A934" s="2">
        <v>923</v>
      </c>
      <c r="B934" s="4">
        <f t="shared" si="156"/>
        <v>26</v>
      </c>
      <c r="C934" s="4">
        <f t="shared" si="157"/>
        <v>5</v>
      </c>
      <c r="D934" s="4">
        <f t="shared" si="158"/>
        <v>2023</v>
      </c>
      <c r="E934" s="4" t="str">
        <f t="shared" si="159"/>
        <v>Friday</v>
      </c>
      <c r="F934" s="4" t="str">
        <f t="shared" si="160"/>
        <v>May</v>
      </c>
      <c r="G934" s="4" t="str">
        <f t="shared" si="161"/>
        <v>2023</v>
      </c>
      <c r="H934" s="3">
        <v>45072</v>
      </c>
      <c r="I934" s="4" t="s">
        <v>948</v>
      </c>
      <c r="J934" s="4" t="s">
        <v>20</v>
      </c>
      <c r="K934" s="4" t="str" cm="1">
        <f t="array" ref="K934">_xlfn.IFS(L934&gt;50,"Senior", L934&gt;=30,"Adult", L934&lt;30,"Young Adult")</f>
        <v>Adult</v>
      </c>
      <c r="L934" s="4">
        <v>32</v>
      </c>
      <c r="M934" s="4" t="s">
        <v>21</v>
      </c>
      <c r="N934" s="4">
        <v>3</v>
      </c>
      <c r="O934" s="5">
        <v>300</v>
      </c>
      <c r="P934">
        <f t="shared" si="162"/>
        <v>900</v>
      </c>
      <c r="Q934" s="14">
        <f t="shared" ref="Q934:Q935" si="167">P934*$I$4</f>
        <v>13.5</v>
      </c>
      <c r="R934" s="14">
        <f t="shared" ref="R934:R935" si="168">P934*$I$5</f>
        <v>18</v>
      </c>
    </row>
    <row r="935" spans="1:18" x14ac:dyDescent="0.35">
      <c r="A935" s="2">
        <v>924</v>
      </c>
      <c r="B935" s="4">
        <f t="shared" si="156"/>
        <v>29</v>
      </c>
      <c r="C935" s="4">
        <f t="shared" si="157"/>
        <v>8</v>
      </c>
      <c r="D935" s="4">
        <f t="shared" si="158"/>
        <v>2023</v>
      </c>
      <c r="E935" s="4" t="str">
        <f t="shared" si="159"/>
        <v>Tuesday</v>
      </c>
      <c r="F935" s="4" t="str">
        <f t="shared" si="160"/>
        <v>August</v>
      </c>
      <c r="G935" s="4" t="str">
        <f t="shared" si="161"/>
        <v>2023</v>
      </c>
      <c r="H935" s="3">
        <v>45167</v>
      </c>
      <c r="I935" s="4" t="s">
        <v>949</v>
      </c>
      <c r="J935" s="4" t="s">
        <v>20</v>
      </c>
      <c r="K935" s="4" t="str" cm="1">
        <f t="array" ref="K935">_xlfn.IFS(L935&gt;50,"Senior", L935&gt;=30,"Adult", L935&lt;30,"Young Adult")</f>
        <v>Senior</v>
      </c>
      <c r="L935" s="4">
        <v>55</v>
      </c>
      <c r="M935" s="4" t="s">
        <v>21</v>
      </c>
      <c r="N935" s="4">
        <v>2</v>
      </c>
      <c r="O935" s="5">
        <v>50</v>
      </c>
      <c r="P935">
        <f t="shared" si="162"/>
        <v>100</v>
      </c>
      <c r="Q935" s="14">
        <f t="shared" si="167"/>
        <v>1.5</v>
      </c>
      <c r="R935" s="14">
        <f t="shared" si="168"/>
        <v>2</v>
      </c>
    </row>
    <row r="936" spans="1:18" x14ac:dyDescent="0.35">
      <c r="A936" s="2">
        <v>925</v>
      </c>
      <c r="B936" s="4">
        <f t="shared" si="156"/>
        <v>3</v>
      </c>
      <c r="C936" s="4">
        <f t="shared" si="157"/>
        <v>9</v>
      </c>
      <c r="D936" s="4">
        <f t="shared" si="158"/>
        <v>2023</v>
      </c>
      <c r="E936" s="4" t="str">
        <f t="shared" si="159"/>
        <v>Sunday</v>
      </c>
      <c r="F936" s="4" t="str">
        <f t="shared" si="160"/>
        <v>September</v>
      </c>
      <c r="G936" s="4" t="str">
        <f t="shared" si="161"/>
        <v>2023</v>
      </c>
      <c r="H936" s="3">
        <v>45172</v>
      </c>
      <c r="I936" s="4" t="s">
        <v>950</v>
      </c>
      <c r="J936" s="4" t="s">
        <v>20</v>
      </c>
      <c r="K936" s="4" t="str" cm="1">
        <f t="array" ref="K936">_xlfn.IFS(L936&gt;50,"Senior", L936&gt;=30,"Adult", L936&lt;30,"Young Adult")</f>
        <v>Young Adult</v>
      </c>
      <c r="L936" s="4">
        <v>25</v>
      </c>
      <c r="M936" s="4" t="s">
        <v>26</v>
      </c>
      <c r="N936" s="4">
        <v>1</v>
      </c>
      <c r="O936" s="5">
        <v>300</v>
      </c>
      <c r="P936">
        <f t="shared" si="162"/>
        <v>300</v>
      </c>
      <c r="Q936" s="14" t="e">
        <f>P936*#REF!</f>
        <v>#REF!</v>
      </c>
      <c r="R936" s="14" t="e">
        <f>P936*#REF!</f>
        <v>#REF!</v>
      </c>
    </row>
    <row r="937" spans="1:18" x14ac:dyDescent="0.35">
      <c r="A937" s="2">
        <v>926</v>
      </c>
      <c r="B937" s="4">
        <f t="shared" si="156"/>
        <v>14</v>
      </c>
      <c r="C937" s="4">
        <f t="shared" si="157"/>
        <v>8</v>
      </c>
      <c r="D937" s="4">
        <f t="shared" si="158"/>
        <v>2023</v>
      </c>
      <c r="E937" s="4" t="str">
        <f t="shared" si="159"/>
        <v>Monday</v>
      </c>
      <c r="F937" s="4" t="str">
        <f t="shared" si="160"/>
        <v>August</v>
      </c>
      <c r="G937" s="4" t="str">
        <f t="shared" si="161"/>
        <v>2023</v>
      </c>
      <c r="H937" s="3">
        <v>45152</v>
      </c>
      <c r="I937" s="4" t="s">
        <v>951</v>
      </c>
      <c r="J937" s="4" t="s">
        <v>20</v>
      </c>
      <c r="K937" s="4" t="str" cm="1">
        <f t="array" ref="K937">_xlfn.IFS(L937&gt;50,"Senior", L937&gt;=30,"Adult", L937&lt;30,"Young Adult")</f>
        <v>Young Adult</v>
      </c>
      <c r="L937" s="4">
        <v>22</v>
      </c>
      <c r="M937" s="4" t="s">
        <v>26</v>
      </c>
      <c r="N937" s="4">
        <v>1</v>
      </c>
      <c r="O937" s="5">
        <v>30</v>
      </c>
      <c r="P937">
        <f t="shared" si="162"/>
        <v>30</v>
      </c>
      <c r="Q937" s="14" t="e">
        <f>P937*#REF!</f>
        <v>#REF!</v>
      </c>
      <c r="R937" s="14" t="e">
        <f>P937*#REF!</f>
        <v>#REF!</v>
      </c>
    </row>
    <row r="938" spans="1:18" x14ac:dyDescent="0.35">
      <c r="A938" s="2">
        <v>927</v>
      </c>
      <c r="B938" s="4">
        <f t="shared" si="156"/>
        <v>24</v>
      </c>
      <c r="C938" s="4">
        <f t="shared" si="157"/>
        <v>6</v>
      </c>
      <c r="D938" s="4">
        <f t="shared" si="158"/>
        <v>2023</v>
      </c>
      <c r="E938" s="4" t="str">
        <f t="shared" si="159"/>
        <v>Saturday</v>
      </c>
      <c r="F938" s="4" t="str">
        <f t="shared" si="160"/>
        <v>June</v>
      </c>
      <c r="G938" s="4" t="str">
        <f t="shared" si="161"/>
        <v>2023</v>
      </c>
      <c r="H938" s="3">
        <v>45101</v>
      </c>
      <c r="I938" s="4" t="s">
        <v>952</v>
      </c>
      <c r="J938" s="4" t="s">
        <v>20</v>
      </c>
      <c r="K938" s="4" t="str" cm="1">
        <f t="array" ref="K938">_xlfn.IFS(L938&gt;50,"Senior", L938&gt;=30,"Adult", L938&lt;30,"Young Adult")</f>
        <v>Adult</v>
      </c>
      <c r="L938" s="4">
        <v>43</v>
      </c>
      <c r="M938" s="4" t="s">
        <v>26</v>
      </c>
      <c r="N938" s="4">
        <v>4</v>
      </c>
      <c r="O938" s="5">
        <v>500</v>
      </c>
      <c r="P938">
        <f t="shared" si="162"/>
        <v>2000</v>
      </c>
      <c r="Q938" s="14" t="e">
        <f>P938*#REF!</f>
        <v>#REF!</v>
      </c>
      <c r="R938" s="14" t="e">
        <f>P938*#REF!</f>
        <v>#REF!</v>
      </c>
    </row>
    <row r="939" spans="1:18" x14ac:dyDescent="0.35">
      <c r="A939" s="2">
        <v>928</v>
      </c>
      <c r="B939" s="4">
        <f t="shared" si="156"/>
        <v>5</v>
      </c>
      <c r="C939" s="4">
        <f t="shared" si="157"/>
        <v>4</v>
      </c>
      <c r="D939" s="4">
        <f t="shared" si="158"/>
        <v>2023</v>
      </c>
      <c r="E939" s="4" t="str">
        <f t="shared" si="159"/>
        <v>Wednesday</v>
      </c>
      <c r="F939" s="4" t="str">
        <f t="shared" si="160"/>
        <v>April</v>
      </c>
      <c r="G939" s="4" t="str">
        <f t="shared" si="161"/>
        <v>2023</v>
      </c>
      <c r="H939" s="3">
        <v>45021</v>
      </c>
      <c r="I939" s="4" t="s">
        <v>953</v>
      </c>
      <c r="J939" s="4" t="s">
        <v>23</v>
      </c>
      <c r="K939" s="4" t="str" cm="1">
        <f t="array" ref="K939">_xlfn.IFS(L939&gt;50,"Senior", L939&gt;=30,"Adult", L939&lt;30,"Young Adult")</f>
        <v>Adult</v>
      </c>
      <c r="L939" s="4">
        <v>35</v>
      </c>
      <c r="M939" s="4" t="s">
        <v>24</v>
      </c>
      <c r="N939" s="4">
        <v>4</v>
      </c>
      <c r="O939" s="5">
        <v>300</v>
      </c>
      <c r="P939">
        <f t="shared" si="162"/>
        <v>1200</v>
      </c>
      <c r="Q939" s="14" t="e">
        <f>P939*#REF!</f>
        <v>#REF!</v>
      </c>
      <c r="R939" s="14" t="e">
        <f>P939*#REF!</f>
        <v>#REF!</v>
      </c>
    </row>
    <row r="940" spans="1:18" x14ac:dyDescent="0.35">
      <c r="A940" s="2">
        <v>929</v>
      </c>
      <c r="B940" s="4">
        <f t="shared" si="156"/>
        <v>27</v>
      </c>
      <c r="C940" s="4">
        <f t="shared" si="157"/>
        <v>1</v>
      </c>
      <c r="D940" s="4">
        <f t="shared" si="158"/>
        <v>2023</v>
      </c>
      <c r="E940" s="4" t="str">
        <f t="shared" si="159"/>
        <v>Friday</v>
      </c>
      <c r="F940" s="4" t="str">
        <f t="shared" si="160"/>
        <v>January</v>
      </c>
      <c r="G940" s="4" t="str">
        <f t="shared" si="161"/>
        <v>2023</v>
      </c>
      <c r="H940" s="3">
        <v>44953</v>
      </c>
      <c r="I940" s="4" t="s">
        <v>954</v>
      </c>
      <c r="J940" s="4" t="s">
        <v>23</v>
      </c>
      <c r="K940" s="4" t="str" cm="1">
        <f t="array" ref="K940">_xlfn.IFS(L940&gt;50,"Senior", L940&gt;=30,"Adult", L940&lt;30,"Young Adult")</f>
        <v>Young Adult</v>
      </c>
      <c r="L940" s="4">
        <v>23</v>
      </c>
      <c r="M940" s="4" t="s">
        <v>21</v>
      </c>
      <c r="N940" s="4">
        <v>3</v>
      </c>
      <c r="O940" s="5">
        <v>25</v>
      </c>
      <c r="P940">
        <f t="shared" si="162"/>
        <v>75</v>
      </c>
      <c r="Q940" s="14">
        <f>P940*$I$4</f>
        <v>1.125</v>
      </c>
      <c r="R940" s="14">
        <f>P940*$I$5</f>
        <v>1.5</v>
      </c>
    </row>
    <row r="941" spans="1:18" x14ac:dyDescent="0.35">
      <c r="A941" s="2">
        <v>930</v>
      </c>
      <c r="B941" s="4">
        <f t="shared" si="156"/>
        <v>10</v>
      </c>
      <c r="C941" s="4">
        <f t="shared" si="157"/>
        <v>5</v>
      </c>
      <c r="D941" s="4">
        <f t="shared" si="158"/>
        <v>2023</v>
      </c>
      <c r="E941" s="4" t="str">
        <f t="shared" si="159"/>
        <v>Wednesday</v>
      </c>
      <c r="F941" s="4" t="str">
        <f t="shared" si="160"/>
        <v>May</v>
      </c>
      <c r="G941" s="4" t="str">
        <f t="shared" si="161"/>
        <v>2023</v>
      </c>
      <c r="H941" s="3">
        <v>45056</v>
      </c>
      <c r="I941" s="4" t="s">
        <v>955</v>
      </c>
      <c r="J941" s="4" t="s">
        <v>20</v>
      </c>
      <c r="K941" s="4" t="str" cm="1">
        <f t="array" ref="K941">_xlfn.IFS(L941&gt;50,"Senior", L941&gt;=30,"Adult", L941&lt;30,"Young Adult")</f>
        <v>Senior</v>
      </c>
      <c r="L941" s="4">
        <v>54</v>
      </c>
      <c r="M941" s="4" t="s">
        <v>24</v>
      </c>
      <c r="N941" s="4">
        <v>4</v>
      </c>
      <c r="O941" s="5">
        <v>50</v>
      </c>
      <c r="P941">
        <f t="shared" si="162"/>
        <v>200</v>
      </c>
      <c r="Q941" s="14" t="e">
        <f>P941*#REF!</f>
        <v>#REF!</v>
      </c>
      <c r="R941" s="14" t="e">
        <f>P941*#REF!</f>
        <v>#REF!</v>
      </c>
    </row>
    <row r="942" spans="1:18" x14ac:dyDescent="0.35">
      <c r="A942" s="2">
        <v>931</v>
      </c>
      <c r="B942" s="4">
        <f t="shared" si="156"/>
        <v>2</v>
      </c>
      <c r="C942" s="4">
        <f t="shared" si="157"/>
        <v>9</v>
      </c>
      <c r="D942" s="4">
        <f t="shared" si="158"/>
        <v>2023</v>
      </c>
      <c r="E942" s="4" t="str">
        <f t="shared" si="159"/>
        <v>Saturday</v>
      </c>
      <c r="F942" s="4" t="str">
        <f t="shared" si="160"/>
        <v>September</v>
      </c>
      <c r="G942" s="4" t="str">
        <f t="shared" si="161"/>
        <v>2023</v>
      </c>
      <c r="H942" s="3">
        <v>45171</v>
      </c>
      <c r="I942" s="4" t="s">
        <v>956</v>
      </c>
      <c r="J942" s="4" t="s">
        <v>20</v>
      </c>
      <c r="K942" s="4" t="str" cm="1">
        <f t="array" ref="K942">_xlfn.IFS(L942&gt;50,"Senior", L942&gt;=30,"Adult", L942&lt;30,"Young Adult")</f>
        <v>Adult</v>
      </c>
      <c r="L942" s="4">
        <v>30</v>
      </c>
      <c r="M942" s="4" t="s">
        <v>21</v>
      </c>
      <c r="N942" s="4">
        <v>4</v>
      </c>
      <c r="O942" s="5">
        <v>30</v>
      </c>
      <c r="P942">
        <f t="shared" si="162"/>
        <v>120</v>
      </c>
      <c r="Q942" s="14">
        <f t="shared" ref="Q942:Q948" si="169">P942*$I$4</f>
        <v>1.7999999999999998</v>
      </c>
      <c r="R942" s="14">
        <f t="shared" ref="R942:R948" si="170">P942*$I$5</f>
        <v>2.4</v>
      </c>
    </row>
    <row r="943" spans="1:18" x14ac:dyDescent="0.35">
      <c r="A943" s="2">
        <v>932</v>
      </c>
      <c r="B943" s="4">
        <f t="shared" si="156"/>
        <v>28</v>
      </c>
      <c r="C943" s="4">
        <f t="shared" si="157"/>
        <v>2</v>
      </c>
      <c r="D943" s="4">
        <f t="shared" si="158"/>
        <v>2023</v>
      </c>
      <c r="E943" s="4" t="str">
        <f t="shared" si="159"/>
        <v>Tuesday</v>
      </c>
      <c r="F943" s="4" t="str">
        <f t="shared" si="160"/>
        <v>February</v>
      </c>
      <c r="G943" s="4" t="str">
        <f t="shared" si="161"/>
        <v>2023</v>
      </c>
      <c r="H943" s="3">
        <v>44985</v>
      </c>
      <c r="I943" s="4" t="s">
        <v>957</v>
      </c>
      <c r="J943" s="4" t="s">
        <v>23</v>
      </c>
      <c r="K943" s="4" t="str" cm="1">
        <f t="array" ref="K943">_xlfn.IFS(L943&gt;50,"Senior", L943&gt;=30,"Adult", L943&lt;30,"Young Adult")</f>
        <v>Adult</v>
      </c>
      <c r="L943" s="4">
        <v>45</v>
      </c>
      <c r="M943" s="4" t="s">
        <v>21</v>
      </c>
      <c r="N943" s="4">
        <v>4</v>
      </c>
      <c r="O943" s="5">
        <v>25</v>
      </c>
      <c r="P943">
        <f t="shared" si="162"/>
        <v>100</v>
      </c>
      <c r="Q943" s="14">
        <f t="shared" si="169"/>
        <v>1.5</v>
      </c>
      <c r="R943" s="14">
        <f t="shared" si="170"/>
        <v>2</v>
      </c>
    </row>
    <row r="944" spans="1:18" x14ac:dyDescent="0.35">
      <c r="A944" s="2">
        <v>933</v>
      </c>
      <c r="B944" s="4">
        <f t="shared" si="156"/>
        <v>3</v>
      </c>
      <c r="C944" s="4">
        <f t="shared" si="157"/>
        <v>2</v>
      </c>
      <c r="D944" s="4">
        <f t="shared" si="158"/>
        <v>2023</v>
      </c>
      <c r="E944" s="4" t="str">
        <f t="shared" si="159"/>
        <v>Friday</v>
      </c>
      <c r="F944" s="4" t="str">
        <f t="shared" si="160"/>
        <v>February</v>
      </c>
      <c r="G944" s="4" t="str">
        <f t="shared" si="161"/>
        <v>2023</v>
      </c>
      <c r="H944" s="3">
        <v>44960</v>
      </c>
      <c r="I944" s="4" t="s">
        <v>958</v>
      </c>
      <c r="J944" s="4" t="s">
        <v>20</v>
      </c>
      <c r="K944" s="4" t="str" cm="1">
        <f t="array" ref="K944">_xlfn.IFS(L944&gt;50,"Senior", L944&gt;=30,"Adult", L944&lt;30,"Young Adult")</f>
        <v>Young Adult</v>
      </c>
      <c r="L944" s="4">
        <v>22</v>
      </c>
      <c r="M944" s="4" t="s">
        <v>21</v>
      </c>
      <c r="N944" s="4">
        <v>1</v>
      </c>
      <c r="O944" s="5">
        <v>30</v>
      </c>
      <c r="P944">
        <f t="shared" si="162"/>
        <v>30</v>
      </c>
      <c r="Q944" s="14">
        <f t="shared" si="169"/>
        <v>0.44999999999999996</v>
      </c>
      <c r="R944" s="14">
        <f t="shared" si="170"/>
        <v>0.6</v>
      </c>
    </row>
    <row r="945" spans="1:18" x14ac:dyDescent="0.35">
      <c r="A945" s="2">
        <v>934</v>
      </c>
      <c r="B945" s="4">
        <f t="shared" si="156"/>
        <v>25</v>
      </c>
      <c r="C945" s="4">
        <f t="shared" si="157"/>
        <v>7</v>
      </c>
      <c r="D945" s="4">
        <f t="shared" si="158"/>
        <v>2023</v>
      </c>
      <c r="E945" s="4" t="str">
        <f t="shared" si="159"/>
        <v>Tuesday</v>
      </c>
      <c r="F945" s="4" t="str">
        <f t="shared" si="160"/>
        <v>July</v>
      </c>
      <c r="G945" s="4" t="str">
        <f t="shared" si="161"/>
        <v>2023</v>
      </c>
      <c r="H945" s="3">
        <v>45132</v>
      </c>
      <c r="I945" s="4" t="s">
        <v>959</v>
      </c>
      <c r="J945" s="4" t="s">
        <v>20</v>
      </c>
      <c r="K945" s="4" t="str" cm="1">
        <f t="array" ref="K945">_xlfn.IFS(L945&gt;50,"Senior", L945&gt;=30,"Adult", L945&lt;30,"Young Adult")</f>
        <v>Adult</v>
      </c>
      <c r="L945" s="4">
        <v>30</v>
      </c>
      <c r="M945" s="4" t="s">
        <v>21</v>
      </c>
      <c r="N945" s="4">
        <v>1</v>
      </c>
      <c r="O945" s="5">
        <v>500</v>
      </c>
      <c r="P945">
        <f t="shared" si="162"/>
        <v>500</v>
      </c>
      <c r="Q945" s="14">
        <f t="shared" si="169"/>
        <v>7.5</v>
      </c>
      <c r="R945" s="14">
        <f t="shared" si="170"/>
        <v>10</v>
      </c>
    </row>
    <row r="946" spans="1:18" x14ac:dyDescent="0.35">
      <c r="A946" s="2">
        <v>935</v>
      </c>
      <c r="B946" s="4">
        <f t="shared" si="156"/>
        <v>9</v>
      </c>
      <c r="C946" s="4">
        <f t="shared" si="157"/>
        <v>9</v>
      </c>
      <c r="D946" s="4">
        <f t="shared" si="158"/>
        <v>2023</v>
      </c>
      <c r="E946" s="4" t="str">
        <f t="shared" si="159"/>
        <v>Saturday</v>
      </c>
      <c r="F946" s="4" t="str">
        <f t="shared" si="160"/>
        <v>September</v>
      </c>
      <c r="G946" s="4" t="str">
        <f t="shared" si="161"/>
        <v>2023</v>
      </c>
      <c r="H946" s="3">
        <v>45178</v>
      </c>
      <c r="I946" s="4" t="s">
        <v>960</v>
      </c>
      <c r="J946" s="4" t="s">
        <v>23</v>
      </c>
      <c r="K946" s="4" t="str" cm="1">
        <f t="array" ref="K946">_xlfn.IFS(L946&gt;50,"Senior", L946&gt;=30,"Adult", L946&lt;30,"Young Adult")</f>
        <v>Adult</v>
      </c>
      <c r="L946" s="4">
        <v>34</v>
      </c>
      <c r="M946" s="4" t="s">
        <v>21</v>
      </c>
      <c r="N946" s="4">
        <v>1</v>
      </c>
      <c r="O946" s="5">
        <v>50</v>
      </c>
      <c r="P946">
        <f t="shared" si="162"/>
        <v>50</v>
      </c>
      <c r="Q946" s="14">
        <f t="shared" si="169"/>
        <v>0.75</v>
      </c>
      <c r="R946" s="14">
        <f t="shared" si="170"/>
        <v>1</v>
      </c>
    </row>
    <row r="947" spans="1:18" x14ac:dyDescent="0.35">
      <c r="A947" s="2">
        <v>936</v>
      </c>
      <c r="B947" s="4">
        <f t="shared" si="156"/>
        <v>7</v>
      </c>
      <c r="C947" s="4">
        <f t="shared" si="157"/>
        <v>2</v>
      </c>
      <c r="D947" s="4">
        <f t="shared" si="158"/>
        <v>2023</v>
      </c>
      <c r="E947" s="4" t="str">
        <f t="shared" si="159"/>
        <v>Tuesday</v>
      </c>
      <c r="F947" s="4" t="str">
        <f t="shared" si="160"/>
        <v>February</v>
      </c>
      <c r="G947" s="4" t="str">
        <f t="shared" si="161"/>
        <v>2023</v>
      </c>
      <c r="H947" s="3">
        <v>44964</v>
      </c>
      <c r="I947" s="4" t="s">
        <v>961</v>
      </c>
      <c r="J947" s="4" t="s">
        <v>20</v>
      </c>
      <c r="K947" s="4" t="str" cm="1">
        <f t="array" ref="K947">_xlfn.IFS(L947&gt;50,"Senior", L947&gt;=30,"Adult", L947&lt;30,"Young Adult")</f>
        <v>Senior</v>
      </c>
      <c r="L947" s="4">
        <v>57</v>
      </c>
      <c r="M947" s="4" t="s">
        <v>21</v>
      </c>
      <c r="N947" s="4">
        <v>4</v>
      </c>
      <c r="O947" s="5">
        <v>50</v>
      </c>
      <c r="P947">
        <f t="shared" si="162"/>
        <v>200</v>
      </c>
      <c r="Q947" s="14">
        <f t="shared" si="169"/>
        <v>3</v>
      </c>
      <c r="R947" s="14">
        <f t="shared" si="170"/>
        <v>4</v>
      </c>
    </row>
    <row r="948" spans="1:18" x14ac:dyDescent="0.35">
      <c r="A948" s="2">
        <v>937</v>
      </c>
      <c r="B948" s="4">
        <f t="shared" si="156"/>
        <v>23</v>
      </c>
      <c r="C948" s="4">
        <f t="shared" si="157"/>
        <v>10</v>
      </c>
      <c r="D948" s="4">
        <f t="shared" si="158"/>
        <v>2023</v>
      </c>
      <c r="E948" s="4" t="str">
        <f t="shared" si="159"/>
        <v>Monday</v>
      </c>
      <c r="F948" s="4" t="str">
        <f t="shared" si="160"/>
        <v>October</v>
      </c>
      <c r="G948" s="4" t="str">
        <f t="shared" si="161"/>
        <v>2023</v>
      </c>
      <c r="H948" s="3">
        <v>45222</v>
      </c>
      <c r="I948" s="4" t="s">
        <v>962</v>
      </c>
      <c r="J948" s="4" t="s">
        <v>23</v>
      </c>
      <c r="K948" s="4" t="str" cm="1">
        <f t="array" ref="K948">_xlfn.IFS(L948&gt;50,"Senior", L948&gt;=30,"Adult", L948&lt;30,"Young Adult")</f>
        <v>Senior</v>
      </c>
      <c r="L948" s="4">
        <v>62</v>
      </c>
      <c r="M948" s="4" t="s">
        <v>21</v>
      </c>
      <c r="N948" s="4">
        <v>1</v>
      </c>
      <c r="O948" s="5">
        <v>500</v>
      </c>
      <c r="P948">
        <f t="shared" si="162"/>
        <v>500</v>
      </c>
      <c r="Q948" s="14">
        <f t="shared" si="169"/>
        <v>7.5</v>
      </c>
      <c r="R948" s="14">
        <f t="shared" si="170"/>
        <v>10</v>
      </c>
    </row>
    <row r="949" spans="1:18" x14ac:dyDescent="0.35">
      <c r="A949" s="2">
        <v>938</v>
      </c>
      <c r="B949" s="4">
        <f t="shared" si="156"/>
        <v>19</v>
      </c>
      <c r="C949" s="4">
        <f t="shared" si="157"/>
        <v>11</v>
      </c>
      <c r="D949" s="4">
        <f t="shared" si="158"/>
        <v>2023</v>
      </c>
      <c r="E949" s="4" t="str">
        <f t="shared" si="159"/>
        <v>Sunday</v>
      </c>
      <c r="F949" s="4" t="str">
        <f t="shared" si="160"/>
        <v>November</v>
      </c>
      <c r="G949" s="4" t="str">
        <f t="shared" si="161"/>
        <v>2023</v>
      </c>
      <c r="H949" s="3">
        <v>45249</v>
      </c>
      <c r="I949" s="4" t="s">
        <v>963</v>
      </c>
      <c r="J949" s="4" t="s">
        <v>20</v>
      </c>
      <c r="K949" s="4" t="str" cm="1">
        <f t="array" ref="K949">_xlfn.IFS(L949&gt;50,"Senior", L949&gt;=30,"Adult", L949&lt;30,"Young Adult")</f>
        <v>Adult</v>
      </c>
      <c r="L949" s="4">
        <v>49</v>
      </c>
      <c r="M949" s="4" t="s">
        <v>24</v>
      </c>
      <c r="N949" s="4">
        <v>4</v>
      </c>
      <c r="O949" s="5">
        <v>50</v>
      </c>
      <c r="P949">
        <f t="shared" si="162"/>
        <v>200</v>
      </c>
      <c r="Q949" s="14" t="e">
        <f>P949*#REF!</f>
        <v>#REF!</v>
      </c>
      <c r="R949" s="14" t="e">
        <f>P949*#REF!</f>
        <v>#REF!</v>
      </c>
    </row>
    <row r="950" spans="1:18" x14ac:dyDescent="0.35">
      <c r="A950" s="2">
        <v>939</v>
      </c>
      <c r="B950" s="4">
        <f t="shared" si="156"/>
        <v>18</v>
      </c>
      <c r="C950" s="4">
        <f t="shared" si="157"/>
        <v>12</v>
      </c>
      <c r="D950" s="4">
        <f t="shared" si="158"/>
        <v>2023</v>
      </c>
      <c r="E950" s="4" t="str">
        <f t="shared" si="159"/>
        <v>Monday</v>
      </c>
      <c r="F950" s="4" t="str">
        <f t="shared" si="160"/>
        <v>December</v>
      </c>
      <c r="G950" s="4" t="str">
        <f t="shared" si="161"/>
        <v>2023</v>
      </c>
      <c r="H950" s="3">
        <v>45278</v>
      </c>
      <c r="I950" s="4" t="s">
        <v>964</v>
      </c>
      <c r="J950" s="4" t="s">
        <v>23</v>
      </c>
      <c r="K950" s="4" t="str" cm="1">
        <f t="array" ref="K950">_xlfn.IFS(L950&gt;50,"Senior", L950&gt;=30,"Adult", L950&lt;30,"Young Adult")</f>
        <v>Adult</v>
      </c>
      <c r="L950" s="4">
        <v>46</v>
      </c>
      <c r="M950" s="4" t="s">
        <v>26</v>
      </c>
      <c r="N950" s="4">
        <v>1</v>
      </c>
      <c r="O950" s="5">
        <v>300</v>
      </c>
      <c r="P950">
        <f t="shared" si="162"/>
        <v>300</v>
      </c>
      <c r="Q950" s="14" t="e">
        <f>P950*#REF!</f>
        <v>#REF!</v>
      </c>
      <c r="R950" s="14" t="e">
        <f>P950*#REF!</f>
        <v>#REF!</v>
      </c>
    </row>
    <row r="951" spans="1:18" x14ac:dyDescent="0.35">
      <c r="A951" s="2">
        <v>940</v>
      </c>
      <c r="B951" s="4">
        <f t="shared" si="156"/>
        <v>28</v>
      </c>
      <c r="C951" s="4">
        <f t="shared" si="157"/>
        <v>1</v>
      </c>
      <c r="D951" s="4">
        <f t="shared" si="158"/>
        <v>2023</v>
      </c>
      <c r="E951" s="4" t="str">
        <f t="shared" si="159"/>
        <v>Saturday</v>
      </c>
      <c r="F951" s="4" t="str">
        <f t="shared" si="160"/>
        <v>January</v>
      </c>
      <c r="G951" s="4" t="str">
        <f t="shared" si="161"/>
        <v>2023</v>
      </c>
      <c r="H951" s="3">
        <v>44954</v>
      </c>
      <c r="I951" s="4" t="s">
        <v>965</v>
      </c>
      <c r="J951" s="4" t="s">
        <v>23</v>
      </c>
      <c r="K951" s="4" t="str" cm="1">
        <f t="array" ref="K951">_xlfn.IFS(L951&gt;50,"Senior", L951&gt;=30,"Adult", L951&lt;30,"Young Adult")</f>
        <v>Young Adult</v>
      </c>
      <c r="L951" s="4">
        <v>20</v>
      </c>
      <c r="M951" s="4" t="s">
        <v>26</v>
      </c>
      <c r="N951" s="4">
        <v>1</v>
      </c>
      <c r="O951" s="5">
        <v>30</v>
      </c>
      <c r="P951">
        <f t="shared" si="162"/>
        <v>30</v>
      </c>
      <c r="Q951" s="14" t="e">
        <f>P951*#REF!</f>
        <v>#REF!</v>
      </c>
      <c r="R951" s="14" t="e">
        <f>P951*#REF!</f>
        <v>#REF!</v>
      </c>
    </row>
    <row r="952" spans="1:18" x14ac:dyDescent="0.35">
      <c r="A952" s="2">
        <v>941</v>
      </c>
      <c r="B952" s="4">
        <f t="shared" si="156"/>
        <v>19</v>
      </c>
      <c r="C952" s="4">
        <f t="shared" si="157"/>
        <v>3</v>
      </c>
      <c r="D952" s="4">
        <f t="shared" si="158"/>
        <v>2023</v>
      </c>
      <c r="E952" s="4" t="str">
        <f t="shared" si="159"/>
        <v>Sunday</v>
      </c>
      <c r="F952" s="4" t="str">
        <f t="shared" si="160"/>
        <v>March</v>
      </c>
      <c r="G952" s="4" t="str">
        <f t="shared" si="161"/>
        <v>2023</v>
      </c>
      <c r="H952" s="3">
        <v>45004</v>
      </c>
      <c r="I952" s="4" t="s">
        <v>966</v>
      </c>
      <c r="J952" s="4" t="s">
        <v>23</v>
      </c>
      <c r="K952" s="4" t="str" cm="1">
        <f t="array" ref="K952">_xlfn.IFS(L952&gt;50,"Senior", L952&gt;=30,"Adult", L952&lt;30,"Young Adult")</f>
        <v>Senior</v>
      </c>
      <c r="L952" s="4">
        <v>57</v>
      </c>
      <c r="M952" s="4" t="s">
        <v>24</v>
      </c>
      <c r="N952" s="4">
        <v>2</v>
      </c>
      <c r="O952" s="5">
        <v>25</v>
      </c>
      <c r="P952">
        <f t="shared" si="162"/>
        <v>50</v>
      </c>
      <c r="Q952" s="14" t="e">
        <f>P952*#REF!</f>
        <v>#REF!</v>
      </c>
      <c r="R952" s="14" t="e">
        <f>P952*#REF!</f>
        <v>#REF!</v>
      </c>
    </row>
    <row r="953" spans="1:18" x14ac:dyDescent="0.35">
      <c r="A953" s="2">
        <v>942</v>
      </c>
      <c r="B953" s="4">
        <f t="shared" si="156"/>
        <v>18</v>
      </c>
      <c r="C953" s="4">
        <f t="shared" si="157"/>
        <v>3</v>
      </c>
      <c r="D953" s="4">
        <f t="shared" si="158"/>
        <v>2023</v>
      </c>
      <c r="E953" s="4" t="str">
        <f t="shared" si="159"/>
        <v>Saturday</v>
      </c>
      <c r="F953" s="4" t="str">
        <f t="shared" si="160"/>
        <v>March</v>
      </c>
      <c r="G953" s="4" t="str">
        <f t="shared" si="161"/>
        <v>2023</v>
      </c>
      <c r="H953" s="3">
        <v>45003</v>
      </c>
      <c r="I953" s="4" t="s">
        <v>967</v>
      </c>
      <c r="J953" s="4" t="s">
        <v>20</v>
      </c>
      <c r="K953" s="4" t="str" cm="1">
        <f t="array" ref="K953">_xlfn.IFS(L953&gt;50,"Senior", L953&gt;=30,"Adult", L953&lt;30,"Young Adult")</f>
        <v>Senior</v>
      </c>
      <c r="L953" s="4">
        <v>51</v>
      </c>
      <c r="M953" s="4" t="s">
        <v>24</v>
      </c>
      <c r="N953" s="4">
        <v>3</v>
      </c>
      <c r="O953" s="5">
        <v>500</v>
      </c>
      <c r="P953">
        <f t="shared" si="162"/>
        <v>1500</v>
      </c>
      <c r="Q953" s="14" t="e">
        <f>P953*#REF!</f>
        <v>#REF!</v>
      </c>
      <c r="R953" s="14" t="e">
        <f>P953*#REF!</f>
        <v>#REF!</v>
      </c>
    </row>
    <row r="954" spans="1:18" x14ac:dyDescent="0.35">
      <c r="A954" s="2">
        <v>943</v>
      </c>
      <c r="B954" s="4">
        <f t="shared" si="156"/>
        <v>16</v>
      </c>
      <c r="C954" s="4">
        <f t="shared" si="157"/>
        <v>10</v>
      </c>
      <c r="D954" s="4">
        <f t="shared" si="158"/>
        <v>2023</v>
      </c>
      <c r="E954" s="4" t="str">
        <f t="shared" si="159"/>
        <v>Monday</v>
      </c>
      <c r="F954" s="4" t="str">
        <f t="shared" si="160"/>
        <v>October</v>
      </c>
      <c r="G954" s="4" t="str">
        <f t="shared" si="161"/>
        <v>2023</v>
      </c>
      <c r="H954" s="3">
        <v>45215</v>
      </c>
      <c r="I954" s="4" t="s">
        <v>968</v>
      </c>
      <c r="J954" s="4" t="s">
        <v>23</v>
      </c>
      <c r="K954" s="4" t="str" cm="1">
        <f t="array" ref="K954">_xlfn.IFS(L954&gt;50,"Senior", L954&gt;=30,"Adult", L954&lt;30,"Young Adult")</f>
        <v>Senior</v>
      </c>
      <c r="L954" s="4">
        <v>57</v>
      </c>
      <c r="M954" s="4" t="s">
        <v>24</v>
      </c>
      <c r="N954" s="4">
        <v>4</v>
      </c>
      <c r="O954" s="5">
        <v>300</v>
      </c>
      <c r="P954">
        <f t="shared" si="162"/>
        <v>1200</v>
      </c>
      <c r="Q954" s="14" t="e">
        <f>P954*#REF!</f>
        <v>#REF!</v>
      </c>
      <c r="R954" s="14" t="e">
        <f>P954*#REF!</f>
        <v>#REF!</v>
      </c>
    </row>
    <row r="955" spans="1:18" x14ac:dyDescent="0.35">
      <c r="A955" s="2">
        <v>944</v>
      </c>
      <c r="B955" s="4">
        <f t="shared" si="156"/>
        <v>5</v>
      </c>
      <c r="C955" s="4">
        <f t="shared" si="157"/>
        <v>6</v>
      </c>
      <c r="D955" s="4">
        <f t="shared" si="158"/>
        <v>2023</v>
      </c>
      <c r="E955" s="4" t="str">
        <f t="shared" si="159"/>
        <v>Monday</v>
      </c>
      <c r="F955" s="4" t="str">
        <f t="shared" si="160"/>
        <v>June</v>
      </c>
      <c r="G955" s="4" t="str">
        <f t="shared" si="161"/>
        <v>2023</v>
      </c>
      <c r="H955" s="3">
        <v>45082</v>
      </c>
      <c r="I955" s="4" t="s">
        <v>969</v>
      </c>
      <c r="J955" s="4" t="s">
        <v>20</v>
      </c>
      <c r="K955" s="4" t="str" cm="1">
        <f t="array" ref="K955">_xlfn.IFS(L955&gt;50,"Senior", L955&gt;=30,"Adult", L955&lt;30,"Young Adult")</f>
        <v>Adult</v>
      </c>
      <c r="L955" s="4">
        <v>44</v>
      </c>
      <c r="M955" s="4" t="s">
        <v>24</v>
      </c>
      <c r="N955" s="4">
        <v>2</v>
      </c>
      <c r="O955" s="5">
        <v>25</v>
      </c>
      <c r="P955">
        <f t="shared" si="162"/>
        <v>50</v>
      </c>
      <c r="Q955" s="14" t="e">
        <f>P955*#REF!</f>
        <v>#REF!</v>
      </c>
      <c r="R955" s="14" t="e">
        <f>P955*#REF!</f>
        <v>#REF!</v>
      </c>
    </row>
    <row r="956" spans="1:18" x14ac:dyDescent="0.35">
      <c r="A956" s="2">
        <v>945</v>
      </c>
      <c r="B956" s="4">
        <f t="shared" si="156"/>
        <v>13</v>
      </c>
      <c r="C956" s="4">
        <f t="shared" si="157"/>
        <v>2</v>
      </c>
      <c r="D956" s="4">
        <f t="shared" si="158"/>
        <v>2023</v>
      </c>
      <c r="E956" s="4" t="str">
        <f t="shared" si="159"/>
        <v>Monday</v>
      </c>
      <c r="F956" s="4" t="str">
        <f t="shared" si="160"/>
        <v>February</v>
      </c>
      <c r="G956" s="4" t="str">
        <f t="shared" si="161"/>
        <v>2023</v>
      </c>
      <c r="H956" s="3">
        <v>44970</v>
      </c>
      <c r="I956" s="4" t="s">
        <v>970</v>
      </c>
      <c r="J956" s="4" t="s">
        <v>20</v>
      </c>
      <c r="K956" s="4" t="str" cm="1">
        <f t="array" ref="K956">_xlfn.IFS(L956&gt;50,"Senior", L956&gt;=30,"Adult", L956&lt;30,"Young Adult")</f>
        <v>Adult</v>
      </c>
      <c r="L956" s="4">
        <v>30</v>
      </c>
      <c r="M956" s="4" t="s">
        <v>21</v>
      </c>
      <c r="N956" s="4">
        <v>1</v>
      </c>
      <c r="O956" s="5">
        <v>25</v>
      </c>
      <c r="P956">
        <f t="shared" si="162"/>
        <v>25</v>
      </c>
      <c r="Q956" s="14">
        <f>P956*$I$4</f>
        <v>0.375</v>
      </c>
      <c r="R956" s="14">
        <f>P956*$I$5</f>
        <v>0.5</v>
      </c>
    </row>
    <row r="957" spans="1:18" x14ac:dyDescent="0.35">
      <c r="A957" s="2">
        <v>946</v>
      </c>
      <c r="B957" s="4">
        <f t="shared" si="156"/>
        <v>8</v>
      </c>
      <c r="C957" s="4">
        <f t="shared" si="157"/>
        <v>5</v>
      </c>
      <c r="D957" s="4">
        <f t="shared" si="158"/>
        <v>2023</v>
      </c>
      <c r="E957" s="4" t="str">
        <f t="shared" si="159"/>
        <v>Monday</v>
      </c>
      <c r="F957" s="4" t="str">
        <f t="shared" si="160"/>
        <v>May</v>
      </c>
      <c r="G957" s="4" t="str">
        <f t="shared" si="161"/>
        <v>2023</v>
      </c>
      <c r="H957" s="3">
        <v>45054</v>
      </c>
      <c r="I957" s="4" t="s">
        <v>971</v>
      </c>
      <c r="J957" s="4" t="s">
        <v>20</v>
      </c>
      <c r="K957" s="4" t="str" cm="1">
        <f t="array" ref="K957">_xlfn.IFS(L957&gt;50,"Senior", L957&gt;=30,"Adult", L957&lt;30,"Young Adult")</f>
        <v>Senior</v>
      </c>
      <c r="L957" s="4">
        <v>62</v>
      </c>
      <c r="M957" s="4" t="s">
        <v>26</v>
      </c>
      <c r="N957" s="4">
        <v>4</v>
      </c>
      <c r="O957" s="5">
        <v>500</v>
      </c>
      <c r="P957">
        <f t="shared" si="162"/>
        <v>2000</v>
      </c>
      <c r="Q957" s="14" t="e">
        <f>P957*#REF!</f>
        <v>#REF!</v>
      </c>
      <c r="R957" s="14" t="e">
        <f>P957*#REF!</f>
        <v>#REF!</v>
      </c>
    </row>
    <row r="958" spans="1:18" x14ac:dyDescent="0.35">
      <c r="A958" s="2">
        <v>947</v>
      </c>
      <c r="B958" s="4">
        <f t="shared" si="156"/>
        <v>2</v>
      </c>
      <c r="C958" s="4">
        <f t="shared" si="157"/>
        <v>3</v>
      </c>
      <c r="D958" s="4">
        <f t="shared" si="158"/>
        <v>2023</v>
      </c>
      <c r="E958" s="4" t="str">
        <f t="shared" si="159"/>
        <v>Thursday</v>
      </c>
      <c r="F958" s="4" t="str">
        <f t="shared" si="160"/>
        <v>March</v>
      </c>
      <c r="G958" s="4" t="str">
        <f t="shared" si="161"/>
        <v>2023</v>
      </c>
      <c r="H958" s="3">
        <v>44987</v>
      </c>
      <c r="I958" s="4" t="s">
        <v>972</v>
      </c>
      <c r="J958" s="4" t="s">
        <v>20</v>
      </c>
      <c r="K958" s="4" t="str" cm="1">
        <f t="array" ref="K958">_xlfn.IFS(L958&gt;50,"Senior", L958&gt;=30,"Adult", L958&lt;30,"Young Adult")</f>
        <v>Adult</v>
      </c>
      <c r="L958" s="4">
        <v>50</v>
      </c>
      <c r="M958" s="4" t="s">
        <v>21</v>
      </c>
      <c r="N958" s="4">
        <v>1</v>
      </c>
      <c r="O958" s="5">
        <v>300</v>
      </c>
      <c r="P958">
        <f t="shared" si="162"/>
        <v>300</v>
      </c>
      <c r="Q958" s="14">
        <f>P958*$I$4</f>
        <v>4.5</v>
      </c>
      <c r="R958" s="14">
        <f>P958*$I$5</f>
        <v>6</v>
      </c>
    </row>
    <row r="959" spans="1:18" x14ac:dyDescent="0.35">
      <c r="A959" s="2">
        <v>948</v>
      </c>
      <c r="B959" s="4">
        <f t="shared" si="156"/>
        <v>13</v>
      </c>
      <c r="C959" s="4">
        <f t="shared" si="157"/>
        <v>10</v>
      </c>
      <c r="D959" s="4">
        <f t="shared" si="158"/>
        <v>2023</v>
      </c>
      <c r="E959" s="4" t="str">
        <f t="shared" si="159"/>
        <v>Friday</v>
      </c>
      <c r="F959" s="4" t="str">
        <f t="shared" si="160"/>
        <v>October</v>
      </c>
      <c r="G959" s="4" t="str">
        <f t="shared" si="161"/>
        <v>2023</v>
      </c>
      <c r="H959" s="3">
        <v>45212</v>
      </c>
      <c r="I959" s="4" t="s">
        <v>973</v>
      </c>
      <c r="J959" s="4" t="s">
        <v>23</v>
      </c>
      <c r="K959" s="4" t="str" cm="1">
        <f t="array" ref="K959">_xlfn.IFS(L959&gt;50,"Senior", L959&gt;=30,"Adult", L959&lt;30,"Young Adult")</f>
        <v>Young Adult</v>
      </c>
      <c r="L959" s="4">
        <v>23</v>
      </c>
      <c r="M959" s="4" t="s">
        <v>26</v>
      </c>
      <c r="N959" s="4">
        <v>3</v>
      </c>
      <c r="O959" s="5">
        <v>25</v>
      </c>
      <c r="P959">
        <f t="shared" si="162"/>
        <v>75</v>
      </c>
      <c r="Q959" s="14" t="e">
        <f>P959*#REF!</f>
        <v>#REF!</v>
      </c>
      <c r="R959" s="14" t="e">
        <f>P959*#REF!</f>
        <v>#REF!</v>
      </c>
    </row>
    <row r="960" spans="1:18" x14ac:dyDescent="0.35">
      <c r="A960" s="2">
        <v>949</v>
      </c>
      <c r="B960" s="4">
        <f t="shared" si="156"/>
        <v>2</v>
      </c>
      <c r="C960" s="4">
        <f t="shared" si="157"/>
        <v>8</v>
      </c>
      <c r="D960" s="4">
        <f t="shared" si="158"/>
        <v>2023</v>
      </c>
      <c r="E960" s="4" t="str">
        <f t="shared" si="159"/>
        <v>Wednesday</v>
      </c>
      <c r="F960" s="4" t="str">
        <f t="shared" si="160"/>
        <v>August</v>
      </c>
      <c r="G960" s="4" t="str">
        <f t="shared" si="161"/>
        <v>2023</v>
      </c>
      <c r="H960" s="3">
        <v>45140</v>
      </c>
      <c r="I960" s="4" t="s">
        <v>974</v>
      </c>
      <c r="J960" s="4" t="s">
        <v>23</v>
      </c>
      <c r="K960" s="4" t="str" cm="1">
        <f t="array" ref="K960">_xlfn.IFS(L960&gt;50,"Senior", L960&gt;=30,"Adult", L960&lt;30,"Young Adult")</f>
        <v>Adult</v>
      </c>
      <c r="L960" s="4">
        <v>41</v>
      </c>
      <c r="M960" s="4" t="s">
        <v>26</v>
      </c>
      <c r="N960" s="4">
        <v>2</v>
      </c>
      <c r="O960" s="5">
        <v>25</v>
      </c>
      <c r="P960">
        <f t="shared" si="162"/>
        <v>50</v>
      </c>
      <c r="Q960" s="14" t="e">
        <f>P960*#REF!</f>
        <v>#REF!</v>
      </c>
      <c r="R960" s="14" t="e">
        <f>P960*#REF!</f>
        <v>#REF!</v>
      </c>
    </row>
    <row r="961" spans="1:18" x14ac:dyDescent="0.35">
      <c r="A961" s="2">
        <v>950</v>
      </c>
      <c r="B961" s="4">
        <f t="shared" si="156"/>
        <v>7</v>
      </c>
      <c r="C961" s="4">
        <f t="shared" si="157"/>
        <v>11</v>
      </c>
      <c r="D961" s="4">
        <f t="shared" si="158"/>
        <v>2023</v>
      </c>
      <c r="E961" s="4" t="str">
        <f t="shared" si="159"/>
        <v>Tuesday</v>
      </c>
      <c r="F961" s="4" t="str">
        <f t="shared" si="160"/>
        <v>November</v>
      </c>
      <c r="G961" s="4" t="str">
        <f t="shared" si="161"/>
        <v>2023</v>
      </c>
      <c r="H961" s="3">
        <v>45237</v>
      </c>
      <c r="I961" s="4" t="s">
        <v>975</v>
      </c>
      <c r="J961" s="4" t="s">
        <v>20</v>
      </c>
      <c r="K961" s="4" t="str" cm="1">
        <f t="array" ref="K961">_xlfn.IFS(L961&gt;50,"Senior", L961&gt;=30,"Adult", L961&lt;30,"Young Adult")</f>
        <v>Adult</v>
      </c>
      <c r="L961" s="4">
        <v>36</v>
      </c>
      <c r="M961" s="4" t="s">
        <v>24</v>
      </c>
      <c r="N961" s="4">
        <v>3</v>
      </c>
      <c r="O961" s="5">
        <v>300</v>
      </c>
      <c r="P961">
        <f t="shared" si="162"/>
        <v>900</v>
      </c>
      <c r="Q961" s="14" t="e">
        <f>P961*#REF!</f>
        <v>#REF!</v>
      </c>
      <c r="R961" s="14" t="e">
        <f>P961*#REF!</f>
        <v>#REF!</v>
      </c>
    </row>
    <row r="962" spans="1:18" x14ac:dyDescent="0.35">
      <c r="A962" s="2">
        <v>951</v>
      </c>
      <c r="B962" s="4">
        <f t="shared" si="156"/>
        <v>2</v>
      </c>
      <c r="C962" s="4">
        <f t="shared" si="157"/>
        <v>11</v>
      </c>
      <c r="D962" s="4">
        <f t="shared" si="158"/>
        <v>2023</v>
      </c>
      <c r="E962" s="4" t="str">
        <f t="shared" si="159"/>
        <v>Thursday</v>
      </c>
      <c r="F962" s="4" t="str">
        <f t="shared" si="160"/>
        <v>November</v>
      </c>
      <c r="G962" s="4" t="str">
        <f t="shared" si="161"/>
        <v>2023</v>
      </c>
      <c r="H962" s="3">
        <v>45232</v>
      </c>
      <c r="I962" s="4" t="s">
        <v>976</v>
      </c>
      <c r="J962" s="4" t="s">
        <v>20</v>
      </c>
      <c r="K962" s="4" t="str" cm="1">
        <f t="array" ref="K962">_xlfn.IFS(L962&gt;50,"Senior", L962&gt;=30,"Adult", L962&lt;30,"Young Adult")</f>
        <v>Adult</v>
      </c>
      <c r="L962" s="4">
        <v>33</v>
      </c>
      <c r="M962" s="4" t="s">
        <v>21</v>
      </c>
      <c r="N962" s="4">
        <v>2</v>
      </c>
      <c r="O962" s="5">
        <v>50</v>
      </c>
      <c r="P962">
        <f t="shared" si="162"/>
        <v>100</v>
      </c>
      <c r="Q962" s="14">
        <f>P962*$I$4</f>
        <v>1.5</v>
      </c>
      <c r="R962" s="14">
        <f>P962*$I$5</f>
        <v>2</v>
      </c>
    </row>
    <row r="963" spans="1:18" x14ac:dyDescent="0.35">
      <c r="A963" s="2">
        <v>952</v>
      </c>
      <c r="B963" s="4">
        <f t="shared" si="156"/>
        <v>13</v>
      </c>
      <c r="C963" s="4">
        <f t="shared" si="157"/>
        <v>11</v>
      </c>
      <c r="D963" s="4">
        <f t="shared" si="158"/>
        <v>2023</v>
      </c>
      <c r="E963" s="4" t="str">
        <f t="shared" si="159"/>
        <v>Monday</v>
      </c>
      <c r="F963" s="4" t="str">
        <f t="shared" si="160"/>
        <v>November</v>
      </c>
      <c r="G963" s="4" t="str">
        <f t="shared" si="161"/>
        <v>2023</v>
      </c>
      <c r="H963" s="3">
        <v>45243</v>
      </c>
      <c r="I963" s="4" t="s">
        <v>977</v>
      </c>
      <c r="J963" s="4" t="s">
        <v>23</v>
      </c>
      <c r="K963" s="4" t="str" cm="1">
        <f t="array" ref="K963">_xlfn.IFS(L963&gt;50,"Senior", L963&gt;=30,"Adult", L963&lt;30,"Young Adult")</f>
        <v>Senior</v>
      </c>
      <c r="L963" s="4">
        <v>57</v>
      </c>
      <c r="M963" s="4" t="s">
        <v>24</v>
      </c>
      <c r="N963" s="4">
        <v>1</v>
      </c>
      <c r="O963" s="5">
        <v>25</v>
      </c>
      <c r="P963">
        <f t="shared" si="162"/>
        <v>25</v>
      </c>
      <c r="Q963" s="14" t="e">
        <f>P963*#REF!</f>
        <v>#REF!</v>
      </c>
      <c r="R963" s="14" t="e">
        <f>P963*#REF!</f>
        <v>#REF!</v>
      </c>
    </row>
    <row r="964" spans="1:18" x14ac:dyDescent="0.35">
      <c r="A964" s="2">
        <v>953</v>
      </c>
      <c r="B964" s="4">
        <f t="shared" si="156"/>
        <v>26</v>
      </c>
      <c r="C964" s="4">
        <f t="shared" si="157"/>
        <v>4</v>
      </c>
      <c r="D964" s="4">
        <f t="shared" si="158"/>
        <v>2023</v>
      </c>
      <c r="E964" s="4" t="str">
        <f t="shared" si="159"/>
        <v>Wednesday</v>
      </c>
      <c r="F964" s="4" t="str">
        <f t="shared" si="160"/>
        <v>April</v>
      </c>
      <c r="G964" s="4" t="str">
        <f t="shared" si="161"/>
        <v>2023</v>
      </c>
      <c r="H964" s="3">
        <v>45042</v>
      </c>
      <c r="I964" s="4" t="s">
        <v>978</v>
      </c>
      <c r="J964" s="4" t="s">
        <v>20</v>
      </c>
      <c r="K964" s="4" t="str" cm="1">
        <f t="array" ref="K964">_xlfn.IFS(L964&gt;50,"Senior", L964&gt;=30,"Adult", L964&lt;30,"Young Adult")</f>
        <v>Adult</v>
      </c>
      <c r="L964" s="4">
        <v>45</v>
      </c>
      <c r="M964" s="4" t="s">
        <v>21</v>
      </c>
      <c r="N964" s="4">
        <v>3</v>
      </c>
      <c r="O964" s="5">
        <v>30</v>
      </c>
      <c r="P964">
        <f t="shared" si="162"/>
        <v>90</v>
      </c>
      <c r="Q964" s="14">
        <f>P964*$I$4</f>
        <v>1.3499999999999999</v>
      </c>
      <c r="R964" s="14">
        <f>P964*$I$5</f>
        <v>1.8</v>
      </c>
    </row>
    <row r="965" spans="1:18" x14ac:dyDescent="0.35">
      <c r="A965" s="2">
        <v>954</v>
      </c>
      <c r="B965" s="4">
        <f t="shared" si="156"/>
        <v>25</v>
      </c>
      <c r="C965" s="4">
        <f t="shared" si="157"/>
        <v>9</v>
      </c>
      <c r="D965" s="4">
        <f t="shared" si="158"/>
        <v>2023</v>
      </c>
      <c r="E965" s="4" t="str">
        <f t="shared" si="159"/>
        <v>Monday</v>
      </c>
      <c r="F965" s="4" t="str">
        <f t="shared" si="160"/>
        <v>September</v>
      </c>
      <c r="G965" s="4" t="str">
        <f t="shared" si="161"/>
        <v>2023</v>
      </c>
      <c r="H965" s="3">
        <v>45194</v>
      </c>
      <c r="I965" s="4" t="s">
        <v>979</v>
      </c>
      <c r="J965" s="4" t="s">
        <v>23</v>
      </c>
      <c r="K965" s="4" t="str" cm="1">
        <f t="array" ref="K965">_xlfn.IFS(L965&gt;50,"Senior", L965&gt;=30,"Adult", L965&lt;30,"Young Adult")</f>
        <v>Adult</v>
      </c>
      <c r="L965" s="4">
        <v>50</v>
      </c>
      <c r="M965" s="4" t="s">
        <v>26</v>
      </c>
      <c r="N965" s="4">
        <v>3</v>
      </c>
      <c r="O965" s="5">
        <v>300</v>
      </c>
      <c r="P965">
        <f t="shared" si="162"/>
        <v>900</v>
      </c>
      <c r="Q965" s="14" t="e">
        <f>P965*#REF!</f>
        <v>#REF!</v>
      </c>
      <c r="R965" s="14" t="e">
        <f>P965*#REF!</f>
        <v>#REF!</v>
      </c>
    </row>
    <row r="966" spans="1:18" x14ac:dyDescent="0.35">
      <c r="A966" s="2">
        <v>955</v>
      </c>
      <c r="B966" s="4">
        <f t="shared" si="156"/>
        <v>14</v>
      </c>
      <c r="C966" s="4">
        <f t="shared" si="157"/>
        <v>7</v>
      </c>
      <c r="D966" s="4">
        <f t="shared" si="158"/>
        <v>2023</v>
      </c>
      <c r="E966" s="4" t="str">
        <f t="shared" si="159"/>
        <v>Friday</v>
      </c>
      <c r="F966" s="4" t="str">
        <f t="shared" si="160"/>
        <v>July</v>
      </c>
      <c r="G966" s="4" t="str">
        <f t="shared" si="161"/>
        <v>2023</v>
      </c>
      <c r="H966" s="3">
        <v>45121</v>
      </c>
      <c r="I966" s="4" t="s">
        <v>980</v>
      </c>
      <c r="J966" s="4" t="s">
        <v>20</v>
      </c>
      <c r="K966" s="4" t="str" cm="1">
        <f t="array" ref="K966">_xlfn.IFS(L966&gt;50,"Senior", L966&gt;=30,"Adult", L966&lt;30,"Young Adult")</f>
        <v>Senior</v>
      </c>
      <c r="L966" s="4">
        <v>58</v>
      </c>
      <c r="M966" s="4" t="s">
        <v>24</v>
      </c>
      <c r="N966" s="4">
        <v>1</v>
      </c>
      <c r="O966" s="5">
        <v>25</v>
      </c>
      <c r="P966">
        <f t="shared" si="162"/>
        <v>25</v>
      </c>
      <c r="Q966" s="14" t="e">
        <f>P966*#REF!</f>
        <v>#REF!</v>
      </c>
      <c r="R966" s="14" t="e">
        <f>P966*#REF!</f>
        <v>#REF!</v>
      </c>
    </row>
    <row r="967" spans="1:18" x14ac:dyDescent="0.35">
      <c r="A967" s="2">
        <v>956</v>
      </c>
      <c r="B967" s="4">
        <f t="shared" si="156"/>
        <v>19</v>
      </c>
      <c r="C967" s="4">
        <f t="shared" si="157"/>
        <v>8</v>
      </c>
      <c r="D967" s="4">
        <f t="shared" si="158"/>
        <v>2023</v>
      </c>
      <c r="E967" s="4" t="str">
        <f t="shared" si="159"/>
        <v>Saturday</v>
      </c>
      <c r="F967" s="4" t="str">
        <f t="shared" si="160"/>
        <v>August</v>
      </c>
      <c r="G967" s="4" t="str">
        <f t="shared" si="161"/>
        <v>2023</v>
      </c>
      <c r="H967" s="3">
        <v>45157</v>
      </c>
      <c r="I967" s="4" t="s">
        <v>981</v>
      </c>
      <c r="J967" s="4" t="s">
        <v>20</v>
      </c>
      <c r="K967" s="4" t="str" cm="1">
        <f t="array" ref="K967">_xlfn.IFS(L967&gt;50,"Senior", L967&gt;=30,"Adult", L967&lt;30,"Young Adult")</f>
        <v>Adult</v>
      </c>
      <c r="L967" s="4">
        <v>30</v>
      </c>
      <c r="M967" s="4" t="s">
        <v>24</v>
      </c>
      <c r="N967" s="4">
        <v>3</v>
      </c>
      <c r="O967" s="5">
        <v>500</v>
      </c>
      <c r="P967">
        <f t="shared" si="162"/>
        <v>1500</v>
      </c>
      <c r="Q967" s="14" t="e">
        <f>P967*#REF!</f>
        <v>#REF!</v>
      </c>
      <c r="R967" s="14" t="e">
        <f>P967*#REF!</f>
        <v>#REF!</v>
      </c>
    </row>
    <row r="968" spans="1:18" x14ac:dyDescent="0.35">
      <c r="A968" s="2">
        <v>957</v>
      </c>
      <c r="B968" s="4">
        <f t="shared" si="156"/>
        <v>15</v>
      </c>
      <c r="C968" s="4">
        <f t="shared" si="157"/>
        <v>8</v>
      </c>
      <c r="D968" s="4">
        <f t="shared" si="158"/>
        <v>2023</v>
      </c>
      <c r="E968" s="4" t="str">
        <f t="shared" si="159"/>
        <v>Tuesday</v>
      </c>
      <c r="F968" s="4" t="str">
        <f t="shared" si="160"/>
        <v>August</v>
      </c>
      <c r="G968" s="4" t="str">
        <f t="shared" si="161"/>
        <v>2023</v>
      </c>
      <c r="H968" s="3">
        <v>45153</v>
      </c>
      <c r="I968" s="4" t="s">
        <v>982</v>
      </c>
      <c r="J968" s="4" t="s">
        <v>23</v>
      </c>
      <c r="K968" s="4" t="str" cm="1">
        <f t="array" ref="K968">_xlfn.IFS(L968&gt;50,"Senior", L968&gt;=30,"Adult", L968&lt;30,"Young Adult")</f>
        <v>Senior</v>
      </c>
      <c r="L968" s="4">
        <v>60</v>
      </c>
      <c r="M968" s="4" t="s">
        <v>26</v>
      </c>
      <c r="N968" s="4">
        <v>4</v>
      </c>
      <c r="O968" s="5">
        <v>30</v>
      </c>
      <c r="P968">
        <f t="shared" si="162"/>
        <v>120</v>
      </c>
      <c r="Q968" s="14" t="e">
        <f>P968*#REF!</f>
        <v>#REF!</v>
      </c>
      <c r="R968" s="14" t="e">
        <f>P968*#REF!</f>
        <v>#REF!</v>
      </c>
    </row>
    <row r="969" spans="1:18" x14ac:dyDescent="0.35">
      <c r="A969" s="2">
        <v>958</v>
      </c>
      <c r="B969" s="4">
        <f t="shared" si="156"/>
        <v>2</v>
      </c>
      <c r="C969" s="4">
        <f t="shared" si="157"/>
        <v>6</v>
      </c>
      <c r="D969" s="4">
        <f t="shared" si="158"/>
        <v>2023</v>
      </c>
      <c r="E969" s="4" t="str">
        <f t="shared" si="159"/>
        <v>Friday</v>
      </c>
      <c r="F969" s="4" t="str">
        <f t="shared" si="160"/>
        <v>June</v>
      </c>
      <c r="G969" s="4" t="str">
        <f t="shared" si="161"/>
        <v>2023</v>
      </c>
      <c r="H969" s="3">
        <v>45079</v>
      </c>
      <c r="I969" s="4" t="s">
        <v>983</v>
      </c>
      <c r="J969" s="4" t="s">
        <v>20</v>
      </c>
      <c r="K969" s="4" t="str" cm="1">
        <f t="array" ref="K969">_xlfn.IFS(L969&gt;50,"Senior", L969&gt;=30,"Adult", L969&lt;30,"Young Adult")</f>
        <v>Senior</v>
      </c>
      <c r="L969" s="4">
        <v>62</v>
      </c>
      <c r="M969" s="4" t="s">
        <v>26</v>
      </c>
      <c r="N969" s="4">
        <v>2</v>
      </c>
      <c r="O969" s="5">
        <v>25</v>
      </c>
      <c r="P969">
        <f t="shared" si="162"/>
        <v>50</v>
      </c>
      <c r="Q969" s="14" t="e">
        <f>P969*#REF!</f>
        <v>#REF!</v>
      </c>
      <c r="R969" s="14" t="e">
        <f>P969*#REF!</f>
        <v>#REF!</v>
      </c>
    </row>
    <row r="970" spans="1:18" x14ac:dyDescent="0.35">
      <c r="A970" s="2">
        <v>959</v>
      </c>
      <c r="B970" s="4">
        <f t="shared" si="156"/>
        <v>29</v>
      </c>
      <c r="C970" s="4">
        <f t="shared" si="157"/>
        <v>10</v>
      </c>
      <c r="D970" s="4">
        <f t="shared" si="158"/>
        <v>2023</v>
      </c>
      <c r="E970" s="4" t="str">
        <f t="shared" si="159"/>
        <v>Sunday</v>
      </c>
      <c r="F970" s="4" t="str">
        <f t="shared" si="160"/>
        <v>October</v>
      </c>
      <c r="G970" s="4" t="str">
        <f t="shared" si="161"/>
        <v>2023</v>
      </c>
      <c r="H970" s="3">
        <v>45228</v>
      </c>
      <c r="I970" s="4" t="s">
        <v>984</v>
      </c>
      <c r="J970" s="4" t="s">
        <v>23</v>
      </c>
      <c r="K970" s="4" t="str" cm="1">
        <f t="array" ref="K970">_xlfn.IFS(L970&gt;50,"Senior", L970&gt;=30,"Adult", L970&lt;30,"Young Adult")</f>
        <v>Adult</v>
      </c>
      <c r="L970" s="4">
        <v>42</v>
      </c>
      <c r="M970" s="4" t="s">
        <v>26</v>
      </c>
      <c r="N970" s="4">
        <v>2</v>
      </c>
      <c r="O970" s="5">
        <v>30</v>
      </c>
      <c r="P970">
        <f t="shared" si="162"/>
        <v>60</v>
      </c>
      <c r="Q970" s="14" t="e">
        <f>P970*#REF!</f>
        <v>#REF!</v>
      </c>
      <c r="R970" s="14" t="e">
        <f>P970*#REF!</f>
        <v>#REF!</v>
      </c>
    </row>
    <row r="971" spans="1:18" x14ac:dyDescent="0.35">
      <c r="A971" s="2">
        <v>960</v>
      </c>
      <c r="B971" s="4">
        <f t="shared" si="156"/>
        <v>8</v>
      </c>
      <c r="C971" s="4">
        <f t="shared" si="157"/>
        <v>8</v>
      </c>
      <c r="D971" s="4">
        <f t="shared" si="158"/>
        <v>2023</v>
      </c>
      <c r="E971" s="4" t="str">
        <f t="shared" si="159"/>
        <v>Tuesday</v>
      </c>
      <c r="F971" s="4" t="str">
        <f t="shared" si="160"/>
        <v>August</v>
      </c>
      <c r="G971" s="4" t="str">
        <f t="shared" si="161"/>
        <v>2023</v>
      </c>
      <c r="H971" s="3">
        <v>45146</v>
      </c>
      <c r="I971" s="4" t="s">
        <v>985</v>
      </c>
      <c r="J971" s="4" t="s">
        <v>20</v>
      </c>
      <c r="K971" s="4" t="str" cm="1">
        <f t="array" ref="K971">_xlfn.IFS(L971&gt;50,"Senior", L971&gt;=30,"Adult", L971&lt;30,"Young Adult")</f>
        <v>Senior</v>
      </c>
      <c r="L971" s="4">
        <v>59</v>
      </c>
      <c r="M971" s="4" t="s">
        <v>24</v>
      </c>
      <c r="N971" s="4">
        <v>2</v>
      </c>
      <c r="O971" s="5">
        <v>30</v>
      </c>
      <c r="P971">
        <f t="shared" si="162"/>
        <v>60</v>
      </c>
      <c r="Q971" s="14" t="e">
        <f>P971*#REF!</f>
        <v>#REF!</v>
      </c>
      <c r="R971" s="14" t="e">
        <f>P971*#REF!</f>
        <v>#REF!</v>
      </c>
    </row>
    <row r="972" spans="1:18" x14ac:dyDescent="0.35">
      <c r="A972" s="2">
        <v>961</v>
      </c>
      <c r="B972" s="4">
        <f t="shared" ref="B972:B1011" si="171">DAY(H972)</f>
        <v>6</v>
      </c>
      <c r="C972" s="4">
        <f t="shared" ref="C972:C1011" si="172">MONTH(H972)</f>
        <v>6</v>
      </c>
      <c r="D972" s="4">
        <f t="shared" ref="D972:D1011" si="173">YEAR(H972)</f>
        <v>2023</v>
      </c>
      <c r="E972" s="4" t="str">
        <f t="shared" ref="E972:E1011" si="174">TEXT(H972,"DDDD")</f>
        <v>Tuesday</v>
      </c>
      <c r="F972" s="4" t="str">
        <f t="shared" ref="F972:F1011" si="175">TEXT(H972,"MMMM")</f>
        <v>June</v>
      </c>
      <c r="G972" s="4" t="str">
        <f t="shared" ref="G972:G1011" si="176">TEXT(H972,"YYYY")</f>
        <v>2023</v>
      </c>
      <c r="H972" s="3">
        <v>45083</v>
      </c>
      <c r="I972" s="4" t="s">
        <v>986</v>
      </c>
      <c r="J972" s="4" t="s">
        <v>20</v>
      </c>
      <c r="K972" s="4" t="str" cm="1">
        <f t="array" ref="K972">_xlfn.IFS(L972&gt;50,"Senior", L972&gt;=30,"Adult", L972&lt;30,"Young Adult")</f>
        <v>Senior</v>
      </c>
      <c r="L972" s="4">
        <v>53</v>
      </c>
      <c r="M972" s="4" t="s">
        <v>21</v>
      </c>
      <c r="N972" s="4">
        <v>4</v>
      </c>
      <c r="O972" s="5">
        <v>50</v>
      </c>
      <c r="P972">
        <f t="shared" ref="P972:P1011" si="177">O972*N972</f>
        <v>200</v>
      </c>
      <c r="Q972" s="14">
        <f>P972*$I$4</f>
        <v>3</v>
      </c>
      <c r="R972" s="14">
        <f>P972*$I$5</f>
        <v>4</v>
      </c>
    </row>
    <row r="973" spans="1:18" x14ac:dyDescent="0.35">
      <c r="A973" s="2">
        <v>962</v>
      </c>
      <c r="B973" s="4">
        <f t="shared" si="171"/>
        <v>19</v>
      </c>
      <c r="C973" s="4">
        <f t="shared" si="172"/>
        <v>10</v>
      </c>
      <c r="D973" s="4">
        <f t="shared" si="173"/>
        <v>2023</v>
      </c>
      <c r="E973" s="4" t="str">
        <f t="shared" si="174"/>
        <v>Thursday</v>
      </c>
      <c r="F973" s="4" t="str">
        <f t="shared" si="175"/>
        <v>October</v>
      </c>
      <c r="G973" s="4" t="str">
        <f t="shared" si="176"/>
        <v>2023</v>
      </c>
      <c r="H973" s="3">
        <v>45218</v>
      </c>
      <c r="I973" s="4" t="s">
        <v>987</v>
      </c>
      <c r="J973" s="4" t="s">
        <v>20</v>
      </c>
      <c r="K973" s="4" t="str" cm="1">
        <f t="array" ref="K973">_xlfn.IFS(L973&gt;50,"Senior", L973&gt;=30,"Adult", L973&lt;30,"Young Adult")</f>
        <v>Adult</v>
      </c>
      <c r="L973" s="4">
        <v>44</v>
      </c>
      <c r="M973" s="4" t="s">
        <v>24</v>
      </c>
      <c r="N973" s="4">
        <v>2</v>
      </c>
      <c r="O973" s="5">
        <v>30</v>
      </c>
      <c r="P973">
        <f t="shared" si="177"/>
        <v>60</v>
      </c>
      <c r="Q973" s="14" t="e">
        <f>P973*#REF!</f>
        <v>#REF!</v>
      </c>
      <c r="R973" s="14" t="e">
        <f>P973*#REF!</f>
        <v>#REF!</v>
      </c>
    </row>
    <row r="974" spans="1:18" x14ac:dyDescent="0.35">
      <c r="A974" s="2">
        <v>963</v>
      </c>
      <c r="B974" s="4">
        <f t="shared" si="171"/>
        <v>14</v>
      </c>
      <c r="C974" s="4">
        <f t="shared" si="172"/>
        <v>11</v>
      </c>
      <c r="D974" s="4">
        <f t="shared" si="173"/>
        <v>2023</v>
      </c>
      <c r="E974" s="4" t="str">
        <f t="shared" si="174"/>
        <v>Tuesday</v>
      </c>
      <c r="F974" s="4" t="str">
        <f t="shared" si="175"/>
        <v>November</v>
      </c>
      <c r="G974" s="4" t="str">
        <f t="shared" si="176"/>
        <v>2023</v>
      </c>
      <c r="H974" s="3">
        <v>45244</v>
      </c>
      <c r="I974" s="4" t="s">
        <v>988</v>
      </c>
      <c r="J974" s="4" t="s">
        <v>23</v>
      </c>
      <c r="K974" s="4" t="str" cm="1">
        <f t="array" ref="K974">_xlfn.IFS(L974&gt;50,"Senior", L974&gt;=30,"Adult", L974&lt;30,"Young Adult")</f>
        <v>Senior</v>
      </c>
      <c r="L974" s="4">
        <v>55</v>
      </c>
      <c r="M974" s="4" t="s">
        <v>21</v>
      </c>
      <c r="N974" s="4">
        <v>1</v>
      </c>
      <c r="O974" s="5">
        <v>50</v>
      </c>
      <c r="P974">
        <f t="shared" si="177"/>
        <v>50</v>
      </c>
      <c r="Q974" s="14">
        <f>P974*$I$4</f>
        <v>0.75</v>
      </c>
      <c r="R974" s="14">
        <f>P974*$I$5</f>
        <v>1</v>
      </c>
    </row>
    <row r="975" spans="1:18" x14ac:dyDescent="0.35">
      <c r="A975" s="2">
        <v>964</v>
      </c>
      <c r="B975" s="4">
        <f t="shared" si="171"/>
        <v>31</v>
      </c>
      <c r="C975" s="4">
        <f t="shared" si="172"/>
        <v>1</v>
      </c>
      <c r="D975" s="4">
        <f t="shared" si="173"/>
        <v>2023</v>
      </c>
      <c r="E975" s="4" t="str">
        <f t="shared" si="174"/>
        <v>Tuesday</v>
      </c>
      <c r="F975" s="4" t="str">
        <f t="shared" si="175"/>
        <v>January</v>
      </c>
      <c r="G975" s="4" t="str">
        <f t="shared" si="176"/>
        <v>2023</v>
      </c>
      <c r="H975" s="3">
        <v>44957</v>
      </c>
      <c r="I975" s="4" t="s">
        <v>989</v>
      </c>
      <c r="J975" s="4" t="s">
        <v>20</v>
      </c>
      <c r="K975" s="4" t="str" cm="1">
        <f t="array" ref="K975">_xlfn.IFS(L975&gt;50,"Senior", L975&gt;=30,"Adult", L975&lt;30,"Young Adult")</f>
        <v>Young Adult</v>
      </c>
      <c r="L975" s="4">
        <v>24</v>
      </c>
      <c r="M975" s="4" t="s">
        <v>24</v>
      </c>
      <c r="N975" s="4">
        <v>3</v>
      </c>
      <c r="O975" s="5">
        <v>300</v>
      </c>
      <c r="P975">
        <f t="shared" si="177"/>
        <v>900</v>
      </c>
      <c r="Q975" s="14" t="e">
        <f>P975*#REF!</f>
        <v>#REF!</v>
      </c>
      <c r="R975" s="14" t="e">
        <f>P975*#REF!</f>
        <v>#REF!</v>
      </c>
    </row>
    <row r="976" spans="1:18" x14ac:dyDescent="0.35">
      <c r="A976" s="2">
        <v>965</v>
      </c>
      <c r="B976" s="4">
        <f t="shared" si="171"/>
        <v>9</v>
      </c>
      <c r="C976" s="4">
        <f t="shared" si="172"/>
        <v>11</v>
      </c>
      <c r="D976" s="4">
        <f t="shared" si="173"/>
        <v>2023</v>
      </c>
      <c r="E976" s="4" t="str">
        <f t="shared" si="174"/>
        <v>Thursday</v>
      </c>
      <c r="F976" s="4" t="str">
        <f t="shared" si="175"/>
        <v>November</v>
      </c>
      <c r="G976" s="4" t="str">
        <f t="shared" si="176"/>
        <v>2023</v>
      </c>
      <c r="H976" s="3">
        <v>45239</v>
      </c>
      <c r="I976" s="4" t="s">
        <v>990</v>
      </c>
      <c r="J976" s="4" t="s">
        <v>20</v>
      </c>
      <c r="K976" s="4" t="str" cm="1">
        <f t="array" ref="K976">_xlfn.IFS(L976&gt;50,"Senior", L976&gt;=30,"Adult", L976&lt;30,"Young Adult")</f>
        <v>Young Adult</v>
      </c>
      <c r="L976" s="4">
        <v>22</v>
      </c>
      <c r="M976" s="4" t="s">
        <v>24</v>
      </c>
      <c r="N976" s="4">
        <v>4</v>
      </c>
      <c r="O976" s="5">
        <v>50</v>
      </c>
      <c r="P976">
        <f t="shared" si="177"/>
        <v>200</v>
      </c>
      <c r="Q976" s="14" t="e">
        <f>P976*#REF!</f>
        <v>#REF!</v>
      </c>
      <c r="R976" s="14" t="e">
        <f>P976*#REF!</f>
        <v>#REF!</v>
      </c>
    </row>
    <row r="977" spans="1:18" x14ac:dyDescent="0.35">
      <c r="A977" s="2">
        <v>966</v>
      </c>
      <c r="B977" s="4">
        <f t="shared" si="171"/>
        <v>20</v>
      </c>
      <c r="C977" s="4">
        <f t="shared" si="172"/>
        <v>2</v>
      </c>
      <c r="D977" s="4">
        <f t="shared" si="173"/>
        <v>2023</v>
      </c>
      <c r="E977" s="4" t="str">
        <f t="shared" si="174"/>
        <v>Monday</v>
      </c>
      <c r="F977" s="4" t="str">
        <f t="shared" si="175"/>
        <v>February</v>
      </c>
      <c r="G977" s="4" t="str">
        <f t="shared" si="176"/>
        <v>2023</v>
      </c>
      <c r="H977" s="3">
        <v>44977</v>
      </c>
      <c r="I977" s="4" t="s">
        <v>991</v>
      </c>
      <c r="J977" s="4" t="s">
        <v>20</v>
      </c>
      <c r="K977" s="4" t="str" cm="1">
        <f t="array" ref="K977">_xlfn.IFS(L977&gt;50,"Senior", L977&gt;=30,"Adult", L977&lt;30,"Young Adult")</f>
        <v>Senior</v>
      </c>
      <c r="L977" s="4">
        <v>60</v>
      </c>
      <c r="M977" s="4" t="s">
        <v>26</v>
      </c>
      <c r="N977" s="4">
        <v>2</v>
      </c>
      <c r="O977" s="5">
        <v>500</v>
      </c>
      <c r="P977">
        <f t="shared" si="177"/>
        <v>1000</v>
      </c>
      <c r="Q977" s="14" t="e">
        <f>P977*#REF!</f>
        <v>#REF!</v>
      </c>
      <c r="R977" s="14" t="e">
        <f>P977*#REF!</f>
        <v>#REF!</v>
      </c>
    </row>
    <row r="978" spans="1:18" x14ac:dyDescent="0.35">
      <c r="A978" s="2">
        <v>967</v>
      </c>
      <c r="B978" s="4">
        <f t="shared" si="171"/>
        <v>17</v>
      </c>
      <c r="C978" s="4">
        <f t="shared" si="172"/>
        <v>4</v>
      </c>
      <c r="D978" s="4">
        <f t="shared" si="173"/>
        <v>2023</v>
      </c>
      <c r="E978" s="4" t="str">
        <f t="shared" si="174"/>
        <v>Monday</v>
      </c>
      <c r="F978" s="4" t="str">
        <f t="shared" si="175"/>
        <v>April</v>
      </c>
      <c r="G978" s="4" t="str">
        <f t="shared" si="176"/>
        <v>2023</v>
      </c>
      <c r="H978" s="3">
        <v>45033</v>
      </c>
      <c r="I978" s="4" t="s">
        <v>992</v>
      </c>
      <c r="J978" s="4" t="s">
        <v>20</v>
      </c>
      <c r="K978" s="4" t="str" cm="1">
        <f t="array" ref="K978">_xlfn.IFS(L978&gt;50,"Senior", L978&gt;=30,"Adult", L978&lt;30,"Young Adult")</f>
        <v>Senior</v>
      </c>
      <c r="L978" s="4">
        <v>62</v>
      </c>
      <c r="M978" s="4" t="s">
        <v>21</v>
      </c>
      <c r="N978" s="4">
        <v>1</v>
      </c>
      <c r="O978" s="5">
        <v>25</v>
      </c>
      <c r="P978">
        <f t="shared" si="177"/>
        <v>25</v>
      </c>
      <c r="Q978" s="14">
        <f>P978*$I$4</f>
        <v>0.375</v>
      </c>
      <c r="R978" s="14">
        <f>P978*$I$5</f>
        <v>0.5</v>
      </c>
    </row>
    <row r="979" spans="1:18" x14ac:dyDescent="0.35">
      <c r="A979" s="2">
        <v>968</v>
      </c>
      <c r="B979" s="4">
        <f t="shared" si="171"/>
        <v>17</v>
      </c>
      <c r="C979" s="4">
        <f t="shared" si="172"/>
        <v>11</v>
      </c>
      <c r="D979" s="4">
        <f t="shared" si="173"/>
        <v>2023</v>
      </c>
      <c r="E979" s="4" t="str">
        <f t="shared" si="174"/>
        <v>Friday</v>
      </c>
      <c r="F979" s="4" t="str">
        <f t="shared" si="175"/>
        <v>November</v>
      </c>
      <c r="G979" s="4" t="str">
        <f t="shared" si="176"/>
        <v>2023</v>
      </c>
      <c r="H979" s="3">
        <v>45247</v>
      </c>
      <c r="I979" s="4" t="s">
        <v>993</v>
      </c>
      <c r="J979" s="4" t="s">
        <v>23</v>
      </c>
      <c r="K979" s="4" t="str" cm="1">
        <f t="array" ref="K979">_xlfn.IFS(L979&gt;50,"Senior", L979&gt;=30,"Adult", L979&lt;30,"Young Adult")</f>
        <v>Adult</v>
      </c>
      <c r="L979" s="4">
        <v>48</v>
      </c>
      <c r="M979" s="4" t="s">
        <v>24</v>
      </c>
      <c r="N979" s="4">
        <v>3</v>
      </c>
      <c r="O979" s="5">
        <v>300</v>
      </c>
      <c r="P979">
        <f t="shared" si="177"/>
        <v>900</v>
      </c>
      <c r="Q979" s="14" t="e">
        <f>P979*#REF!</f>
        <v>#REF!</v>
      </c>
      <c r="R979" s="14" t="e">
        <f>P979*#REF!</f>
        <v>#REF!</v>
      </c>
    </row>
    <row r="980" spans="1:18" x14ac:dyDescent="0.35">
      <c r="A980" s="2">
        <v>969</v>
      </c>
      <c r="B980" s="4">
        <f t="shared" si="171"/>
        <v>19</v>
      </c>
      <c r="C980" s="4">
        <f t="shared" si="172"/>
        <v>4</v>
      </c>
      <c r="D980" s="4">
        <f t="shared" si="173"/>
        <v>2023</v>
      </c>
      <c r="E980" s="4" t="str">
        <f t="shared" si="174"/>
        <v>Wednesday</v>
      </c>
      <c r="F980" s="4" t="str">
        <f t="shared" si="175"/>
        <v>April</v>
      </c>
      <c r="G980" s="4" t="str">
        <f t="shared" si="176"/>
        <v>2023</v>
      </c>
      <c r="H980" s="3">
        <v>45035</v>
      </c>
      <c r="I980" s="4" t="s">
        <v>994</v>
      </c>
      <c r="J980" s="4" t="s">
        <v>23</v>
      </c>
      <c r="K980" s="4" t="str" cm="1">
        <f t="array" ref="K980">_xlfn.IFS(L980&gt;50,"Senior", L980&gt;=30,"Adult", L980&lt;30,"Young Adult")</f>
        <v>Adult</v>
      </c>
      <c r="L980" s="4">
        <v>40</v>
      </c>
      <c r="M980" s="4" t="s">
        <v>24</v>
      </c>
      <c r="N980" s="4">
        <v>3</v>
      </c>
      <c r="O980" s="5">
        <v>300</v>
      </c>
      <c r="P980">
        <f t="shared" si="177"/>
        <v>900</v>
      </c>
      <c r="Q980" s="14" t="e">
        <f>P980*#REF!</f>
        <v>#REF!</v>
      </c>
      <c r="R980" s="14" t="e">
        <f>P980*#REF!</f>
        <v>#REF!</v>
      </c>
    </row>
    <row r="981" spans="1:18" x14ac:dyDescent="0.35">
      <c r="A981" s="2">
        <v>970</v>
      </c>
      <c r="B981" s="4">
        <f t="shared" si="171"/>
        <v>16</v>
      </c>
      <c r="C981" s="4">
        <f t="shared" si="172"/>
        <v>5</v>
      </c>
      <c r="D981" s="4">
        <f t="shared" si="173"/>
        <v>2023</v>
      </c>
      <c r="E981" s="4" t="str">
        <f t="shared" si="174"/>
        <v>Tuesday</v>
      </c>
      <c r="F981" s="4" t="str">
        <f t="shared" si="175"/>
        <v>May</v>
      </c>
      <c r="G981" s="4" t="str">
        <f t="shared" si="176"/>
        <v>2023</v>
      </c>
      <c r="H981" s="3">
        <v>45062</v>
      </c>
      <c r="I981" s="4" t="s">
        <v>995</v>
      </c>
      <c r="J981" s="4" t="s">
        <v>20</v>
      </c>
      <c r="K981" s="4" t="str" cm="1">
        <f t="array" ref="K981">_xlfn.IFS(L981&gt;50,"Senior", L981&gt;=30,"Adult", L981&lt;30,"Young Adult")</f>
        <v>Senior</v>
      </c>
      <c r="L981" s="4">
        <v>59</v>
      </c>
      <c r="M981" s="4" t="s">
        <v>26</v>
      </c>
      <c r="N981" s="4">
        <v>4</v>
      </c>
      <c r="O981" s="5">
        <v>500</v>
      </c>
      <c r="P981">
        <f t="shared" si="177"/>
        <v>2000</v>
      </c>
      <c r="Q981" s="14" t="e">
        <f>P981*#REF!</f>
        <v>#REF!</v>
      </c>
      <c r="R981" s="14" t="e">
        <f>P981*#REF!</f>
        <v>#REF!</v>
      </c>
    </row>
    <row r="982" spans="1:18" x14ac:dyDescent="0.35">
      <c r="A982" s="2">
        <v>971</v>
      </c>
      <c r="B982" s="4">
        <f t="shared" si="171"/>
        <v>5</v>
      </c>
      <c r="C982" s="4">
        <f t="shared" si="172"/>
        <v>12</v>
      </c>
      <c r="D982" s="4">
        <f t="shared" si="173"/>
        <v>2023</v>
      </c>
      <c r="E982" s="4" t="str">
        <f t="shared" si="174"/>
        <v>Tuesday</v>
      </c>
      <c r="F982" s="4" t="str">
        <f t="shared" si="175"/>
        <v>December</v>
      </c>
      <c r="G982" s="4" t="str">
        <f t="shared" si="176"/>
        <v>2023</v>
      </c>
      <c r="H982" s="3">
        <v>45265</v>
      </c>
      <c r="I982" s="4" t="s">
        <v>996</v>
      </c>
      <c r="J982" s="4" t="s">
        <v>23</v>
      </c>
      <c r="K982" s="4" t="str" cm="1">
        <f t="array" ref="K982">_xlfn.IFS(L982&gt;50,"Senior", L982&gt;=30,"Adult", L982&lt;30,"Young Adult")</f>
        <v>Young Adult</v>
      </c>
      <c r="L982" s="4">
        <v>27</v>
      </c>
      <c r="M982" s="4" t="s">
        <v>26</v>
      </c>
      <c r="N982" s="4">
        <v>4</v>
      </c>
      <c r="O982" s="5">
        <v>50</v>
      </c>
      <c r="P982">
        <f t="shared" si="177"/>
        <v>200</v>
      </c>
      <c r="Q982" s="14" t="e">
        <f>P982*#REF!</f>
        <v>#REF!</v>
      </c>
      <c r="R982" s="14" t="e">
        <f>P982*#REF!</f>
        <v>#REF!</v>
      </c>
    </row>
    <row r="983" spans="1:18" x14ac:dyDescent="0.35">
      <c r="A983" s="2">
        <v>972</v>
      </c>
      <c r="B983" s="4">
        <f t="shared" si="171"/>
        <v>11</v>
      </c>
      <c r="C983" s="4">
        <f t="shared" si="172"/>
        <v>2</v>
      </c>
      <c r="D983" s="4">
        <f t="shared" si="173"/>
        <v>2023</v>
      </c>
      <c r="E983" s="4" t="str">
        <f t="shared" si="174"/>
        <v>Saturday</v>
      </c>
      <c r="F983" s="4" t="str">
        <f t="shared" si="175"/>
        <v>February</v>
      </c>
      <c r="G983" s="4" t="str">
        <f t="shared" si="176"/>
        <v>2023</v>
      </c>
      <c r="H983" s="3">
        <v>44968</v>
      </c>
      <c r="I983" s="4" t="s">
        <v>997</v>
      </c>
      <c r="J983" s="4" t="s">
        <v>20</v>
      </c>
      <c r="K983" s="4" t="str" cm="1">
        <f t="array" ref="K983">_xlfn.IFS(L983&gt;50,"Senior", L983&gt;=30,"Adult", L983&lt;30,"Young Adult")</f>
        <v>Adult</v>
      </c>
      <c r="L983" s="4">
        <v>49</v>
      </c>
      <c r="M983" s="4" t="s">
        <v>21</v>
      </c>
      <c r="N983" s="4">
        <v>4</v>
      </c>
      <c r="O983" s="5">
        <v>25</v>
      </c>
      <c r="P983">
        <f t="shared" si="177"/>
        <v>100</v>
      </c>
      <c r="Q983" s="14">
        <f>P983*$I$4</f>
        <v>1.5</v>
      </c>
      <c r="R983" s="14">
        <f>P983*$I$5</f>
        <v>2</v>
      </c>
    </row>
    <row r="984" spans="1:18" x14ac:dyDescent="0.35">
      <c r="A984" s="2">
        <v>973</v>
      </c>
      <c r="B984" s="4">
        <f t="shared" si="171"/>
        <v>22</v>
      </c>
      <c r="C984" s="4">
        <f t="shared" si="172"/>
        <v>3</v>
      </c>
      <c r="D984" s="4">
        <f t="shared" si="173"/>
        <v>2023</v>
      </c>
      <c r="E984" s="4" t="str">
        <f t="shared" si="174"/>
        <v>Wednesday</v>
      </c>
      <c r="F984" s="4" t="str">
        <f t="shared" si="175"/>
        <v>March</v>
      </c>
      <c r="G984" s="4" t="str">
        <f t="shared" si="176"/>
        <v>2023</v>
      </c>
      <c r="H984" s="3">
        <v>45007</v>
      </c>
      <c r="I984" s="4" t="s">
        <v>998</v>
      </c>
      <c r="J984" s="4" t="s">
        <v>20</v>
      </c>
      <c r="K984" s="4" t="str" cm="1">
        <f t="array" ref="K984">_xlfn.IFS(L984&gt;50,"Senior", L984&gt;=30,"Adult", L984&lt;30,"Young Adult")</f>
        <v>Senior</v>
      </c>
      <c r="L984" s="4">
        <v>60</v>
      </c>
      <c r="M984" s="4" t="s">
        <v>24</v>
      </c>
      <c r="N984" s="4">
        <v>1</v>
      </c>
      <c r="O984" s="5">
        <v>50</v>
      </c>
      <c r="P984">
        <f t="shared" si="177"/>
        <v>50</v>
      </c>
      <c r="Q984" s="14" t="e">
        <f>P984*#REF!</f>
        <v>#REF!</v>
      </c>
      <c r="R984" s="14" t="e">
        <f>P984*#REF!</f>
        <v>#REF!</v>
      </c>
    </row>
    <row r="985" spans="1:18" x14ac:dyDescent="0.35">
      <c r="A985" s="2">
        <v>974</v>
      </c>
      <c r="B985" s="4">
        <f t="shared" si="171"/>
        <v>3</v>
      </c>
      <c r="C985" s="4">
        <f t="shared" si="172"/>
        <v>5</v>
      </c>
      <c r="D985" s="4">
        <f t="shared" si="173"/>
        <v>2023</v>
      </c>
      <c r="E985" s="4" t="str">
        <f t="shared" si="174"/>
        <v>Wednesday</v>
      </c>
      <c r="F985" s="4" t="str">
        <f t="shared" si="175"/>
        <v>May</v>
      </c>
      <c r="G985" s="4" t="str">
        <f t="shared" si="176"/>
        <v>2023</v>
      </c>
      <c r="H985" s="3">
        <v>45049</v>
      </c>
      <c r="I985" s="4" t="s">
        <v>999</v>
      </c>
      <c r="J985" s="4" t="s">
        <v>20</v>
      </c>
      <c r="K985" s="4" t="str" cm="1">
        <f t="array" ref="K985">_xlfn.IFS(L985&gt;50,"Senior", L985&gt;=30,"Adult", L985&lt;30,"Young Adult")</f>
        <v>Adult</v>
      </c>
      <c r="L985" s="4">
        <v>47</v>
      </c>
      <c r="M985" s="4" t="s">
        <v>21</v>
      </c>
      <c r="N985" s="4">
        <v>1</v>
      </c>
      <c r="O985" s="5">
        <v>30</v>
      </c>
      <c r="P985">
        <f t="shared" si="177"/>
        <v>30</v>
      </c>
      <c r="Q985" s="14">
        <f>P985*$I$4</f>
        <v>0.44999999999999996</v>
      </c>
      <c r="R985" s="14">
        <f>P985*$I$5</f>
        <v>0.6</v>
      </c>
    </row>
    <row r="986" spans="1:18" x14ac:dyDescent="0.35">
      <c r="A986" s="2">
        <v>975</v>
      </c>
      <c r="B986" s="4">
        <f t="shared" si="171"/>
        <v>30</v>
      </c>
      <c r="C986" s="4">
        <f t="shared" si="172"/>
        <v>3</v>
      </c>
      <c r="D986" s="4">
        <f t="shared" si="173"/>
        <v>2023</v>
      </c>
      <c r="E986" s="4" t="str">
        <f t="shared" si="174"/>
        <v>Thursday</v>
      </c>
      <c r="F986" s="4" t="str">
        <f t="shared" si="175"/>
        <v>March</v>
      </c>
      <c r="G986" s="4" t="str">
        <f t="shared" si="176"/>
        <v>2023</v>
      </c>
      <c r="H986" s="3">
        <v>45015</v>
      </c>
      <c r="I986" s="4" t="s">
        <v>1000</v>
      </c>
      <c r="J986" s="4" t="s">
        <v>23</v>
      </c>
      <c r="K986" s="4" t="str" cm="1">
        <f t="array" ref="K986">_xlfn.IFS(L986&gt;50,"Senior", L986&gt;=30,"Adult", L986&lt;30,"Young Adult")</f>
        <v>Senior</v>
      </c>
      <c r="L986" s="4">
        <v>56</v>
      </c>
      <c r="M986" s="4" t="s">
        <v>24</v>
      </c>
      <c r="N986" s="4">
        <v>4</v>
      </c>
      <c r="O986" s="5">
        <v>50</v>
      </c>
      <c r="P986">
        <f t="shared" si="177"/>
        <v>200</v>
      </c>
      <c r="Q986" s="14" t="e">
        <f>P986*#REF!</f>
        <v>#REF!</v>
      </c>
      <c r="R986" s="14" t="e">
        <f>P986*#REF!</f>
        <v>#REF!</v>
      </c>
    </row>
    <row r="987" spans="1:18" x14ac:dyDescent="0.35">
      <c r="A987" s="2">
        <v>976</v>
      </c>
      <c r="B987" s="4">
        <f t="shared" si="171"/>
        <v>10</v>
      </c>
      <c r="C987" s="4">
        <f t="shared" si="172"/>
        <v>10</v>
      </c>
      <c r="D987" s="4">
        <f t="shared" si="173"/>
        <v>2023</v>
      </c>
      <c r="E987" s="4" t="str">
        <f t="shared" si="174"/>
        <v>Tuesday</v>
      </c>
      <c r="F987" s="4" t="str">
        <f t="shared" si="175"/>
        <v>October</v>
      </c>
      <c r="G987" s="4" t="str">
        <f t="shared" si="176"/>
        <v>2023</v>
      </c>
      <c r="H987" s="3">
        <v>45209</v>
      </c>
      <c r="I987" s="4" t="s">
        <v>1001</v>
      </c>
      <c r="J987" s="4" t="s">
        <v>23</v>
      </c>
      <c r="K987" s="4" t="str" cm="1">
        <f t="array" ref="K987">_xlfn.IFS(L987&gt;50,"Senior", L987&gt;=30,"Adult", L987&lt;30,"Young Adult")</f>
        <v>Adult</v>
      </c>
      <c r="L987" s="4">
        <v>48</v>
      </c>
      <c r="M987" s="4" t="s">
        <v>21</v>
      </c>
      <c r="N987" s="4">
        <v>2</v>
      </c>
      <c r="O987" s="5">
        <v>300</v>
      </c>
      <c r="P987">
        <f t="shared" si="177"/>
        <v>600</v>
      </c>
      <c r="Q987" s="14">
        <f>P987*$I$4</f>
        <v>9</v>
      </c>
      <c r="R987" s="14">
        <f>P987*$I$5</f>
        <v>12</v>
      </c>
    </row>
    <row r="988" spans="1:18" x14ac:dyDescent="0.35">
      <c r="A988" s="2">
        <v>977</v>
      </c>
      <c r="B988" s="4">
        <f t="shared" si="171"/>
        <v>8</v>
      </c>
      <c r="C988" s="4">
        <f t="shared" si="172"/>
        <v>2</v>
      </c>
      <c r="D988" s="4">
        <f t="shared" si="173"/>
        <v>2023</v>
      </c>
      <c r="E988" s="4" t="str">
        <f t="shared" si="174"/>
        <v>Wednesday</v>
      </c>
      <c r="F988" s="4" t="str">
        <f t="shared" si="175"/>
        <v>February</v>
      </c>
      <c r="G988" s="4" t="str">
        <f t="shared" si="176"/>
        <v>2023</v>
      </c>
      <c r="H988" s="3">
        <v>44965</v>
      </c>
      <c r="I988" s="4" t="s">
        <v>1002</v>
      </c>
      <c r="J988" s="4" t="s">
        <v>23</v>
      </c>
      <c r="K988" s="4" t="str" cm="1">
        <f t="array" ref="K988">_xlfn.IFS(L988&gt;50,"Senior", L988&gt;=30,"Adult", L988&lt;30,"Young Adult")</f>
        <v>Adult</v>
      </c>
      <c r="L988" s="4">
        <v>35</v>
      </c>
      <c r="M988" s="4" t="s">
        <v>26</v>
      </c>
      <c r="N988" s="4">
        <v>3</v>
      </c>
      <c r="O988" s="5">
        <v>25</v>
      </c>
      <c r="P988">
        <f t="shared" si="177"/>
        <v>75</v>
      </c>
      <c r="Q988" s="14" t="e">
        <f>P988*#REF!</f>
        <v>#REF!</v>
      </c>
      <c r="R988" s="14" t="e">
        <f>P988*#REF!</f>
        <v>#REF!</v>
      </c>
    </row>
    <row r="989" spans="1:18" x14ac:dyDescent="0.35">
      <c r="A989" s="2">
        <v>978</v>
      </c>
      <c r="B989" s="4">
        <f t="shared" si="171"/>
        <v>22</v>
      </c>
      <c r="C989" s="4">
        <f t="shared" si="172"/>
        <v>3</v>
      </c>
      <c r="D989" s="4">
        <f t="shared" si="173"/>
        <v>2023</v>
      </c>
      <c r="E989" s="4" t="str">
        <f t="shared" si="174"/>
        <v>Wednesday</v>
      </c>
      <c r="F989" s="4" t="str">
        <f t="shared" si="175"/>
        <v>March</v>
      </c>
      <c r="G989" s="4" t="str">
        <f t="shared" si="176"/>
        <v>2023</v>
      </c>
      <c r="H989" s="3">
        <v>45007</v>
      </c>
      <c r="I989" s="4" t="s">
        <v>1003</v>
      </c>
      <c r="J989" s="4" t="s">
        <v>23</v>
      </c>
      <c r="K989" s="4" t="str" cm="1">
        <f t="array" ref="K989">_xlfn.IFS(L989&gt;50,"Senior", L989&gt;=30,"Adult", L989&lt;30,"Young Adult")</f>
        <v>Senior</v>
      </c>
      <c r="L989" s="4">
        <v>53</v>
      </c>
      <c r="M989" s="4" t="s">
        <v>24</v>
      </c>
      <c r="N989" s="4">
        <v>3</v>
      </c>
      <c r="O989" s="5">
        <v>50</v>
      </c>
      <c r="P989">
        <f t="shared" si="177"/>
        <v>150</v>
      </c>
      <c r="Q989" s="14" t="e">
        <f>P989*#REF!</f>
        <v>#REF!</v>
      </c>
      <c r="R989" s="14" t="e">
        <f>P989*#REF!</f>
        <v>#REF!</v>
      </c>
    </row>
    <row r="990" spans="1:18" x14ac:dyDescent="0.35">
      <c r="A990" s="2">
        <v>979</v>
      </c>
      <c r="B990" s="4">
        <f t="shared" si="171"/>
        <v>2</v>
      </c>
      <c r="C990" s="4">
        <f t="shared" si="172"/>
        <v>1</v>
      </c>
      <c r="D990" s="4">
        <f t="shared" si="173"/>
        <v>2023</v>
      </c>
      <c r="E990" s="4" t="str">
        <f t="shared" si="174"/>
        <v>Monday</v>
      </c>
      <c r="F990" s="4" t="str">
        <f t="shared" si="175"/>
        <v>January</v>
      </c>
      <c r="G990" s="4" t="str">
        <f t="shared" si="176"/>
        <v>2023</v>
      </c>
      <c r="H990" s="3">
        <v>44928</v>
      </c>
      <c r="I990" s="4" t="s">
        <v>1004</v>
      </c>
      <c r="J990" s="4" t="s">
        <v>23</v>
      </c>
      <c r="K990" s="4" t="str" cm="1">
        <f t="array" ref="K990">_xlfn.IFS(L990&gt;50,"Senior", L990&gt;=30,"Adult", L990&lt;30,"Young Adult")</f>
        <v>Young Adult</v>
      </c>
      <c r="L990" s="4">
        <v>19</v>
      </c>
      <c r="M990" s="4" t="s">
        <v>21</v>
      </c>
      <c r="N990" s="4">
        <v>1</v>
      </c>
      <c r="O990" s="5">
        <v>25</v>
      </c>
      <c r="P990">
        <f t="shared" si="177"/>
        <v>25</v>
      </c>
      <c r="Q990" s="14">
        <f>P990*$I$4</f>
        <v>0.375</v>
      </c>
      <c r="R990" s="14">
        <f>P990*$I$5</f>
        <v>0.5</v>
      </c>
    </row>
    <row r="991" spans="1:18" x14ac:dyDescent="0.35">
      <c r="A991" s="2">
        <v>980</v>
      </c>
      <c r="B991" s="4">
        <f t="shared" si="171"/>
        <v>29</v>
      </c>
      <c r="C991" s="4">
        <f t="shared" si="172"/>
        <v>7</v>
      </c>
      <c r="D991" s="4">
        <f t="shared" si="173"/>
        <v>2023</v>
      </c>
      <c r="E991" s="4" t="str">
        <f t="shared" si="174"/>
        <v>Saturday</v>
      </c>
      <c r="F991" s="4" t="str">
        <f t="shared" si="175"/>
        <v>July</v>
      </c>
      <c r="G991" s="4" t="str">
        <f t="shared" si="176"/>
        <v>2023</v>
      </c>
      <c r="H991" s="3">
        <v>45136</v>
      </c>
      <c r="I991" s="4" t="s">
        <v>1005</v>
      </c>
      <c r="J991" s="4" t="s">
        <v>23</v>
      </c>
      <c r="K991" s="4" t="str" cm="1">
        <f t="array" ref="K991">_xlfn.IFS(L991&gt;50,"Senior", L991&gt;=30,"Adult", L991&lt;30,"Young Adult")</f>
        <v>Adult</v>
      </c>
      <c r="L991" s="4">
        <v>31</v>
      </c>
      <c r="M991" s="4" t="s">
        <v>26</v>
      </c>
      <c r="N991" s="4">
        <v>3</v>
      </c>
      <c r="O991" s="5">
        <v>25</v>
      </c>
      <c r="P991">
        <f t="shared" si="177"/>
        <v>75</v>
      </c>
      <c r="Q991" s="14" t="e">
        <f>P991*#REF!</f>
        <v>#REF!</v>
      </c>
      <c r="R991" s="14" t="e">
        <f>P991*#REF!</f>
        <v>#REF!</v>
      </c>
    </row>
    <row r="992" spans="1:18" x14ac:dyDescent="0.35">
      <c r="A992" s="2">
        <v>981</v>
      </c>
      <c r="B992" s="4">
        <f t="shared" si="171"/>
        <v>19</v>
      </c>
      <c r="C992" s="4">
        <f t="shared" si="172"/>
        <v>8</v>
      </c>
      <c r="D992" s="4">
        <f t="shared" si="173"/>
        <v>2023</v>
      </c>
      <c r="E992" s="4" t="str">
        <f t="shared" si="174"/>
        <v>Saturday</v>
      </c>
      <c r="F992" s="4" t="str">
        <f t="shared" si="175"/>
        <v>August</v>
      </c>
      <c r="G992" s="4" t="str">
        <f t="shared" si="176"/>
        <v>2023</v>
      </c>
      <c r="H992" s="3">
        <v>45157</v>
      </c>
      <c r="I992" s="4" t="s">
        <v>1006</v>
      </c>
      <c r="J992" s="4" t="s">
        <v>23</v>
      </c>
      <c r="K992" s="4" t="str" cm="1">
        <f t="array" ref="K992">_xlfn.IFS(L992&gt;50,"Senior", L992&gt;=30,"Adult", L992&lt;30,"Young Adult")</f>
        <v>Adult</v>
      </c>
      <c r="L992" s="4">
        <v>30</v>
      </c>
      <c r="M992" s="4" t="s">
        <v>26</v>
      </c>
      <c r="N992" s="4">
        <v>2</v>
      </c>
      <c r="O992" s="5">
        <v>30</v>
      </c>
      <c r="P992">
        <f t="shared" si="177"/>
        <v>60</v>
      </c>
      <c r="Q992" s="14" t="e">
        <f>P992*#REF!</f>
        <v>#REF!</v>
      </c>
      <c r="R992" s="14" t="e">
        <f>P992*#REF!</f>
        <v>#REF!</v>
      </c>
    </row>
    <row r="993" spans="1:18" x14ac:dyDescent="0.35">
      <c r="A993" s="2">
        <v>982</v>
      </c>
      <c r="B993" s="4">
        <f t="shared" si="171"/>
        <v>19</v>
      </c>
      <c r="C993" s="4">
        <f t="shared" si="172"/>
        <v>12</v>
      </c>
      <c r="D993" s="4">
        <f t="shared" si="173"/>
        <v>2023</v>
      </c>
      <c r="E993" s="4" t="str">
        <f t="shared" si="174"/>
        <v>Tuesday</v>
      </c>
      <c r="F993" s="4" t="str">
        <f t="shared" si="175"/>
        <v>December</v>
      </c>
      <c r="G993" s="4" t="str">
        <f t="shared" si="176"/>
        <v>2023</v>
      </c>
      <c r="H993" s="3">
        <v>45279</v>
      </c>
      <c r="I993" s="4" t="s">
        <v>1007</v>
      </c>
      <c r="J993" s="4" t="s">
        <v>23</v>
      </c>
      <c r="K993" s="4" t="str" cm="1">
        <f t="array" ref="K993">_xlfn.IFS(L993&gt;50,"Senior", L993&gt;=30,"Adult", L993&lt;30,"Young Adult")</f>
        <v>Adult</v>
      </c>
      <c r="L993" s="4">
        <v>46</v>
      </c>
      <c r="M993" s="4" t="s">
        <v>21</v>
      </c>
      <c r="N993" s="4">
        <v>3</v>
      </c>
      <c r="O993" s="5">
        <v>30</v>
      </c>
      <c r="P993">
        <f t="shared" si="177"/>
        <v>90</v>
      </c>
      <c r="Q993" s="14">
        <f>P993*$I$4</f>
        <v>1.3499999999999999</v>
      </c>
      <c r="R993" s="14">
        <f>P993*$I$5</f>
        <v>1.8</v>
      </c>
    </row>
    <row r="994" spans="1:18" x14ac:dyDescent="0.35">
      <c r="A994" s="2">
        <v>983</v>
      </c>
      <c r="B994" s="4">
        <f t="shared" si="171"/>
        <v>1</v>
      </c>
      <c r="C994" s="4">
        <f t="shared" si="172"/>
        <v>11</v>
      </c>
      <c r="D994" s="4">
        <f t="shared" si="173"/>
        <v>2023</v>
      </c>
      <c r="E994" s="4" t="str">
        <f t="shared" si="174"/>
        <v>Wednesday</v>
      </c>
      <c r="F994" s="4" t="str">
        <f t="shared" si="175"/>
        <v>November</v>
      </c>
      <c r="G994" s="4" t="str">
        <f t="shared" si="176"/>
        <v>2023</v>
      </c>
      <c r="H994" s="3">
        <v>45231</v>
      </c>
      <c r="I994" s="4" t="s">
        <v>1008</v>
      </c>
      <c r="J994" s="4" t="s">
        <v>23</v>
      </c>
      <c r="K994" s="4" t="str" cm="1">
        <f t="array" ref="K994">_xlfn.IFS(L994&gt;50,"Senior", L994&gt;=30,"Adult", L994&lt;30,"Young Adult")</f>
        <v>Young Adult</v>
      </c>
      <c r="L994" s="4">
        <v>29</v>
      </c>
      <c r="M994" s="4" t="s">
        <v>24</v>
      </c>
      <c r="N994" s="4">
        <v>1</v>
      </c>
      <c r="O994" s="5">
        <v>300</v>
      </c>
      <c r="P994">
        <f t="shared" si="177"/>
        <v>300</v>
      </c>
      <c r="Q994" s="14" t="e">
        <f>P994*#REF!</f>
        <v>#REF!</v>
      </c>
      <c r="R994" s="14" t="e">
        <f>P994*#REF!</f>
        <v>#REF!</v>
      </c>
    </row>
    <row r="995" spans="1:18" x14ac:dyDescent="0.35">
      <c r="A995" s="2">
        <v>984</v>
      </c>
      <c r="B995" s="4">
        <f t="shared" si="171"/>
        <v>29</v>
      </c>
      <c r="C995" s="4">
        <f t="shared" si="172"/>
        <v>8</v>
      </c>
      <c r="D995" s="4">
        <f t="shared" si="173"/>
        <v>2023</v>
      </c>
      <c r="E995" s="4" t="str">
        <f t="shared" si="174"/>
        <v>Tuesday</v>
      </c>
      <c r="F995" s="4" t="str">
        <f t="shared" si="175"/>
        <v>August</v>
      </c>
      <c r="G995" s="4" t="str">
        <f t="shared" si="176"/>
        <v>2023</v>
      </c>
      <c r="H995" s="3">
        <v>45167</v>
      </c>
      <c r="I995" s="4" t="s">
        <v>1009</v>
      </c>
      <c r="J995" s="4" t="s">
        <v>20</v>
      </c>
      <c r="K995" s="4" t="str" cm="1">
        <f t="array" ref="K995">_xlfn.IFS(L995&gt;50,"Senior", L995&gt;=30,"Adult", L995&lt;30,"Young Adult")</f>
        <v>Senior</v>
      </c>
      <c r="L995" s="4">
        <v>56</v>
      </c>
      <c r="M995" s="4" t="s">
        <v>24</v>
      </c>
      <c r="N995" s="4">
        <v>1</v>
      </c>
      <c r="O995" s="5">
        <v>500</v>
      </c>
      <c r="P995">
        <f t="shared" si="177"/>
        <v>500</v>
      </c>
      <c r="Q995" s="14" t="e">
        <f>P995*#REF!</f>
        <v>#REF!</v>
      </c>
      <c r="R995" s="14" t="e">
        <f>P995*#REF!</f>
        <v>#REF!</v>
      </c>
    </row>
    <row r="996" spans="1:18" x14ac:dyDescent="0.35">
      <c r="A996" s="2">
        <v>985</v>
      </c>
      <c r="B996" s="4">
        <f t="shared" si="171"/>
        <v>30</v>
      </c>
      <c r="C996" s="4">
        <f t="shared" si="172"/>
        <v>5</v>
      </c>
      <c r="D996" s="4">
        <f t="shared" si="173"/>
        <v>2023</v>
      </c>
      <c r="E996" s="4" t="str">
        <f t="shared" si="174"/>
        <v>Tuesday</v>
      </c>
      <c r="F996" s="4" t="str">
        <f t="shared" si="175"/>
        <v>May</v>
      </c>
      <c r="G996" s="4" t="str">
        <f t="shared" si="176"/>
        <v>2023</v>
      </c>
      <c r="H996" s="3">
        <v>45076</v>
      </c>
      <c r="I996" s="4" t="s">
        <v>1010</v>
      </c>
      <c r="J996" s="4" t="s">
        <v>23</v>
      </c>
      <c r="K996" s="4" t="str" cm="1">
        <f t="array" ref="K996">_xlfn.IFS(L996&gt;50,"Senior", L996&gt;=30,"Adult", L996&lt;30,"Young Adult")</f>
        <v>Young Adult</v>
      </c>
      <c r="L996" s="4">
        <v>19</v>
      </c>
      <c r="M996" s="4" t="s">
        <v>26</v>
      </c>
      <c r="N996" s="4">
        <v>2</v>
      </c>
      <c r="O996" s="5">
        <v>25</v>
      </c>
      <c r="P996">
        <f t="shared" si="177"/>
        <v>50</v>
      </c>
      <c r="Q996" s="14" t="e">
        <f>P996*#REF!</f>
        <v>#REF!</v>
      </c>
      <c r="R996" s="14" t="e">
        <f>P996*#REF!</f>
        <v>#REF!</v>
      </c>
    </row>
    <row r="997" spans="1:18" x14ac:dyDescent="0.35">
      <c r="A997" s="2">
        <v>986</v>
      </c>
      <c r="B997" s="4">
        <f t="shared" si="171"/>
        <v>17</v>
      </c>
      <c r="C997" s="4">
        <f t="shared" si="172"/>
        <v>1</v>
      </c>
      <c r="D997" s="4">
        <f t="shared" si="173"/>
        <v>2023</v>
      </c>
      <c r="E997" s="4" t="str">
        <f t="shared" si="174"/>
        <v>Tuesday</v>
      </c>
      <c r="F997" s="4" t="str">
        <f t="shared" si="175"/>
        <v>January</v>
      </c>
      <c r="G997" s="4" t="str">
        <f t="shared" si="176"/>
        <v>2023</v>
      </c>
      <c r="H997" s="3">
        <v>44943</v>
      </c>
      <c r="I997" s="4" t="s">
        <v>1011</v>
      </c>
      <c r="J997" s="4" t="s">
        <v>23</v>
      </c>
      <c r="K997" s="4" t="str" cm="1">
        <f t="array" ref="K997">_xlfn.IFS(L997&gt;50,"Senior", L997&gt;=30,"Adult", L997&lt;30,"Young Adult")</f>
        <v>Adult</v>
      </c>
      <c r="L997" s="4">
        <v>49</v>
      </c>
      <c r="M997" s="4" t="s">
        <v>24</v>
      </c>
      <c r="N997" s="4">
        <v>2</v>
      </c>
      <c r="O997" s="5">
        <v>500</v>
      </c>
      <c r="P997">
        <f t="shared" si="177"/>
        <v>1000</v>
      </c>
      <c r="Q997" s="14" t="e">
        <f>P997*#REF!</f>
        <v>#REF!</v>
      </c>
      <c r="R997" s="14" t="e">
        <f>P997*#REF!</f>
        <v>#REF!</v>
      </c>
    </row>
    <row r="998" spans="1:18" x14ac:dyDescent="0.35">
      <c r="A998" s="2">
        <v>987</v>
      </c>
      <c r="B998" s="4">
        <f t="shared" si="171"/>
        <v>29</v>
      </c>
      <c r="C998" s="4">
        <f t="shared" si="172"/>
        <v>4</v>
      </c>
      <c r="D998" s="4">
        <f t="shared" si="173"/>
        <v>2023</v>
      </c>
      <c r="E998" s="4" t="str">
        <f t="shared" si="174"/>
        <v>Saturday</v>
      </c>
      <c r="F998" s="4" t="str">
        <f t="shared" si="175"/>
        <v>April</v>
      </c>
      <c r="G998" s="4" t="str">
        <f t="shared" si="176"/>
        <v>2023</v>
      </c>
      <c r="H998" s="3">
        <v>45045</v>
      </c>
      <c r="I998" s="4" t="s">
        <v>1012</v>
      </c>
      <c r="J998" s="4" t="s">
        <v>23</v>
      </c>
      <c r="K998" s="4" t="str" cm="1">
        <f t="array" ref="K998">_xlfn.IFS(L998&gt;50,"Senior", L998&gt;=30,"Adult", L998&lt;30,"Young Adult")</f>
        <v>Adult</v>
      </c>
      <c r="L998" s="4">
        <v>30</v>
      </c>
      <c r="M998" s="4" t="s">
        <v>24</v>
      </c>
      <c r="N998" s="4">
        <v>3</v>
      </c>
      <c r="O998" s="5">
        <v>300</v>
      </c>
      <c r="P998">
        <f t="shared" si="177"/>
        <v>900</v>
      </c>
      <c r="Q998" s="14" t="e">
        <f>P998*#REF!</f>
        <v>#REF!</v>
      </c>
      <c r="R998" s="14" t="e">
        <f>P998*#REF!</f>
        <v>#REF!</v>
      </c>
    </row>
    <row r="999" spans="1:18" x14ac:dyDescent="0.35">
      <c r="A999" s="2">
        <v>988</v>
      </c>
      <c r="B999" s="4">
        <f t="shared" si="171"/>
        <v>28</v>
      </c>
      <c r="C999" s="4">
        <f t="shared" si="172"/>
        <v>5</v>
      </c>
      <c r="D999" s="4">
        <f t="shared" si="173"/>
        <v>2023</v>
      </c>
      <c r="E999" s="4" t="str">
        <f t="shared" si="174"/>
        <v>Sunday</v>
      </c>
      <c r="F999" s="4" t="str">
        <f t="shared" si="175"/>
        <v>May</v>
      </c>
      <c r="G999" s="4" t="str">
        <f t="shared" si="176"/>
        <v>2023</v>
      </c>
      <c r="H999" s="3">
        <v>45074</v>
      </c>
      <c r="I999" s="4" t="s">
        <v>1013</v>
      </c>
      <c r="J999" s="4" t="s">
        <v>23</v>
      </c>
      <c r="K999" s="4" t="str" cm="1">
        <f t="array" ref="K999">_xlfn.IFS(L999&gt;50,"Senior", L999&gt;=30,"Adult", L999&lt;30,"Young Adult")</f>
        <v>Senior</v>
      </c>
      <c r="L999" s="4">
        <v>63</v>
      </c>
      <c r="M999" s="4" t="s">
        <v>24</v>
      </c>
      <c r="N999" s="4">
        <v>3</v>
      </c>
      <c r="O999" s="5">
        <v>25</v>
      </c>
      <c r="P999">
        <f t="shared" si="177"/>
        <v>75</v>
      </c>
      <c r="Q999" s="14" t="e">
        <f>P999*#REF!</f>
        <v>#REF!</v>
      </c>
      <c r="R999" s="14" t="e">
        <f>P999*#REF!</f>
        <v>#REF!</v>
      </c>
    </row>
    <row r="1000" spans="1:18" x14ac:dyDescent="0.35">
      <c r="A1000" s="2">
        <v>989</v>
      </c>
      <c r="B1000" s="4">
        <f t="shared" si="171"/>
        <v>28</v>
      </c>
      <c r="C1000" s="4">
        <f t="shared" si="172"/>
        <v>12</v>
      </c>
      <c r="D1000" s="4">
        <f t="shared" si="173"/>
        <v>2023</v>
      </c>
      <c r="E1000" s="4" t="str">
        <f t="shared" si="174"/>
        <v>Thursday</v>
      </c>
      <c r="F1000" s="4" t="str">
        <f t="shared" si="175"/>
        <v>December</v>
      </c>
      <c r="G1000" s="4" t="str">
        <f t="shared" si="176"/>
        <v>2023</v>
      </c>
      <c r="H1000" s="3">
        <v>45288</v>
      </c>
      <c r="I1000" s="4" t="s">
        <v>1014</v>
      </c>
      <c r="J1000" s="4" t="s">
        <v>23</v>
      </c>
      <c r="K1000" s="4" t="str" cm="1">
        <f t="array" ref="K1000">_xlfn.IFS(L1000&gt;50,"Senior", L1000&gt;=30,"Adult", L1000&lt;30,"Young Adult")</f>
        <v>Adult</v>
      </c>
      <c r="L1000" s="4">
        <v>44</v>
      </c>
      <c r="M1000" s="4" t="s">
        <v>26</v>
      </c>
      <c r="N1000" s="4">
        <v>1</v>
      </c>
      <c r="O1000" s="5">
        <v>25</v>
      </c>
      <c r="P1000">
        <f t="shared" si="177"/>
        <v>25</v>
      </c>
      <c r="Q1000" s="14" t="e">
        <f>P1000*#REF!</f>
        <v>#REF!</v>
      </c>
      <c r="R1000" s="14" t="e">
        <f>P1000*#REF!</f>
        <v>#REF!</v>
      </c>
    </row>
    <row r="1001" spans="1:18" x14ac:dyDescent="0.35">
      <c r="A1001" s="2">
        <v>990</v>
      </c>
      <c r="B1001" s="4">
        <f t="shared" si="171"/>
        <v>25</v>
      </c>
      <c r="C1001" s="4">
        <f t="shared" si="172"/>
        <v>5</v>
      </c>
      <c r="D1001" s="4">
        <f t="shared" si="173"/>
        <v>2023</v>
      </c>
      <c r="E1001" s="4" t="str">
        <f t="shared" si="174"/>
        <v>Thursday</v>
      </c>
      <c r="F1001" s="4" t="str">
        <f t="shared" si="175"/>
        <v>May</v>
      </c>
      <c r="G1001" s="4" t="str">
        <f t="shared" si="176"/>
        <v>2023</v>
      </c>
      <c r="H1001" s="3">
        <v>45071</v>
      </c>
      <c r="I1001" s="4" t="s">
        <v>1015</v>
      </c>
      <c r="J1001" s="4" t="s">
        <v>23</v>
      </c>
      <c r="K1001" s="4" t="str" cm="1">
        <f t="array" ref="K1001">_xlfn.IFS(L1001&gt;50,"Senior", L1001&gt;=30,"Adult", L1001&lt;30,"Young Adult")</f>
        <v>Senior</v>
      </c>
      <c r="L1001" s="4">
        <v>58</v>
      </c>
      <c r="M1001" s="4" t="s">
        <v>21</v>
      </c>
      <c r="N1001" s="4">
        <v>2</v>
      </c>
      <c r="O1001" s="5">
        <v>500</v>
      </c>
      <c r="P1001">
        <f t="shared" si="177"/>
        <v>1000</v>
      </c>
      <c r="Q1001" s="14">
        <f>P1001*$I$4</f>
        <v>15</v>
      </c>
      <c r="R1001" s="14">
        <f>P1001*$I$5</f>
        <v>20</v>
      </c>
    </row>
    <row r="1002" spans="1:18" x14ac:dyDescent="0.35">
      <c r="A1002" s="2">
        <v>991</v>
      </c>
      <c r="B1002" s="4">
        <f t="shared" si="171"/>
        <v>26</v>
      </c>
      <c r="C1002" s="4">
        <f t="shared" si="172"/>
        <v>12</v>
      </c>
      <c r="D1002" s="4">
        <f t="shared" si="173"/>
        <v>2023</v>
      </c>
      <c r="E1002" s="4" t="str">
        <f t="shared" si="174"/>
        <v>Tuesday</v>
      </c>
      <c r="F1002" s="4" t="str">
        <f t="shared" si="175"/>
        <v>December</v>
      </c>
      <c r="G1002" s="4" t="str">
        <f t="shared" si="176"/>
        <v>2023</v>
      </c>
      <c r="H1002" s="3">
        <v>45286</v>
      </c>
      <c r="I1002" s="4" t="s">
        <v>1016</v>
      </c>
      <c r="J1002" s="4" t="s">
        <v>23</v>
      </c>
      <c r="K1002" s="4" t="str" cm="1">
        <f t="array" ref="K1002">_xlfn.IFS(L1002&gt;50,"Senior", L1002&gt;=30,"Adult", L1002&lt;30,"Young Adult")</f>
        <v>Adult</v>
      </c>
      <c r="L1002" s="4">
        <v>34</v>
      </c>
      <c r="M1002" s="4" t="s">
        <v>24</v>
      </c>
      <c r="N1002" s="4">
        <v>2</v>
      </c>
      <c r="O1002" s="5">
        <v>50</v>
      </c>
      <c r="P1002">
        <f t="shared" si="177"/>
        <v>100</v>
      </c>
      <c r="Q1002" s="14" t="e">
        <f>P1002*#REF!</f>
        <v>#REF!</v>
      </c>
      <c r="R1002" s="14" t="e">
        <f>P1002*#REF!</f>
        <v>#REF!</v>
      </c>
    </row>
    <row r="1003" spans="1:18" x14ac:dyDescent="0.35">
      <c r="A1003" s="2">
        <v>992</v>
      </c>
      <c r="B1003" s="4">
        <f t="shared" si="171"/>
        <v>21</v>
      </c>
      <c r="C1003" s="4">
        <f t="shared" si="172"/>
        <v>8</v>
      </c>
      <c r="D1003" s="4">
        <f t="shared" si="173"/>
        <v>2023</v>
      </c>
      <c r="E1003" s="4" t="str">
        <f t="shared" si="174"/>
        <v>Monday</v>
      </c>
      <c r="F1003" s="4" t="str">
        <f t="shared" si="175"/>
        <v>August</v>
      </c>
      <c r="G1003" s="4" t="str">
        <f t="shared" si="176"/>
        <v>2023</v>
      </c>
      <c r="H1003" s="3">
        <v>45159</v>
      </c>
      <c r="I1003" s="4" t="s">
        <v>1017</v>
      </c>
      <c r="J1003" s="4" t="s">
        <v>23</v>
      </c>
      <c r="K1003" s="4" t="str" cm="1">
        <f t="array" ref="K1003">_xlfn.IFS(L1003&gt;50,"Senior", L1003&gt;=30,"Adult", L1003&lt;30,"Young Adult")</f>
        <v>Senior</v>
      </c>
      <c r="L1003" s="4">
        <v>57</v>
      </c>
      <c r="M1003" s="4" t="s">
        <v>26</v>
      </c>
      <c r="N1003" s="4">
        <v>2</v>
      </c>
      <c r="O1003" s="5">
        <v>30</v>
      </c>
      <c r="P1003">
        <f t="shared" si="177"/>
        <v>60</v>
      </c>
      <c r="Q1003" s="14" t="e">
        <f>P1003*#REF!</f>
        <v>#REF!</v>
      </c>
      <c r="R1003" s="14" t="e">
        <f>P1003*#REF!</f>
        <v>#REF!</v>
      </c>
    </row>
    <row r="1004" spans="1:18" x14ac:dyDescent="0.35">
      <c r="A1004" s="2">
        <v>993</v>
      </c>
      <c r="B1004" s="4">
        <f t="shared" si="171"/>
        <v>6</v>
      </c>
      <c r="C1004" s="4">
        <f t="shared" si="172"/>
        <v>2</v>
      </c>
      <c r="D1004" s="4">
        <f t="shared" si="173"/>
        <v>2023</v>
      </c>
      <c r="E1004" s="4" t="str">
        <f t="shared" si="174"/>
        <v>Monday</v>
      </c>
      <c r="F1004" s="4" t="str">
        <f t="shared" si="175"/>
        <v>February</v>
      </c>
      <c r="G1004" s="4" t="str">
        <f t="shared" si="176"/>
        <v>2023</v>
      </c>
      <c r="H1004" s="3">
        <v>44963</v>
      </c>
      <c r="I1004" s="4" t="s">
        <v>1018</v>
      </c>
      <c r="J1004" s="4" t="s">
        <v>23</v>
      </c>
      <c r="K1004" s="4" t="str" cm="1">
        <f t="array" ref="K1004">_xlfn.IFS(L1004&gt;50,"Senior", L1004&gt;=30,"Adult", L1004&lt;30,"Young Adult")</f>
        <v>Adult</v>
      </c>
      <c r="L1004" s="4">
        <v>48</v>
      </c>
      <c r="M1004" s="4" t="s">
        <v>26</v>
      </c>
      <c r="N1004" s="4">
        <v>3</v>
      </c>
      <c r="O1004" s="5">
        <v>50</v>
      </c>
      <c r="P1004">
        <f t="shared" si="177"/>
        <v>150</v>
      </c>
      <c r="Q1004" s="14" t="e">
        <f>P1004*#REF!</f>
        <v>#REF!</v>
      </c>
      <c r="R1004" s="14" t="e">
        <f>P1004*#REF!</f>
        <v>#REF!</v>
      </c>
    </row>
    <row r="1005" spans="1:18" x14ac:dyDescent="0.35">
      <c r="A1005" s="2">
        <v>994</v>
      </c>
      <c r="B1005" s="4">
        <f t="shared" si="171"/>
        <v>18</v>
      </c>
      <c r="C1005" s="4">
        <f t="shared" si="172"/>
        <v>12</v>
      </c>
      <c r="D1005" s="4">
        <f t="shared" si="173"/>
        <v>2023</v>
      </c>
      <c r="E1005" s="4" t="str">
        <f t="shared" si="174"/>
        <v>Monday</v>
      </c>
      <c r="F1005" s="4" t="str">
        <f t="shared" si="175"/>
        <v>December</v>
      </c>
      <c r="G1005" s="4" t="str">
        <f t="shared" si="176"/>
        <v>2023</v>
      </c>
      <c r="H1005" s="3">
        <v>45278</v>
      </c>
      <c r="I1005" s="4" t="s">
        <v>1019</v>
      </c>
      <c r="J1005" s="4" t="s">
        <v>23</v>
      </c>
      <c r="K1005" s="4" t="str" cm="1">
        <f t="array" ref="K1005">_xlfn.IFS(L1005&gt;50,"Senior", L1005&gt;=30,"Adult", L1005&lt;30,"Young Adult")</f>
        <v>Senior</v>
      </c>
      <c r="L1005" s="4">
        <v>51</v>
      </c>
      <c r="M1005" s="4" t="s">
        <v>21</v>
      </c>
      <c r="N1005" s="4">
        <v>2</v>
      </c>
      <c r="O1005" s="5">
        <v>500</v>
      </c>
      <c r="P1005">
        <f t="shared" si="177"/>
        <v>1000</v>
      </c>
      <c r="Q1005" s="14">
        <f>P1005*$I$4</f>
        <v>15</v>
      </c>
      <c r="R1005" s="14">
        <f>P1005*$I$5</f>
        <v>20</v>
      </c>
    </row>
    <row r="1006" spans="1:18" x14ac:dyDescent="0.35">
      <c r="A1006" s="2">
        <v>995</v>
      </c>
      <c r="B1006" s="4">
        <f t="shared" si="171"/>
        <v>30</v>
      </c>
      <c r="C1006" s="4">
        <f t="shared" si="172"/>
        <v>4</v>
      </c>
      <c r="D1006" s="4">
        <f t="shared" si="173"/>
        <v>2023</v>
      </c>
      <c r="E1006" s="4" t="str">
        <f t="shared" si="174"/>
        <v>Sunday</v>
      </c>
      <c r="F1006" s="4" t="str">
        <f t="shared" si="175"/>
        <v>April</v>
      </c>
      <c r="G1006" s="4" t="str">
        <f t="shared" si="176"/>
        <v>2023</v>
      </c>
      <c r="H1006" s="3">
        <v>45046</v>
      </c>
      <c r="I1006" s="4" t="s">
        <v>1020</v>
      </c>
      <c r="J1006" s="4" t="s">
        <v>23</v>
      </c>
      <c r="K1006" s="4" t="str" cm="1">
        <f t="array" ref="K1006">_xlfn.IFS(L1006&gt;50,"Senior", L1006&gt;=30,"Adult", L1006&lt;30,"Young Adult")</f>
        <v>Adult</v>
      </c>
      <c r="L1006" s="4">
        <v>41</v>
      </c>
      <c r="M1006" s="4" t="s">
        <v>24</v>
      </c>
      <c r="N1006" s="4">
        <v>1</v>
      </c>
      <c r="O1006" s="5">
        <v>30</v>
      </c>
      <c r="P1006">
        <f t="shared" si="177"/>
        <v>30</v>
      </c>
      <c r="Q1006" s="14" t="e">
        <f>P1006*#REF!</f>
        <v>#REF!</v>
      </c>
      <c r="R1006" s="14" t="e">
        <f>P1006*#REF!</f>
        <v>#REF!</v>
      </c>
    </row>
    <row r="1007" spans="1:18" x14ac:dyDescent="0.35">
      <c r="A1007" s="2">
        <v>996</v>
      </c>
      <c r="B1007" s="4">
        <f t="shared" si="171"/>
        <v>16</v>
      </c>
      <c r="C1007" s="4">
        <f t="shared" si="172"/>
        <v>5</v>
      </c>
      <c r="D1007" s="4">
        <f t="shared" si="173"/>
        <v>2023</v>
      </c>
      <c r="E1007" s="4" t="str">
        <f t="shared" si="174"/>
        <v>Tuesday</v>
      </c>
      <c r="F1007" s="4" t="str">
        <f t="shared" si="175"/>
        <v>May</v>
      </c>
      <c r="G1007" s="4" t="str">
        <f t="shared" si="176"/>
        <v>2023</v>
      </c>
      <c r="H1007" s="3">
        <v>45062</v>
      </c>
      <c r="I1007" s="4" t="s">
        <v>1021</v>
      </c>
      <c r="J1007" s="4" t="s">
        <v>20</v>
      </c>
      <c r="K1007" s="4" t="str" cm="1">
        <f t="array" ref="K1007">_xlfn.IFS(L1007&gt;50,"Senior", L1007&gt;=30,"Adult", L1007&lt;30,"Young Adult")</f>
        <v>Senior</v>
      </c>
      <c r="L1007" s="4">
        <v>62</v>
      </c>
      <c r="M1007" s="4" t="s">
        <v>24</v>
      </c>
      <c r="N1007" s="4">
        <v>1</v>
      </c>
      <c r="O1007" s="5">
        <v>50</v>
      </c>
      <c r="P1007">
        <f t="shared" si="177"/>
        <v>50</v>
      </c>
      <c r="Q1007" s="14" t="e">
        <f>P1007*#REF!</f>
        <v>#REF!</v>
      </c>
      <c r="R1007" s="14" t="e">
        <f>P1007*#REF!</f>
        <v>#REF!</v>
      </c>
    </row>
    <row r="1008" spans="1:18" x14ac:dyDescent="0.35">
      <c r="A1008" s="2">
        <v>997</v>
      </c>
      <c r="B1008" s="4">
        <f t="shared" si="171"/>
        <v>17</v>
      </c>
      <c r="C1008" s="4">
        <f t="shared" si="172"/>
        <v>11</v>
      </c>
      <c r="D1008" s="4">
        <f t="shared" si="173"/>
        <v>2023</v>
      </c>
      <c r="E1008" s="4" t="str">
        <f t="shared" si="174"/>
        <v>Friday</v>
      </c>
      <c r="F1008" s="4" t="str">
        <f t="shared" si="175"/>
        <v>November</v>
      </c>
      <c r="G1008" s="4" t="str">
        <f t="shared" si="176"/>
        <v>2023</v>
      </c>
      <c r="H1008" s="3">
        <v>45247</v>
      </c>
      <c r="I1008" s="4" t="s">
        <v>1022</v>
      </c>
      <c r="J1008" s="4" t="s">
        <v>20</v>
      </c>
      <c r="K1008" s="4" t="str" cm="1">
        <f t="array" ref="K1008">_xlfn.IFS(L1008&gt;50,"Senior", L1008&gt;=30,"Adult", L1008&lt;30,"Young Adult")</f>
        <v>Senior</v>
      </c>
      <c r="L1008" s="4">
        <v>52</v>
      </c>
      <c r="M1008" s="4" t="s">
        <v>21</v>
      </c>
      <c r="N1008" s="4">
        <v>3</v>
      </c>
      <c r="O1008" s="5">
        <v>30</v>
      </c>
      <c r="P1008">
        <f t="shared" si="177"/>
        <v>90</v>
      </c>
      <c r="Q1008" s="14">
        <f t="shared" ref="Q1008:Q1009" si="178">P1008*$I$4</f>
        <v>1.3499999999999999</v>
      </c>
      <c r="R1008" s="14">
        <f t="shared" ref="R1008:R1009" si="179">P1008*$I$5</f>
        <v>1.8</v>
      </c>
    </row>
    <row r="1009" spans="1:18" x14ac:dyDescent="0.35">
      <c r="A1009" s="2">
        <v>998</v>
      </c>
      <c r="B1009" s="4">
        <f t="shared" si="171"/>
        <v>29</v>
      </c>
      <c r="C1009" s="4">
        <f t="shared" si="172"/>
        <v>10</v>
      </c>
      <c r="D1009" s="4">
        <f t="shared" si="173"/>
        <v>2023</v>
      </c>
      <c r="E1009" s="4" t="str">
        <f t="shared" si="174"/>
        <v>Sunday</v>
      </c>
      <c r="F1009" s="4" t="str">
        <f t="shared" si="175"/>
        <v>October</v>
      </c>
      <c r="G1009" s="4" t="str">
        <f t="shared" si="176"/>
        <v>2023</v>
      </c>
      <c r="H1009" s="3">
        <v>45228</v>
      </c>
      <c r="I1009" s="4" t="s">
        <v>1023</v>
      </c>
      <c r="J1009" s="4" t="s">
        <v>23</v>
      </c>
      <c r="K1009" s="4" t="str" cm="1">
        <f t="array" ref="K1009">_xlfn.IFS(L1009&gt;50,"Senior", L1009&gt;=30,"Adult", L1009&lt;30,"Young Adult")</f>
        <v>Young Adult</v>
      </c>
      <c r="L1009" s="4">
        <v>23</v>
      </c>
      <c r="M1009" s="4" t="s">
        <v>21</v>
      </c>
      <c r="N1009" s="4">
        <v>4</v>
      </c>
      <c r="O1009" s="5">
        <v>25</v>
      </c>
      <c r="P1009">
        <f t="shared" si="177"/>
        <v>100</v>
      </c>
      <c r="Q1009" s="14">
        <f t="shared" si="178"/>
        <v>1.5</v>
      </c>
      <c r="R1009" s="14">
        <f t="shared" si="179"/>
        <v>2</v>
      </c>
    </row>
    <row r="1010" spans="1:18" x14ac:dyDescent="0.35">
      <c r="A1010" s="2">
        <v>999</v>
      </c>
      <c r="B1010" s="4">
        <f t="shared" si="171"/>
        <v>5</v>
      </c>
      <c r="C1010" s="4">
        <f t="shared" si="172"/>
        <v>12</v>
      </c>
      <c r="D1010" s="4">
        <f t="shared" si="173"/>
        <v>2023</v>
      </c>
      <c r="E1010" s="4" t="str">
        <f t="shared" si="174"/>
        <v>Tuesday</v>
      </c>
      <c r="F1010" s="4" t="str">
        <f t="shared" si="175"/>
        <v>December</v>
      </c>
      <c r="G1010" s="4" t="str">
        <f t="shared" si="176"/>
        <v>2023</v>
      </c>
      <c r="H1010" s="3">
        <v>45265</v>
      </c>
      <c r="I1010" s="4" t="s">
        <v>1024</v>
      </c>
      <c r="J1010" s="4" t="s">
        <v>23</v>
      </c>
      <c r="K1010" s="4" t="str" cm="1">
        <f t="array" ref="K1010">_xlfn.IFS(L1010&gt;50,"Senior", L1010&gt;=30,"Adult", L1010&lt;30,"Young Adult")</f>
        <v>Adult</v>
      </c>
      <c r="L1010" s="4">
        <v>36</v>
      </c>
      <c r="M1010" s="4" t="s">
        <v>26</v>
      </c>
      <c r="N1010" s="4">
        <v>3</v>
      </c>
      <c r="O1010" s="5">
        <v>50</v>
      </c>
      <c r="P1010">
        <f t="shared" si="177"/>
        <v>150</v>
      </c>
      <c r="Q1010" s="14" t="e">
        <f>P1010*#REF!</f>
        <v>#REF!</v>
      </c>
      <c r="R1010" s="14" t="e">
        <f>P1010*#REF!</f>
        <v>#REF!</v>
      </c>
    </row>
    <row r="1011" spans="1:18" x14ac:dyDescent="0.35">
      <c r="A1011" s="6">
        <v>1000</v>
      </c>
      <c r="B1011" s="4">
        <f t="shared" si="171"/>
        <v>12</v>
      </c>
      <c r="C1011" s="4">
        <f t="shared" si="172"/>
        <v>4</v>
      </c>
      <c r="D1011" s="4">
        <f t="shared" si="173"/>
        <v>2023</v>
      </c>
      <c r="E1011" s="4" t="str">
        <f t="shared" si="174"/>
        <v>Wednesday</v>
      </c>
      <c r="F1011" s="4" t="str">
        <f t="shared" si="175"/>
        <v>April</v>
      </c>
      <c r="G1011" s="4" t="str">
        <f t="shared" si="176"/>
        <v>2023</v>
      </c>
      <c r="H1011" s="7">
        <v>45028</v>
      </c>
      <c r="I1011" s="8" t="s">
        <v>1025</v>
      </c>
      <c r="J1011" s="8" t="s">
        <v>20</v>
      </c>
      <c r="K1011" s="4" t="str" cm="1">
        <f t="array" ref="K1011">_xlfn.IFS(L1011&gt;50,"Senior", L1011&gt;=30,"Adult", L1011&lt;30,"Young Adult")</f>
        <v>Adult</v>
      </c>
      <c r="L1011" s="8">
        <v>47</v>
      </c>
      <c r="M1011" s="8" t="s">
        <v>26</v>
      </c>
      <c r="N1011" s="8">
        <v>4</v>
      </c>
      <c r="O1011" s="9">
        <v>30</v>
      </c>
      <c r="P1011">
        <f t="shared" si="177"/>
        <v>120</v>
      </c>
      <c r="Q1011" s="14" t="e">
        <f>P1011*#REF!</f>
        <v>#REF!</v>
      </c>
      <c r="R1011" s="14" t="e">
        <f>P1011*#REF!</f>
        <v>#REF!</v>
      </c>
    </row>
  </sheetData>
  <mergeCells count="1">
    <mergeCell ref="K2:L2"/>
  </mergeCells>
  <conditionalFormatting sqref="Q12:Q1020">
    <cfRule type="cellIs" dxfId="41" priority="6" operator="greaterThan">
      <formula>15</formula>
    </cfRule>
  </conditionalFormatting>
  <conditionalFormatting sqref="R12:R1011">
    <cfRule type="cellIs" dxfId="40" priority="5" operator="greaterThan">
      <formula>45</formula>
    </cfRule>
  </conditionalFormatting>
  <conditionalFormatting sqref="L4:L7">
    <cfRule type="colorScale" priority="1">
      <colorScale>
        <cfvo type="min"/>
        <cfvo type="max"/>
        <color theme="5" tint="0.79998168889431442"/>
        <color rgb="FFC00000"/>
      </colorScale>
    </cfRule>
    <cfRule type="colorScale" priority="2">
      <colorScale>
        <cfvo type="min"/>
        <cfvo type="max"/>
        <color rgb="FFF8696B"/>
        <color rgb="FFFCFCFF"/>
      </colorScale>
    </cfRule>
    <cfRule type="colorScale" priority="4">
      <colorScale>
        <cfvo type="min"/>
        <cfvo type="percentile" val="50"/>
        <cfvo type="max"/>
        <color rgb="FF63BE7B"/>
        <color rgb="FFFFEB84"/>
        <color rgb="FFF8696B"/>
      </colorScale>
    </cfRule>
  </conditionalFormatting>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sheetPr>
    <tabColor rgb="FFFFC000"/>
  </sheetPr>
  <dimension ref="A11:D20"/>
  <sheetViews>
    <sheetView workbookViewId="0">
      <selection activeCell="E19" sqref="E19"/>
    </sheetView>
  </sheetViews>
  <sheetFormatPr defaultColWidth="11.25" defaultRowHeight="15.5" x14ac:dyDescent="0.35"/>
  <cols>
    <col min="1" max="1" width="14.5" customWidth="1"/>
    <col min="3" max="3" width="18" customWidth="1"/>
    <col min="4" max="4" width="17.75" customWidth="1"/>
  </cols>
  <sheetData>
    <row r="11" spans="1:4" x14ac:dyDescent="0.35">
      <c r="A11" s="66" t="s">
        <v>0</v>
      </c>
      <c r="B11" s="66" t="s">
        <v>15</v>
      </c>
      <c r="C11" s="66" t="s">
        <v>1026</v>
      </c>
      <c r="D11" s="66" t="s">
        <v>1027</v>
      </c>
    </row>
    <row r="12" spans="1:4" x14ac:dyDescent="0.35">
      <c r="A12" s="28">
        <v>10</v>
      </c>
      <c r="B12" s="28" cm="1">
        <f t="array" ref="B12">VLOOKUP(A12, 'SUM_IF_&amp;_CONDITIONAL_FORMATTING'!A12:Q1011,COLUMN('SUM_IF_&amp;_CONDITIONAL_FORMATTING'!P:P), FALSE)</f>
        <v>200</v>
      </c>
      <c r="C12" s="28" t="str">
        <f>VLOOKUP(A12,'SUM_IF_&amp;_CONDITIONAL_FORMATTING'!A12:Q1011, 13, FALSE)</f>
        <v>Clothing</v>
      </c>
      <c r="D12" s="28" t="str">
        <f>_xlfn.CONCAT(B12," ",C12)</f>
        <v>200 Clothing</v>
      </c>
    </row>
    <row r="13" spans="1:4" x14ac:dyDescent="0.35">
      <c r="A13" s="28">
        <v>15</v>
      </c>
      <c r="B13" s="28" cm="1">
        <f t="array" ref="B13">VLOOKUP(A13, 'SUM_IF_&amp;_CONDITIONAL_FORMATTING'!A13:Q1012,COLUMN('SUM_IF_&amp;_CONDITIONAL_FORMATTING'!P:P), FALSE)</f>
        <v>2000</v>
      </c>
      <c r="C13" s="28" t="str">
        <f>VLOOKUP(A13,'SUM_IF_&amp;_CONDITIONAL_FORMATTING'!A13:Q1012, 13, FALSE)</f>
        <v>Electronics</v>
      </c>
      <c r="D13" s="28" t="str">
        <f t="shared" ref="D13:D20" si="0">_xlfn.CONCAT(B13," ",C13)</f>
        <v>2000 Electronics</v>
      </c>
    </row>
    <row r="14" spans="1:4" x14ac:dyDescent="0.35">
      <c r="A14" s="28">
        <v>25</v>
      </c>
      <c r="B14" s="28" cm="1">
        <f t="array" ref="B14">VLOOKUP(A14, 'SUM_IF_&amp;_CONDITIONAL_FORMATTING'!A14:Q1013,COLUMN('SUM_IF_&amp;_CONDITIONAL_FORMATTING'!P:P), FALSE)</f>
        <v>50</v>
      </c>
      <c r="C14" s="28" t="str">
        <f>VLOOKUP(A14,'SUM_IF_&amp;_CONDITIONAL_FORMATTING'!A14:Q1013, 13, FALSE)</f>
        <v>Beauty</v>
      </c>
      <c r="D14" s="28" t="str">
        <f t="shared" si="0"/>
        <v>50 Beauty</v>
      </c>
    </row>
    <row r="15" spans="1:4" x14ac:dyDescent="0.35">
      <c r="A15" s="28">
        <v>30</v>
      </c>
      <c r="B15" s="28" cm="1">
        <f t="array" ref="B15">VLOOKUP(A15, 'SUM_IF_&amp;_CONDITIONAL_FORMATTING'!A15:Q1014,COLUMN('SUM_IF_&amp;_CONDITIONAL_FORMATTING'!P:P), FALSE)</f>
        <v>900</v>
      </c>
      <c r="C15" s="28" t="str">
        <f>VLOOKUP(A15,'SUM_IF_&amp;_CONDITIONAL_FORMATTING'!A15:Q1014, 13, FALSE)</f>
        <v>Beauty</v>
      </c>
      <c r="D15" s="28" t="str">
        <f t="shared" si="0"/>
        <v>900 Beauty</v>
      </c>
    </row>
    <row r="16" spans="1:4" x14ac:dyDescent="0.35">
      <c r="A16" s="28">
        <v>54</v>
      </c>
      <c r="B16" s="28" cm="1">
        <f t="array" ref="B16">VLOOKUP(A16, 'SUM_IF_&amp;_CONDITIONAL_FORMATTING'!A16:Q1015,COLUMN('SUM_IF_&amp;_CONDITIONAL_FORMATTING'!P:P), FALSE)</f>
        <v>1500</v>
      </c>
      <c r="C16" s="28" t="str">
        <f>VLOOKUP(A16,'SUM_IF_&amp;_CONDITIONAL_FORMATTING'!A16:Q1015, 13, FALSE)</f>
        <v>Electronics</v>
      </c>
      <c r="D16" s="28" t="str">
        <f t="shared" si="0"/>
        <v>1500 Electronics</v>
      </c>
    </row>
    <row r="17" spans="1:4" x14ac:dyDescent="0.35">
      <c r="A17" s="28">
        <v>55</v>
      </c>
      <c r="B17" s="28" cm="1">
        <f t="array" ref="B17">VLOOKUP(A17, 'SUM_IF_&amp;_CONDITIONAL_FORMATTING'!A17:Q1016,COLUMN('SUM_IF_&amp;_CONDITIONAL_FORMATTING'!P:P), FALSE)</f>
        <v>120</v>
      </c>
      <c r="C17" s="28" t="str">
        <f>VLOOKUP(A17,'SUM_IF_&amp;_CONDITIONAL_FORMATTING'!A17:Q1016, 13, FALSE)</f>
        <v>Beauty</v>
      </c>
      <c r="D17" s="28" t="str">
        <f t="shared" si="0"/>
        <v>120 Beauty</v>
      </c>
    </row>
    <row r="18" spans="1:4" x14ac:dyDescent="0.35">
      <c r="A18" s="28">
        <v>67</v>
      </c>
      <c r="B18" s="28" cm="1">
        <f t="array" ref="B18">VLOOKUP(A18, 'SUM_IF_&amp;_CONDITIONAL_FORMATTING'!A18:Q1017,COLUMN('SUM_IF_&amp;_CONDITIONAL_FORMATTING'!P:P), FALSE)</f>
        <v>1200</v>
      </c>
      <c r="C18" s="28" t="str">
        <f>VLOOKUP(A18,'SUM_IF_&amp;_CONDITIONAL_FORMATTING'!A18:Q1017, 13, FALSE)</f>
        <v>Beauty</v>
      </c>
      <c r="D18" s="28" t="str">
        <f t="shared" si="0"/>
        <v>1200 Beauty</v>
      </c>
    </row>
    <row r="19" spans="1:4" x14ac:dyDescent="0.35">
      <c r="A19" s="28">
        <v>89</v>
      </c>
      <c r="B19" s="28" cm="1">
        <f t="array" ref="B19">VLOOKUP(A19, 'SUM_IF_&amp;_CONDITIONAL_FORMATTING'!A19:Q1018,COLUMN('SUM_IF_&amp;_CONDITIONAL_FORMATTING'!P:P), FALSE)</f>
        <v>2000</v>
      </c>
      <c r="C19" s="28" t="str">
        <f>VLOOKUP(A19,'SUM_IF_&amp;_CONDITIONAL_FORMATTING'!A19:Q1018, 13, FALSE)</f>
        <v>Electronics</v>
      </c>
      <c r="D19" s="28" t="str">
        <f t="shared" si="0"/>
        <v>2000 Electronics</v>
      </c>
    </row>
    <row r="20" spans="1:4" x14ac:dyDescent="0.35">
      <c r="A20" s="28">
        <v>100</v>
      </c>
      <c r="B20" s="28" cm="1">
        <f t="array" ref="B20">VLOOKUP(A20, 'SUM_IF_&amp;_CONDITIONAL_FORMATTING'!A20:Q1019,COLUMN('SUM_IF_&amp;_CONDITIONAL_FORMATTING'!P:P), FALSE)</f>
        <v>30</v>
      </c>
      <c r="C20" s="28" t="str">
        <f>VLOOKUP(A20,'SUM_IF_&amp;_CONDITIONAL_FORMATTING'!A20:Q1019, 13, FALSE)</f>
        <v>Electronics</v>
      </c>
      <c r="D20" s="28" t="str">
        <f t="shared" si="0"/>
        <v>30 Electronics</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0E3E4-5352-4B68-9E09-39790D5A18EA}">
  <sheetPr>
    <tabColor rgb="FF92D050"/>
  </sheetPr>
  <dimension ref="A11:D21"/>
  <sheetViews>
    <sheetView workbookViewId="0">
      <selection activeCell="D12" sqref="D12:D16"/>
    </sheetView>
  </sheetViews>
  <sheetFormatPr defaultRowHeight="15.5" x14ac:dyDescent="0.35"/>
  <cols>
    <col min="1" max="1" width="17.33203125" bestFit="1" customWidth="1"/>
    <col min="2" max="2" width="9" bestFit="1" customWidth="1"/>
    <col min="3" max="3" width="9" style="17" bestFit="1" customWidth="1"/>
    <col min="4" max="4" width="10.58203125" bestFit="1" customWidth="1"/>
    <col min="5" max="5" width="10.75" bestFit="1" customWidth="1"/>
  </cols>
  <sheetData>
    <row r="11" spans="1:4" x14ac:dyDescent="0.35">
      <c r="A11" s="43" t="s">
        <v>1028</v>
      </c>
      <c r="B11" s="43" t="s">
        <v>9</v>
      </c>
      <c r="C11" s="28"/>
      <c r="D11" s="28"/>
    </row>
    <row r="12" spans="1:4" x14ac:dyDescent="0.35">
      <c r="A12" s="43" t="s">
        <v>12</v>
      </c>
      <c r="B12" s="28" t="s">
        <v>23</v>
      </c>
      <c r="C12" s="28" t="s">
        <v>20</v>
      </c>
      <c r="D12" s="28" t="s">
        <v>1029</v>
      </c>
    </row>
    <row r="13" spans="1:4" x14ac:dyDescent="0.35">
      <c r="A13" s="28" t="s">
        <v>21</v>
      </c>
      <c r="B13" s="44">
        <v>0.16410087719298247</v>
      </c>
      <c r="C13" s="44">
        <v>0.15062500000000001</v>
      </c>
      <c r="D13" s="44">
        <v>0.31472587719298245</v>
      </c>
    </row>
    <row r="14" spans="1:4" x14ac:dyDescent="0.35">
      <c r="A14" s="28" t="s">
        <v>24</v>
      </c>
      <c r="B14" s="44">
        <v>0.17823464912280701</v>
      </c>
      <c r="C14" s="44">
        <v>0.16294956140350877</v>
      </c>
      <c r="D14" s="44">
        <v>0.34118421052631581</v>
      </c>
    </row>
    <row r="15" spans="1:4" x14ac:dyDescent="0.35">
      <c r="A15" s="28" t="s">
        <v>26</v>
      </c>
      <c r="B15" s="44">
        <v>0.16827850877192982</v>
      </c>
      <c r="C15" s="44">
        <v>0.17581140350877192</v>
      </c>
      <c r="D15" s="44">
        <v>0.34408991228070174</v>
      </c>
    </row>
    <row r="16" spans="1:4" x14ac:dyDescent="0.35">
      <c r="A16" s="28" t="s">
        <v>1029</v>
      </c>
      <c r="B16" s="44">
        <v>0.5106140350877193</v>
      </c>
      <c r="C16" s="44">
        <v>0.4893859649122807</v>
      </c>
      <c r="D16" s="44">
        <v>1</v>
      </c>
    </row>
    <row r="17" spans="3:3" x14ac:dyDescent="0.35">
      <c r="C17"/>
    </row>
    <row r="18" spans="3:3" x14ac:dyDescent="0.35">
      <c r="C18"/>
    </row>
    <row r="19" spans="3:3" x14ac:dyDescent="0.35">
      <c r="C19"/>
    </row>
    <row r="20" spans="3:3" x14ac:dyDescent="0.35">
      <c r="C20"/>
    </row>
    <row r="21" spans="3:3" x14ac:dyDescent="0.35">
      <c r="C21"/>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E8CF6-B702-41A2-9E6C-BEE54C197B13}">
  <dimension ref="A11:K17"/>
  <sheetViews>
    <sheetView tabSelected="1" topLeftCell="A2" workbookViewId="0">
      <selection activeCell="L28" sqref="L28"/>
    </sheetView>
  </sheetViews>
  <sheetFormatPr defaultRowHeight="15.5" x14ac:dyDescent="0.35"/>
  <cols>
    <col min="1" max="1" width="16" bestFit="1" customWidth="1"/>
    <col min="2" max="2" width="15.08203125" bestFit="1" customWidth="1"/>
    <col min="3" max="3" width="5.75" bestFit="1" customWidth="1"/>
    <col min="4" max="4" width="10" bestFit="1" customWidth="1"/>
    <col min="5" max="5" width="7.83203125" bestFit="1" customWidth="1"/>
    <col min="6" max="6" width="5.75" bestFit="1" customWidth="1"/>
    <col min="7" max="7" width="10.75" bestFit="1" customWidth="1"/>
    <col min="8" max="8" width="12.6640625" bestFit="1" customWidth="1"/>
    <col min="9" max="9" width="5.75" bestFit="1" customWidth="1"/>
    <col min="10" max="10" width="15.6640625" bestFit="1" customWidth="1"/>
    <col min="11" max="11" width="10.58203125" bestFit="1" customWidth="1"/>
  </cols>
  <sheetData>
    <row r="11" spans="1:11" x14ac:dyDescent="0.35">
      <c r="A11" s="16" t="s">
        <v>1028</v>
      </c>
      <c r="B11" s="16" t="s">
        <v>1081</v>
      </c>
    </row>
    <row r="12" spans="1:11" x14ac:dyDescent="0.35">
      <c r="B12" s="78" t="s">
        <v>1030</v>
      </c>
      <c r="C12" s="78"/>
      <c r="D12" t="s">
        <v>1031</v>
      </c>
      <c r="E12" s="78" t="s">
        <v>1032</v>
      </c>
      <c r="F12" s="78"/>
      <c r="G12" t="s">
        <v>1033</v>
      </c>
      <c r="H12" s="78" t="s">
        <v>1034</v>
      </c>
      <c r="I12" s="78"/>
      <c r="J12" t="s">
        <v>1035</v>
      </c>
      <c r="K12" s="79" t="s">
        <v>1029</v>
      </c>
    </row>
    <row r="13" spans="1:11" x14ac:dyDescent="0.35">
      <c r="A13" s="16" t="s">
        <v>1080</v>
      </c>
      <c r="B13" t="s">
        <v>23</v>
      </c>
      <c r="C13" t="s">
        <v>20</v>
      </c>
      <c r="E13" t="s">
        <v>23</v>
      </c>
      <c r="F13" t="s">
        <v>20</v>
      </c>
      <c r="H13" t="s">
        <v>23</v>
      </c>
      <c r="I13" t="s">
        <v>20</v>
      </c>
      <c r="K13" s="79"/>
    </row>
    <row r="14" spans="1:11" x14ac:dyDescent="0.35">
      <c r="A14" s="39" t="s">
        <v>21</v>
      </c>
      <c r="B14" s="77">
        <v>77020</v>
      </c>
      <c r="C14" s="77">
        <v>69370</v>
      </c>
      <c r="D14" s="77">
        <v>146390</v>
      </c>
      <c r="E14" s="77">
        <v>39175</v>
      </c>
      <c r="F14" s="77">
        <v>41920</v>
      </c>
      <c r="G14" s="77">
        <v>81095</v>
      </c>
      <c r="H14" s="77">
        <v>47890</v>
      </c>
      <c r="I14" s="77">
        <v>44625</v>
      </c>
      <c r="J14" s="77">
        <v>92515</v>
      </c>
      <c r="K14" s="77">
        <v>320000</v>
      </c>
    </row>
    <row r="15" spans="1:11" x14ac:dyDescent="0.35">
      <c r="A15" s="39" t="s">
        <v>24</v>
      </c>
      <c r="B15" s="77">
        <v>15215</v>
      </c>
      <c r="C15" s="77">
        <v>14435</v>
      </c>
      <c r="D15" s="77">
        <v>29650</v>
      </c>
      <c r="E15" s="77">
        <v>15240</v>
      </c>
      <c r="F15" s="77">
        <v>11755</v>
      </c>
      <c r="G15" s="77">
        <v>26995</v>
      </c>
      <c r="H15" s="77">
        <v>7445</v>
      </c>
      <c r="I15" s="77">
        <v>6780</v>
      </c>
      <c r="J15" s="77">
        <v>14225</v>
      </c>
      <c r="K15" s="77">
        <v>70870</v>
      </c>
    </row>
    <row r="16" spans="1:11" x14ac:dyDescent="0.35">
      <c r="A16" s="39" t="s">
        <v>26</v>
      </c>
      <c r="B16" s="77">
        <v>9615</v>
      </c>
      <c r="C16" s="77">
        <v>13880</v>
      </c>
      <c r="D16" s="77">
        <v>23495</v>
      </c>
      <c r="E16" s="77">
        <v>13050</v>
      </c>
      <c r="F16" s="77">
        <v>12170</v>
      </c>
      <c r="G16" s="77">
        <v>25220</v>
      </c>
      <c r="H16" s="77">
        <v>8190</v>
      </c>
      <c r="I16" s="77">
        <v>8225</v>
      </c>
      <c r="J16" s="77">
        <v>16415</v>
      </c>
      <c r="K16" s="77">
        <v>65130</v>
      </c>
    </row>
    <row r="17" spans="1:11" x14ac:dyDescent="0.35">
      <c r="A17" s="39" t="s">
        <v>1029</v>
      </c>
      <c r="B17" s="77">
        <v>101850</v>
      </c>
      <c r="C17" s="77">
        <v>97685</v>
      </c>
      <c r="D17" s="77">
        <v>199535</v>
      </c>
      <c r="E17" s="77">
        <v>67465</v>
      </c>
      <c r="F17" s="77">
        <v>65845</v>
      </c>
      <c r="G17" s="77">
        <v>133310</v>
      </c>
      <c r="H17" s="77">
        <v>63525</v>
      </c>
      <c r="I17" s="77">
        <v>59630</v>
      </c>
      <c r="J17" s="77">
        <v>123155</v>
      </c>
      <c r="K17" s="77">
        <v>456000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18EFB-E904-4DD8-8869-EBDAD2FB2B54}">
  <sheetPr>
    <tabColor theme="5" tint="-0.249977111117893"/>
  </sheetPr>
  <dimension ref="A11:M19"/>
  <sheetViews>
    <sheetView workbookViewId="0">
      <selection activeCell="A25" sqref="A25"/>
    </sheetView>
  </sheetViews>
  <sheetFormatPr defaultRowHeight="15.5" x14ac:dyDescent="0.35"/>
  <cols>
    <col min="1" max="1" width="17.33203125" bestFit="1" customWidth="1"/>
    <col min="2" max="3" width="9" style="12" bestFit="1" customWidth="1"/>
    <col min="4" max="4" width="10" style="12" bestFit="1" customWidth="1"/>
    <col min="5" max="6" width="7.9140625" style="12" bestFit="1" customWidth="1"/>
    <col min="7" max="7" width="10.75" style="12" bestFit="1" customWidth="1"/>
    <col min="8" max="9" width="12.75" style="12" bestFit="1" customWidth="1"/>
    <col min="10" max="10" width="15.6640625" style="12" bestFit="1" customWidth="1"/>
    <col min="11" max="11" width="10.58203125" style="12" bestFit="1" customWidth="1"/>
    <col min="12" max="12" width="11.25" style="12" bestFit="1" customWidth="1"/>
    <col min="13" max="13" width="10.58203125" style="12" bestFit="1" customWidth="1"/>
  </cols>
  <sheetData>
    <row r="11" spans="1:13" ht="16" thickBot="1" x14ac:dyDescent="0.4"/>
    <row r="12" spans="1:13" ht="16" thickBot="1" x14ac:dyDescent="0.4">
      <c r="A12" s="45" t="s">
        <v>1028</v>
      </c>
      <c r="B12" s="58" t="s">
        <v>10</v>
      </c>
      <c r="C12" s="58" t="s">
        <v>9</v>
      </c>
      <c r="D12" s="59"/>
      <c r="E12" s="64"/>
      <c r="F12" s="64"/>
      <c r="G12" s="63"/>
      <c r="H12" s="64"/>
      <c r="I12" s="64"/>
      <c r="J12" s="63"/>
      <c r="K12" s="63"/>
      <c r="L12"/>
      <c r="M12"/>
    </row>
    <row r="13" spans="1:13" ht="16" thickBot="1" x14ac:dyDescent="0.4">
      <c r="A13" s="39"/>
      <c r="B13" s="60" t="s">
        <v>1030</v>
      </c>
      <c r="C13" s="61"/>
      <c r="D13" s="56" t="s">
        <v>1031</v>
      </c>
      <c r="E13" s="65" t="s">
        <v>1032</v>
      </c>
      <c r="F13" s="61"/>
      <c r="G13" s="47" t="s">
        <v>1033</v>
      </c>
      <c r="H13" s="65" t="s">
        <v>1034</v>
      </c>
      <c r="I13" s="61"/>
      <c r="J13" s="47" t="s">
        <v>1035</v>
      </c>
      <c r="K13" s="47" t="s">
        <v>1029</v>
      </c>
      <c r="L13"/>
      <c r="M13"/>
    </row>
    <row r="14" spans="1:13" ht="16" thickBot="1" x14ac:dyDescent="0.4">
      <c r="A14" s="45" t="s">
        <v>12</v>
      </c>
      <c r="B14" s="62" t="s">
        <v>23</v>
      </c>
      <c r="C14" s="63" t="s">
        <v>20</v>
      </c>
      <c r="D14" s="57"/>
      <c r="E14" s="64" t="s">
        <v>23</v>
      </c>
      <c r="F14" s="63" t="s">
        <v>20</v>
      </c>
      <c r="G14" s="53"/>
      <c r="H14" s="64" t="s">
        <v>23</v>
      </c>
      <c r="I14" s="63" t="s">
        <v>20</v>
      </c>
      <c r="J14" s="53"/>
      <c r="K14" s="53"/>
      <c r="L14"/>
      <c r="M14"/>
    </row>
    <row r="15" spans="1:13" x14ac:dyDescent="0.35">
      <c r="A15" s="39" t="s">
        <v>21</v>
      </c>
      <c r="B15" s="54">
        <v>0.16890350877192983</v>
      </c>
      <c r="C15" s="55">
        <v>0.15212719298245614</v>
      </c>
      <c r="D15" s="47">
        <v>0.32103070175438597</v>
      </c>
      <c r="E15" s="55">
        <v>8.5910087719298242E-2</v>
      </c>
      <c r="F15" s="55">
        <v>9.1929824561403514E-2</v>
      </c>
      <c r="G15" s="47">
        <v>0.17783991228070176</v>
      </c>
      <c r="H15" s="55">
        <v>0.10502192982456141</v>
      </c>
      <c r="I15" s="55">
        <v>9.7861842105263164E-2</v>
      </c>
      <c r="J15" s="47">
        <v>0.20288377192982457</v>
      </c>
      <c r="K15" s="47">
        <v>0.70175438596491224</v>
      </c>
      <c r="L15"/>
      <c r="M15"/>
    </row>
    <row r="16" spans="1:13" x14ac:dyDescent="0.35">
      <c r="A16" s="39" t="s">
        <v>24</v>
      </c>
      <c r="B16" s="50">
        <v>3.336622807017544E-2</v>
      </c>
      <c r="C16" s="48">
        <v>3.1655701754385965E-2</v>
      </c>
      <c r="D16" s="49">
        <v>6.5021929824561397E-2</v>
      </c>
      <c r="E16" s="48">
        <v>3.3421052631578949E-2</v>
      </c>
      <c r="F16" s="48">
        <v>2.5778508771929824E-2</v>
      </c>
      <c r="G16" s="49">
        <v>5.9199561403508773E-2</v>
      </c>
      <c r="H16" s="48">
        <v>1.6326754385964912E-2</v>
      </c>
      <c r="I16" s="48">
        <v>1.4868421052631579E-2</v>
      </c>
      <c r="J16" s="49">
        <v>3.1195175438596491E-2</v>
      </c>
      <c r="K16" s="49">
        <v>0.15541666666666668</v>
      </c>
      <c r="L16"/>
      <c r="M16"/>
    </row>
    <row r="17" spans="1:13" x14ac:dyDescent="0.35">
      <c r="A17" s="39" t="s">
        <v>26</v>
      </c>
      <c r="B17" s="50">
        <v>2.1085526315789475E-2</v>
      </c>
      <c r="C17" s="48">
        <v>3.043859649122807E-2</v>
      </c>
      <c r="D17" s="49">
        <v>5.1524122807017542E-2</v>
      </c>
      <c r="E17" s="48">
        <v>2.8618421052631578E-2</v>
      </c>
      <c r="F17" s="48">
        <v>2.6688596491228071E-2</v>
      </c>
      <c r="G17" s="49">
        <v>5.5307017543859652E-2</v>
      </c>
      <c r="H17" s="48">
        <v>1.7960526315789475E-2</v>
      </c>
      <c r="I17" s="48">
        <v>1.8037280701754387E-2</v>
      </c>
      <c r="J17" s="49">
        <v>3.5997807017543862E-2</v>
      </c>
      <c r="K17" s="49">
        <v>0.14282894736842106</v>
      </c>
      <c r="L17"/>
      <c r="M17"/>
    </row>
    <row r="18" spans="1:13" ht="16" thickBot="1" x14ac:dyDescent="0.4">
      <c r="A18" s="39" t="s">
        <v>1029</v>
      </c>
      <c r="B18" s="51">
        <v>0.22335526315789472</v>
      </c>
      <c r="C18" s="52">
        <v>0.21422149122807019</v>
      </c>
      <c r="D18" s="53">
        <v>0.43757675438596494</v>
      </c>
      <c r="E18" s="52">
        <v>0.14794956140350876</v>
      </c>
      <c r="F18" s="52">
        <v>0.1443969298245614</v>
      </c>
      <c r="G18" s="53">
        <v>0.29234649122807016</v>
      </c>
      <c r="H18" s="52">
        <v>0.13930921052631579</v>
      </c>
      <c r="I18" s="52">
        <v>0.13076754385964912</v>
      </c>
      <c r="J18" s="53">
        <v>0.2700767543859649</v>
      </c>
      <c r="K18" s="53">
        <v>1</v>
      </c>
      <c r="L18"/>
      <c r="M18"/>
    </row>
    <row r="19" spans="1:13" x14ac:dyDescent="0.35">
      <c r="B19"/>
      <c r="C19"/>
      <c r="D19"/>
      <c r="E19"/>
      <c r="F19"/>
      <c r="G19"/>
      <c r="H19"/>
      <c r="I19"/>
      <c r="J19"/>
      <c r="K19"/>
      <c r="L19"/>
      <c r="M19"/>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549F-D9F2-4BBA-B41C-4FB67985CEC1}">
  <sheetPr>
    <tabColor rgb="FFFFFF00"/>
  </sheetPr>
  <dimension ref="A4:I21"/>
  <sheetViews>
    <sheetView workbookViewId="0">
      <selection activeCell="G25" sqref="G25"/>
    </sheetView>
  </sheetViews>
  <sheetFormatPr defaultRowHeight="15.5" x14ac:dyDescent="0.35"/>
  <cols>
    <col min="1" max="1" width="14.5" customWidth="1"/>
    <col min="2" max="2" width="11.75" customWidth="1"/>
    <col min="4" max="4" width="14.5" customWidth="1"/>
    <col min="5" max="5" width="11.75" customWidth="1"/>
    <col min="6" max="6" width="12" customWidth="1"/>
    <col min="7" max="7" width="17.33203125" customWidth="1"/>
    <col min="8" max="8" width="24.33203125" customWidth="1"/>
    <col min="9" max="9" width="23" customWidth="1"/>
  </cols>
  <sheetData>
    <row r="4" spans="1:9" ht="16" customHeight="1" x14ac:dyDescent="0.35"/>
    <row r="5" spans="1:9" ht="16" customHeight="1" x14ac:dyDescent="0.35"/>
    <row r="7" spans="1:9" ht="16" customHeight="1" x14ac:dyDescent="0.35"/>
    <row r="11" spans="1:9" x14ac:dyDescent="0.35">
      <c r="A11" s="23" t="s">
        <v>1036</v>
      </c>
      <c r="B11" s="22" t="s">
        <v>1037</v>
      </c>
      <c r="D11" s="23" t="s">
        <v>1036</v>
      </c>
      <c r="E11" s="22" t="s">
        <v>1037</v>
      </c>
      <c r="F11" s="22" t="s">
        <v>1038</v>
      </c>
      <c r="G11" s="22" t="s">
        <v>1039</v>
      </c>
      <c r="H11" s="22" t="s">
        <v>1040</v>
      </c>
      <c r="I11" s="22" t="s">
        <v>1041</v>
      </c>
    </row>
    <row r="12" spans="1:9" x14ac:dyDescent="0.35">
      <c r="A12" s="11" t="s">
        <v>1042</v>
      </c>
      <c r="B12" s="10">
        <v>90</v>
      </c>
      <c r="D12" s="11" t="s">
        <v>1043</v>
      </c>
      <c r="E12" s="10">
        <v>80</v>
      </c>
      <c r="F12" s="10">
        <v>75</v>
      </c>
      <c r="G12" s="10">
        <v>90</v>
      </c>
      <c r="H12" s="21">
        <f t="shared" ref="H12:H21" si="0">AVERAGE(E12:G12)</f>
        <v>81.666666666666671</v>
      </c>
      <c r="I12" s="10">
        <f t="shared" ref="I12:I21" si="1">MAX(E12:H12)</f>
        <v>90</v>
      </c>
    </row>
    <row r="13" spans="1:9" x14ac:dyDescent="0.35">
      <c r="A13" s="11" t="s">
        <v>1043</v>
      </c>
      <c r="B13" s="10">
        <v>80</v>
      </c>
      <c r="D13" s="10" t="s">
        <v>1044</v>
      </c>
      <c r="E13" s="10">
        <v>75</v>
      </c>
      <c r="F13" s="10">
        <v>85</v>
      </c>
      <c r="G13" s="10">
        <v>85</v>
      </c>
      <c r="H13" s="21">
        <f t="shared" si="0"/>
        <v>81.666666666666671</v>
      </c>
      <c r="I13" s="10">
        <f t="shared" si="1"/>
        <v>85</v>
      </c>
    </row>
    <row r="14" spans="1:9" x14ac:dyDescent="0.35">
      <c r="A14" s="11" t="s">
        <v>1045</v>
      </c>
      <c r="B14" s="10">
        <v>80</v>
      </c>
      <c r="D14" s="11" t="s">
        <v>1046</v>
      </c>
      <c r="E14" s="10">
        <v>85</v>
      </c>
      <c r="F14" s="10">
        <v>75</v>
      </c>
      <c r="G14" s="10">
        <v>80</v>
      </c>
      <c r="H14" s="21">
        <f t="shared" si="0"/>
        <v>80</v>
      </c>
      <c r="I14" s="10">
        <f t="shared" si="1"/>
        <v>85</v>
      </c>
    </row>
    <row r="15" spans="1:9" x14ac:dyDescent="0.35">
      <c r="A15" s="10" t="s">
        <v>1047</v>
      </c>
      <c r="B15" s="10">
        <v>80</v>
      </c>
      <c r="D15" s="11" t="s">
        <v>1045</v>
      </c>
      <c r="E15" s="10">
        <v>80</v>
      </c>
      <c r="F15" s="10">
        <v>70</v>
      </c>
      <c r="G15" s="10">
        <v>80</v>
      </c>
      <c r="H15" s="21">
        <f t="shared" si="0"/>
        <v>76.666666666666671</v>
      </c>
      <c r="I15" s="10">
        <f t="shared" si="1"/>
        <v>80</v>
      </c>
    </row>
    <row r="16" spans="1:9" x14ac:dyDescent="0.35">
      <c r="A16" s="10" t="s">
        <v>1044</v>
      </c>
      <c r="B16" s="10">
        <v>75</v>
      </c>
      <c r="D16" s="10" t="s">
        <v>1047</v>
      </c>
      <c r="E16" s="10">
        <v>80</v>
      </c>
      <c r="F16" s="10">
        <v>70</v>
      </c>
      <c r="G16" s="10">
        <v>80</v>
      </c>
      <c r="H16" s="21">
        <f t="shared" si="0"/>
        <v>76.666666666666671</v>
      </c>
      <c r="I16" s="10">
        <f t="shared" si="1"/>
        <v>80</v>
      </c>
    </row>
    <row r="17" spans="1:9" x14ac:dyDescent="0.35">
      <c r="A17" s="11" t="s">
        <v>1048</v>
      </c>
      <c r="B17" s="10">
        <v>65</v>
      </c>
      <c r="D17" s="11" t="s">
        <v>1048</v>
      </c>
      <c r="E17" s="10">
        <v>65</v>
      </c>
      <c r="F17" s="10">
        <v>80</v>
      </c>
      <c r="G17" s="10">
        <v>70</v>
      </c>
      <c r="H17" s="21">
        <f t="shared" si="0"/>
        <v>71.666666666666671</v>
      </c>
      <c r="I17" s="10">
        <f t="shared" si="1"/>
        <v>80</v>
      </c>
    </row>
    <row r="18" spans="1:9" x14ac:dyDescent="0.35">
      <c r="A18" s="11" t="s">
        <v>1046</v>
      </c>
      <c r="B18" s="10">
        <v>85</v>
      </c>
      <c r="D18" s="11" t="s">
        <v>1042</v>
      </c>
      <c r="E18" s="10">
        <v>90</v>
      </c>
      <c r="F18" s="10">
        <v>50</v>
      </c>
      <c r="G18" s="10">
        <v>70</v>
      </c>
      <c r="H18" s="21">
        <f t="shared" si="0"/>
        <v>70</v>
      </c>
      <c r="I18" s="10">
        <f t="shared" si="1"/>
        <v>90</v>
      </c>
    </row>
    <row r="19" spans="1:9" x14ac:dyDescent="0.35">
      <c r="A19" s="10" t="s">
        <v>1049</v>
      </c>
      <c r="B19" s="10">
        <v>55</v>
      </c>
      <c r="D19" s="10" t="s">
        <v>1049</v>
      </c>
      <c r="E19" s="10">
        <v>55</v>
      </c>
      <c r="F19" s="10">
        <v>80</v>
      </c>
      <c r="G19" s="10">
        <v>60</v>
      </c>
      <c r="H19" s="21">
        <f t="shared" si="0"/>
        <v>65</v>
      </c>
      <c r="I19" s="10">
        <f t="shared" si="1"/>
        <v>80</v>
      </c>
    </row>
    <row r="20" spans="1:9" x14ac:dyDescent="0.35">
      <c r="A20" s="11" t="s">
        <v>1050</v>
      </c>
      <c r="B20" s="10">
        <v>55</v>
      </c>
      <c r="D20" s="11" t="s">
        <v>1050</v>
      </c>
      <c r="E20" s="10">
        <v>55</v>
      </c>
      <c r="F20" s="10">
        <v>70</v>
      </c>
      <c r="G20" s="10">
        <v>65</v>
      </c>
      <c r="H20" s="21">
        <f t="shared" si="0"/>
        <v>63.333333333333336</v>
      </c>
      <c r="I20" s="10">
        <f t="shared" si="1"/>
        <v>70</v>
      </c>
    </row>
    <row r="21" spans="1:9" x14ac:dyDescent="0.35">
      <c r="A21" s="10" t="s">
        <v>1051</v>
      </c>
      <c r="B21" s="10">
        <v>55</v>
      </c>
      <c r="D21" s="10" t="s">
        <v>1051</v>
      </c>
      <c r="E21" s="10">
        <v>55</v>
      </c>
      <c r="F21" s="10">
        <v>30</v>
      </c>
      <c r="G21" s="10">
        <v>65</v>
      </c>
      <c r="H21" s="21">
        <f t="shared" si="0"/>
        <v>50</v>
      </c>
      <c r="I21" s="10">
        <f t="shared" si="1"/>
        <v>65</v>
      </c>
    </row>
  </sheetData>
  <autoFilter ref="A11:K11" xr:uid="{3029549F-D9F2-4BBA-B41C-4FB67985CEC1}">
    <sortState xmlns:xlrd2="http://schemas.microsoft.com/office/spreadsheetml/2017/richdata2" ref="A12:K21">
      <sortCondition descending="1" ref="H11"/>
    </sortState>
  </autoFilter>
  <conditionalFormatting sqref="H1:H1048576">
    <cfRule type="dataBar" priority="1">
      <dataBar>
        <cfvo type="min"/>
        <cfvo type="max"/>
        <color rgb="FF63C384"/>
      </dataBar>
      <extLst>
        <ext xmlns:x14="http://schemas.microsoft.com/office/spreadsheetml/2009/9/main" uri="{B025F937-C7B1-47D3-B67F-A62EFF666E3E}">
          <x14:id>{DF4F218A-BC12-4BE9-916B-9B364C5D3E73}</x14:id>
        </ext>
      </extLst>
    </cfRule>
  </conditionalFormatting>
  <conditionalFormatting sqref="I11:I21">
    <cfRule type="dataBar" priority="2">
      <dataBar>
        <cfvo type="min"/>
        <cfvo type="max"/>
        <color rgb="FFD6007B"/>
      </dataBar>
      <extLst>
        <ext xmlns:x14="http://schemas.microsoft.com/office/spreadsheetml/2009/9/main" uri="{B025F937-C7B1-47D3-B67F-A62EFF666E3E}">
          <x14:id>{E1DDFB43-D75A-4CC2-9A76-515F0765E2CC}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F4F218A-BC12-4BE9-916B-9B364C5D3E73}">
            <x14:dataBar minLength="0" maxLength="100" gradient="0">
              <x14:cfvo type="autoMin"/>
              <x14:cfvo type="autoMax"/>
              <x14:negativeFillColor rgb="FFFF0000"/>
              <x14:axisColor rgb="FF000000"/>
            </x14:dataBar>
          </x14:cfRule>
          <xm:sqref>H1:H1048576</xm:sqref>
        </x14:conditionalFormatting>
        <x14:conditionalFormatting xmlns:xm="http://schemas.microsoft.com/office/excel/2006/main">
          <x14:cfRule type="dataBar" id="{E1DDFB43-D75A-4CC2-9A76-515F0765E2CC}">
            <x14:dataBar minLength="0" maxLength="100" border="1" negativeBarBorderColorSameAsPositive="0">
              <x14:cfvo type="autoMin"/>
              <x14:cfvo type="autoMax"/>
              <x14:borderColor rgb="FFD6007B"/>
              <x14:negativeFillColor rgb="FFFF0000"/>
              <x14:negativeBorderColor rgb="FFFF0000"/>
              <x14:axisColor rgb="FF000000"/>
            </x14:dataBar>
          </x14:cfRule>
          <xm:sqref>I11:I21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xml version="1.0" encoding="utf-8"?>
<p:properties xmlns:p="http://schemas.microsoft.com/office/2006/metadata/properties" xmlns:xsi="http://www.w3.org/2001/XMLSchema-instance" xmlns:pc="http://schemas.microsoft.com/office/infopath/2007/PartnerControls">
  <documentManagement/>
</p:properties>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ct:contentTypeSchema xmlns:ct="http://schemas.microsoft.com/office/2006/metadata/contentType" xmlns:ma="http://schemas.microsoft.com/office/2006/metadata/properties/metaAttributes" ct:_="" ma:_="" ma:contentTypeName="Document" ma:contentTypeID="0x010100669D63B98ED13E4AA09F5BD2F3A51076" ma:contentTypeVersion="3" ma:contentTypeDescription="Create a new document." ma:contentTypeScope="" ma:versionID="33b6707e0726b82edbbfdd80f4954598">
  <xsd:schema xmlns:xsd="http://www.w3.org/2001/XMLSchema" xmlns:xs="http://www.w3.org/2001/XMLSchema" xmlns:p="http://schemas.microsoft.com/office/2006/metadata/properties" xmlns:ns2="53dfc049-f9cd-47de-9911-c50dc750c68a" targetNamespace="http://schemas.microsoft.com/office/2006/metadata/properties" ma:root="true" ma:fieldsID="5e4c21100d576d9bce5a7ded16a72801" ns2:_="">
    <xsd:import namespace="53dfc049-f9cd-47de-9911-c50dc750c68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dfc049-f9cd-47de-9911-c50dc750c6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7.xml>��
</file>

<file path=customXml/item18.xml>��
</file>

<file path=customXml/item19.xml>��
</file>

<file path=customXml/itemProps1.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2.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3.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4.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5.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s>
</ds:datastoreItem>
</file>

<file path=customXml/itemProps6.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7.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8.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9.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10.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11.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12.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13.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14.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15.xml><?xml version="1.0" encoding="utf-8"?>
<ds:datastoreItem xmlns:ds="http://schemas.openxmlformats.org/officeDocument/2006/customXml" ds:itemID="{6DA07CEC-807D-4764-A388-A6BBED7640E0}">
  <ds:schemaRefs>
    <ds:schemaRef ds:uri="http://gemini/pivotcustomization/Diagrams"/>
  </ds:schemaRefs>
</ds:datastoreItem>
</file>

<file path=customXml/itemProps16.xml><?xml version="1.0" encoding="utf-8"?>
<ds:datastoreItem xmlns:ds="http://schemas.openxmlformats.org/officeDocument/2006/customXml" ds:itemID="{DCA8B30C-DBAC-45C5-A1A4-BC41D6221F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dfc049-f9cd-47de-9911-c50dc750c6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7.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18.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19.xml><?xml version="1.0" encoding="utf-8"?>
<ds:datastoreItem xmlns:ds="http://schemas.openxmlformats.org/officeDocument/2006/customXml" ds:itemID="{3E8CB0BE-C4BA-4913-9C77-CD4B1441093A}">
  <ds:schemaRefs>
    <ds:schemaRef ds:uri="http://gemini/pivotcustomization/TableOrder"/>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Retail_Sales_Dataset_Overview</vt:lpstr>
      <vt:lpstr>FILTER_SUM_AVERAGE</vt:lpstr>
      <vt:lpstr>SUM_IF_&amp;_CONDITIONAL_FORMATTING</vt:lpstr>
      <vt:lpstr>VLOOKOUT_CONCATENATE</vt:lpstr>
      <vt:lpstr>Visualization</vt:lpstr>
      <vt:lpstr>Slicers_Pivot_Table</vt:lpstr>
      <vt:lpstr>Slicers_Pivot_Tabler</vt:lpstr>
      <vt:lpstr>Further_Exercises_MAX_FUNCTION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Rosa Pandolfo</cp:lastModifiedBy>
  <cp:revision/>
  <dcterms:created xsi:type="dcterms:W3CDTF">2024-01-05T15:03:52Z</dcterms:created>
  <dcterms:modified xsi:type="dcterms:W3CDTF">2025-11-18T16:09:56Z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0x010100669D63B98ED13E4AA09F5BD2F3A51076</vt:lpwstr>
  </property>
  <property fmtid="{D5CDD505-2E9C-101B-9397-08002B2CF9AE}" pid="3" name="Order">
    <vt:r8>700</vt:r8>
  </property>
</Properties>
</file>